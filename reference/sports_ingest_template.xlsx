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Def" sheetId="1" r:id="rId4"/>
    <sheet state="visible" name="Ingest Template" sheetId="2" r:id="rId5"/>
    <sheet state="visible" name="DropDown" sheetId="3" r:id="rId6"/>
  </sheets>
  <definedNames>
    <definedName hidden="1" localSheetId="2" name="_xlnm._FilterDatabase">DropDown!$A$1:$F$12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blank for new brands</t>
      </text>
    </comment>
    <comment authorId="0" ref="AG1">
      <text>
        <t xml:space="preserve">Type in #hashtags here</t>
      </text>
    </comment>
    <comment authorId="0" ref="AI1">
      <text>
        <t xml:space="preserve">No longer applicable</t>
      </text>
    </comment>
    <comment authorId="0" ref="T1">
      <text>
        <t xml:space="preserve">Insert the full URL of the Twitter account handle (i.e. http:@twittername).</t>
      </text>
    </comment>
    <comment authorId="0" ref="AJ1">
      <text>
        <t xml:space="preserve">Switch to the "Twitter Episodic Keyword Template" tab on this sheet to populate the twitter keyword string.</t>
      </text>
    </comment>
    <comment authorId="0" ref="U1">
      <text>
        <t xml:space="preserve">Only insert the IG handle without the @ 
(i.e. the show Taskmaster, or @taskmaster, would be ingested as "taskmaster")</t>
      </text>
    </comment>
    <comment authorId="0" ref="AK1">
      <text>
        <t xml:space="preserve">Automatically Populate for brands. This would only have to be populated to create a custom unofficial search term/s</t>
      </text>
    </comment>
    <comment authorId="0" ref="AA1">
      <text>
        <t xml:space="preserve">Boards automatically add based on the user</t>
      </text>
    </comment>
    <comment authorId="0" ref="L1">
      <text>
        <t xml:space="preserve">t vs f. defaults 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Standard (DAR) - Pristine Talent OR Pristine Networks OR Pristine Publishing (or something else)
Extended - If Talent: Unknown</t>
      </text>
    </comment>
    <comment authorId="0" ref="R1">
      <text>
        <t xml:space="preserve">Standard (DAR) - The brandset you want added
If Talent: Talent Universe
Extended - Competitive View </t>
      </text>
    </comment>
    <comment authorId="0" ref="M1">
      <text>
        <t xml:space="preserve">Double check on BrandDef sheet to see if Instagram string is stripped of everything besides the unique instagram handle (no @'s, no "https://")</t>
      </text>
    </comment>
  </commentList>
</comments>
</file>

<file path=xl/sharedStrings.xml><?xml version="1.0" encoding="utf-8"?>
<sst xmlns="http://schemas.openxmlformats.org/spreadsheetml/2006/main" count="992" uniqueCount="85">
  <si>
    <t>brand_id</t>
  </si>
  <si>
    <t>title</t>
  </si>
  <si>
    <t>title_category</t>
  </si>
  <si>
    <t>title_sub_category</t>
  </si>
  <si>
    <t>genre</t>
  </si>
  <si>
    <t>primary_genre</t>
  </si>
  <si>
    <t>rovi_id</t>
  </si>
  <si>
    <t>ticker_symbol</t>
  </si>
  <si>
    <t>title_content_windows</t>
  </si>
  <si>
    <t>companies</t>
  </si>
  <si>
    <t>brand_set</t>
  </si>
  <si>
    <t>active</t>
  </si>
  <si>
    <t>released_on</t>
  </si>
  <si>
    <t>box_office</t>
  </si>
  <si>
    <t>street_date</t>
  </si>
  <si>
    <t>gross_screen</t>
  </si>
  <si>
    <t>opening_weekend_box_office</t>
  </si>
  <si>
    <t>network</t>
  </si>
  <si>
    <t>facebook_page</t>
  </si>
  <si>
    <t>twitter_handle</t>
  </si>
  <si>
    <t>instagram_user</t>
  </si>
  <si>
    <t>youtube_channel_username</t>
  </si>
  <si>
    <t>tiktok_user</t>
  </si>
  <si>
    <t>linkedin_page</t>
  </si>
  <si>
    <t>tumblr_page</t>
  </si>
  <si>
    <t>pinterest_user_username</t>
  </si>
  <si>
    <t>pinterest_board</t>
  </si>
  <si>
    <t>wikipedia_page</t>
  </si>
  <si>
    <t>rottentomatoes</t>
  </si>
  <si>
    <t>imdb_id</t>
  </si>
  <si>
    <t>metacritic</t>
  </si>
  <si>
    <t>facebook_search_terms</t>
  </si>
  <si>
    <t>twitter_search_terms</t>
  </si>
  <si>
    <t>instagram_search_terms</t>
  </si>
  <si>
    <t>tumblr_search_terms</t>
  </si>
  <si>
    <t>twitter_search_term_keywords</t>
  </si>
  <si>
    <t>youtube_search_terms</t>
  </si>
  <si>
    <t>url_managers</t>
  </si>
  <si>
    <t>t</t>
  </si>
  <si>
    <t>Perspective</t>
  </si>
  <si>
    <t>Title Name</t>
  </si>
  <si>
    <t>Title Category</t>
  </si>
  <si>
    <t>League</t>
  </si>
  <si>
    <t>Sports Type</t>
  </si>
  <si>
    <t>Wikipedia</t>
  </si>
  <si>
    <t>Facebook</t>
  </si>
  <si>
    <t>Twitter</t>
  </si>
  <si>
    <t>Instagram</t>
  </si>
  <si>
    <t>YouTube</t>
  </si>
  <si>
    <t>TikTok</t>
  </si>
  <si>
    <t>Tumblr</t>
  </si>
  <si>
    <t>Pinterest Username</t>
  </si>
  <si>
    <t>Twitter Hashtag 1</t>
  </si>
  <si>
    <t># 2</t>
  </si>
  <si>
    <t># 3</t>
  </si>
  <si>
    <t>Company</t>
  </si>
  <si>
    <t>Brand Sets</t>
  </si>
  <si>
    <t>Standard</t>
  </si>
  <si>
    <t>Sports Franchise</t>
  </si>
  <si>
    <t>Pristine Brand</t>
  </si>
  <si>
    <t>LF // Professional Sports Teams</t>
  </si>
  <si>
    <t>Major League Baseball</t>
  </si>
  <si>
    <t>Sports Type - Football</t>
  </si>
  <si>
    <t>LF // English Premier League</t>
  </si>
  <si>
    <t>Major League Soccer</t>
  </si>
  <si>
    <t>Sports Type - Baseball</t>
  </si>
  <si>
    <t>LF // Serie A</t>
  </si>
  <si>
    <t>National Basketball Association</t>
  </si>
  <si>
    <t>Sports Type - Basketball</t>
  </si>
  <si>
    <t>LF // Bundesliga</t>
  </si>
  <si>
    <t>National Football League</t>
  </si>
  <si>
    <t>Sports Type - Hockey</t>
  </si>
  <si>
    <t>LF // LaLiga</t>
  </si>
  <si>
    <t>National Hockey League</t>
  </si>
  <si>
    <t>Sports Type - Soccer</t>
  </si>
  <si>
    <t>LF // Ligue 1</t>
  </si>
  <si>
    <t>English Premier League</t>
  </si>
  <si>
    <t>LF // NBA</t>
  </si>
  <si>
    <t>Serie A</t>
  </si>
  <si>
    <t>LF // NFL</t>
  </si>
  <si>
    <t>Bundesliga</t>
  </si>
  <si>
    <t>LF // NHL</t>
  </si>
  <si>
    <t>Ligue 1</t>
  </si>
  <si>
    <t>LF // MLB</t>
  </si>
  <si>
    <t>LF // MLS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</si>
</sst>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9">
    <font>
      <sz val="10.0"/>
      <color rgb="FF000000"/>
      <name val="Arial"/>
    </font>
    <font>
      <b/>
      <name val="Arial"/>
    </font>
    <font>
      <b/>
      <sz val="12.0"/>
      <color rgb="FF000000"/>
      <name val="Calibri"/>
    </font>
    <font>
      <name val="Arial"/>
    </font>
    <font>
      <color rgb="FF000000"/>
      <name val="Arial"/>
    </font>
    <font>
      <sz val="12.0"/>
      <color rgb="FF000000"/>
      <name val="Calibri"/>
    </font>
    <font>
      <b/>
      <color rgb="FF000000"/>
    </font>
    <font>
      <sz val="11.0"/>
      <name val="Arial"/>
    </font>
    <font>
      <u/>
      <color rgb="FF000000"/>
      <name val="Arial"/>
    </font>
    <font>
      <sz val="11.0"/>
      <color rgb="FF000000"/>
      <name val="Calibri"/>
    </font>
    <font>
      <color rgb="FF000000"/>
    </font>
    <font>
      <u/>
      <color rgb="FF1155CC"/>
      <name val="Arial"/>
    </font>
    <font>
      <color rgb="FF000000"/>
      <name val="&quot;\&quot;News Cycle\&quot;&quot;"/>
    </font>
    <font>
      <color rgb="FF232B32"/>
    </font>
    <font>
      <u/>
      <sz val="11.0"/>
      <color rgb="FF0563C1"/>
      <name val="Calibri"/>
    </font>
    <font/>
    <font>
      <sz val="9.0"/>
      <color rgb="FF323537"/>
      <name val="&quot;Helvetica Neue&quot;"/>
    </font>
    <font>
      <sz val="9.0"/>
      <color rgb="FF323537"/>
      <name val="Arial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4" fontId="3" numFmtId="164" xfId="0" applyAlignment="1" applyFont="1" applyNumberFormat="1">
      <alignment vertical="bottom"/>
    </xf>
    <xf borderId="0" fillId="4" fontId="5" numFmtId="0" xfId="0" applyAlignment="1" applyFont="1">
      <alignment horizontal="center" vertical="bottom"/>
    </xf>
    <xf borderId="0" fillId="3" fontId="6" numFmtId="0" xfId="0" applyAlignment="1" applyFont="1">
      <alignment readingOrder="0"/>
    </xf>
    <xf borderId="0" fillId="3" fontId="1" numFmtId="0" xfId="0" applyAlignment="1" applyFont="1">
      <alignment vertical="bottom"/>
    </xf>
    <xf borderId="0" fillId="3" fontId="6" numFmtId="0" xfId="0" applyFont="1"/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5" fontId="3" numFmtId="0" xfId="0" applyAlignment="1" applyFill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10" numFmtId="0" xfId="0" applyFont="1"/>
    <xf borderId="0" fillId="5" fontId="11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12" numFmtId="0" xfId="0" applyAlignment="1" applyFont="1">
      <alignment readingOrder="0" shrinkToFit="0" vertical="bottom" wrapText="0"/>
    </xf>
    <xf borderId="0" fillId="5" fontId="1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5" fontId="16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8" numFmtId="0" xfId="0" applyAlignment="1" applyFont="1">
      <alignment readingOrder="0"/>
    </xf>
    <xf borderId="0" fillId="5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44.63"/>
    <col customWidth="1" min="23" max="23" width="15.0"/>
    <col customWidth="1" min="24" max="24" width="2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>
      <c r="A2" s="5"/>
      <c r="B2" s="5" t="str">
        <f>'Ingest Template'!B2&amp;IF('Ingest Template'!A2 = "Standard", " - DAR","")</f>
        <v> - DAR</v>
      </c>
      <c r="C2" s="6" t="str">
        <f>'Ingest Template'!C2</f>
        <v>Sports Franchise</v>
      </c>
      <c r="D2" s="7" t="str">
        <f>'Ingest Template'!E2</f>
        <v/>
      </c>
      <c r="E2" s="5"/>
      <c r="F2" s="5"/>
      <c r="G2" s="5"/>
      <c r="H2" s="7"/>
      <c r="I2" s="5"/>
      <c r="J2" s="7" t="str">
        <f>'Ingest Template'!Q2</f>
        <v>Pristine Brand</v>
      </c>
      <c r="K2" s="5" t="str">
        <f>'Ingest Template'!R2</f>
        <v/>
      </c>
      <c r="L2" s="8" t="s">
        <v>38</v>
      </c>
      <c r="M2" s="9"/>
      <c r="N2" s="5"/>
      <c r="O2" s="5"/>
      <c r="P2" s="5"/>
      <c r="Q2" s="5"/>
      <c r="R2" s="5" t="str">
        <f>'Ingest Template'!D2</f>
        <v/>
      </c>
      <c r="S2" s="5" t="str">
        <f>'Ingest Template'!G2</f>
        <v/>
      </c>
      <c r="T2" s="5" t="str">
        <f>'Ingest Template'!H2</f>
        <v/>
      </c>
      <c r="U2" s="5" t="str">
        <f>LOWER(SUBSTITUTE(SUBSTITUTE(SUBSTITUTE(SUBSTITUTE(SUBSTITUTE('Ingest Template'!I2,"https:",""),"www.",""),"/",""),"?hl=en",""),"instagram.com",""))</f>
        <v/>
      </c>
      <c r="V2" s="10" t="str">
        <f>'Ingest Template'!J2</f>
        <v/>
      </c>
      <c r="W2" s="10" t="str">
        <f>'Ingest Template'!K2</f>
        <v/>
      </c>
      <c r="X2" s="5"/>
      <c r="Y2" s="5" t="str">
        <f>SUBSTITUTE(SUBSTITUTE(SUBSTITUTE('Ingest Template'!L2,"http:",""),"https:",""),"/","")</f>
        <v/>
      </c>
      <c r="Z2" s="5" t="str">
        <f t="array" ref="Z2">IF('Ingest Template'!A2="Standard",(IF(ISBLANK('Ingest Template'!M2),"", 'Ingest Template'!M2&amp;"|DAR")),(IF(ISBLANK('Ingest Template'!M2),"", 'Ingest Template'!M2&amp;"|Operations - Core Title")))</f>
        <v/>
      </c>
      <c r="AA2" s="5"/>
      <c r="AB2" s="5" t="str">
        <f>'Ingest Template'!F2</f>
        <v/>
      </c>
      <c r="AC2" s="5"/>
      <c r="AD2" s="5"/>
      <c r="AE2" s="5"/>
      <c r="AF2" s="8"/>
      <c r="AG2" s="5" t="str">
        <f t="array" ref="AG2">IF('Ingest Template'!A2="Standard",(CONCATENATE(IF(ISBLANK('Ingest Template'!N2),"", 'Ingest Template'!N2&amp;"|DAR"),CHAR(10), IF(ISBLANK('Ingest Template'!O2),"", 'Ingest Template'!O2&amp;"|DAR"),CHAR(10), IF(ISBLANK('Ingest Template'!P2),"", 'Ingest Template'!P2&amp;"|DAR"))),(CONCATENATE(IF(ISBLANK('Ingest Template'!N2),"", 'Ingest Template'!N2&amp;"|Operations - Core Title"),CHAR(10), IF(ISBLANK('Ingest Template'!O2),"", 'Ingest Template'!O2&amp;"|Operations - Core Title"),CHAR(10), IF(ISBLANK('Ingest Template'!P2),"", 'Ingest Template'!P2&amp;"|Operations - Core Title"))))</f>
        <v>#|DAR
</v>
      </c>
      <c r="AH2" s="5"/>
      <c r="AI2" s="5"/>
      <c r="AJ2" s="5"/>
      <c r="AK2" s="5"/>
      <c r="AL2" s="5"/>
    </row>
    <row r="3">
      <c r="A3" s="5"/>
      <c r="B3" s="5" t="str">
        <f>'Ingest Template'!B3&amp;IF('Ingest Template'!A3 = "Standard", " - DAR","")</f>
        <v/>
      </c>
      <c r="C3" s="6" t="str">
        <f>'Ingest Template'!C3</f>
        <v/>
      </c>
      <c r="D3" s="7" t="str">
        <f>'Ingest Template'!E3</f>
        <v/>
      </c>
      <c r="E3" s="5"/>
      <c r="F3" s="5"/>
      <c r="G3" s="5"/>
      <c r="H3" s="7"/>
      <c r="I3" s="5"/>
      <c r="J3" s="7" t="str">
        <f>'Ingest Template'!Q3</f>
        <v/>
      </c>
      <c r="K3" s="5" t="str">
        <f>'Ingest Template'!R3</f>
        <v/>
      </c>
      <c r="L3" s="8" t="s">
        <v>38</v>
      </c>
      <c r="M3" s="9"/>
      <c r="N3" s="5"/>
      <c r="O3" s="5"/>
      <c r="P3" s="5"/>
      <c r="Q3" s="5"/>
      <c r="R3" s="5" t="str">
        <f>'Ingest Template'!D3</f>
        <v/>
      </c>
      <c r="S3" s="5" t="str">
        <f>'Ingest Template'!G3</f>
        <v/>
      </c>
      <c r="T3" s="5" t="str">
        <f>'Ingest Template'!H3</f>
        <v/>
      </c>
      <c r="U3" s="5" t="str">
        <f>LOWER(SUBSTITUTE(SUBSTITUTE(SUBSTITUTE(SUBSTITUTE(SUBSTITUTE('Ingest Template'!I3,"https:",""),"www.",""),"/",""),"?hl=en",""),"instagram.com",""))</f>
        <v/>
      </c>
      <c r="V3" s="10" t="str">
        <f>'Ingest Template'!J3</f>
        <v/>
      </c>
      <c r="W3" s="10" t="str">
        <f>'Ingest Template'!K3</f>
        <v/>
      </c>
      <c r="X3" s="5"/>
      <c r="Y3" s="5" t="str">
        <f>SUBSTITUTE(SUBSTITUTE(SUBSTITUTE('Ingest Template'!L3,"http:",""),"https:",""),"/","")</f>
        <v/>
      </c>
      <c r="Z3" s="5" t="str">
        <f t="array" ref="Z3">IF('Ingest Template'!A3="Standard",(IF(ISBLANK('Ingest Template'!M3),"", 'Ingest Template'!M3&amp;"|DAR")),(IF(ISBLANK('Ingest Template'!M3),"", 'Ingest Template'!M3&amp;"|Operations - Core Title")))</f>
        <v/>
      </c>
      <c r="AA3" s="5"/>
      <c r="AB3" s="5" t="str">
        <f>'Ingest Template'!F3</f>
        <v/>
      </c>
      <c r="AC3" s="5"/>
      <c r="AD3" s="5"/>
      <c r="AE3" s="5"/>
      <c r="AF3" s="8"/>
      <c r="AG3" s="5" t="str">
        <f t="array" ref="AG3">IF('Ingest Template'!A3="Standard",(CONCATENATE(IF(ISBLANK('Ingest Template'!N3),"", 'Ingest Template'!N3&amp;"|DAR"),CHAR(10), IF(ISBLANK('Ingest Template'!O3),"", 'Ingest Template'!O3&amp;"|DAR"),CHAR(10), IF(ISBLANK('Ingest Template'!P3),"", 'Ingest Template'!P3&amp;"|DAR"))),(CONCATENATE(IF(ISBLANK('Ingest Template'!N3),"", 'Ingest Template'!N3&amp;"|Operations - Core Title"),CHAR(10), IF(ISBLANK('Ingest Template'!O3),"", 'Ingest Template'!O3&amp;"|Operations - Core Title"),CHAR(10), IF(ISBLANK('Ingest Template'!P3),"", 'Ingest Template'!P3&amp;"|Operations - Core Title"))))</f>
        <v>#|Operations - Core Title
</v>
      </c>
      <c r="AH3" s="5"/>
      <c r="AI3" s="5"/>
      <c r="AJ3" s="5"/>
      <c r="AK3" s="5"/>
      <c r="AL3" s="5"/>
    </row>
    <row r="4">
      <c r="A4" s="5"/>
      <c r="B4" s="5" t="str">
        <f>'Ingest Template'!B4&amp;IF('Ingest Template'!A4 = "Standard", " - DAR","")</f>
        <v/>
      </c>
      <c r="C4" s="6" t="str">
        <f>'Ingest Template'!C4</f>
        <v/>
      </c>
      <c r="D4" s="7" t="str">
        <f>'Ingest Template'!E4</f>
        <v/>
      </c>
      <c r="E4" s="5"/>
      <c r="F4" s="5"/>
      <c r="G4" s="5"/>
      <c r="H4" s="7"/>
      <c r="I4" s="5"/>
      <c r="J4" s="7" t="str">
        <f>'Ingest Template'!Q4</f>
        <v/>
      </c>
      <c r="K4" s="5" t="str">
        <f>'Ingest Template'!R4</f>
        <v/>
      </c>
      <c r="L4" s="8" t="s">
        <v>38</v>
      </c>
      <c r="M4" s="9"/>
      <c r="N4" s="5"/>
      <c r="O4" s="5"/>
      <c r="P4" s="5"/>
      <c r="Q4" s="5"/>
      <c r="R4" s="5" t="str">
        <f>'Ingest Template'!D4</f>
        <v/>
      </c>
      <c r="S4" s="5" t="str">
        <f>'Ingest Template'!G4</f>
        <v/>
      </c>
      <c r="T4" s="5" t="str">
        <f>'Ingest Template'!H4</f>
        <v/>
      </c>
      <c r="U4" s="5" t="str">
        <f>LOWER(SUBSTITUTE(SUBSTITUTE(SUBSTITUTE(SUBSTITUTE(SUBSTITUTE('Ingest Template'!I4,"https:",""),"www.",""),"/",""),"?hl=en",""),"instagram.com",""))</f>
        <v/>
      </c>
      <c r="V4" s="10" t="str">
        <f>'Ingest Template'!J4</f>
        <v/>
      </c>
      <c r="W4" s="10" t="str">
        <f>'Ingest Template'!K4</f>
        <v/>
      </c>
      <c r="X4" s="5"/>
      <c r="Y4" s="5" t="str">
        <f>SUBSTITUTE(SUBSTITUTE(SUBSTITUTE('Ingest Template'!L4,"http:",""),"https:",""),"/","")</f>
        <v/>
      </c>
      <c r="Z4" s="5" t="str">
        <f t="array" ref="Z4">IF('Ingest Template'!A4="Standard",(IF(ISBLANK('Ingest Template'!M4),"", 'Ingest Template'!M4&amp;"|DAR")),(IF(ISBLANK('Ingest Template'!M4),"", 'Ingest Template'!M4&amp;"|Operations - Core Title")))</f>
        <v/>
      </c>
      <c r="AA4" s="5"/>
      <c r="AB4" s="5" t="str">
        <f>'Ingest Template'!F4</f>
        <v/>
      </c>
      <c r="AC4" s="5"/>
      <c r="AD4" s="5"/>
      <c r="AE4" s="5"/>
      <c r="AF4" s="8"/>
      <c r="AG4" s="5" t="str">
        <f t="array" ref="AG4">IF('Ingest Template'!A4="Standard",(CONCATENATE(IF(ISBLANK('Ingest Template'!N4),"", 'Ingest Template'!N4&amp;"|DAR"),CHAR(10), IF(ISBLANK('Ingest Template'!O4),"", 'Ingest Template'!O4&amp;"|DAR"),CHAR(10), IF(ISBLANK('Ingest Template'!P4),"", 'Ingest Template'!P4&amp;"|DAR"))),(CONCATENATE(IF(ISBLANK('Ingest Template'!N4),"", 'Ingest Template'!N4&amp;"|Operations - Core Title"),CHAR(10), IF(ISBLANK('Ingest Template'!O4),"", 'Ingest Template'!O4&amp;"|Operations - Core Title"),CHAR(10), IF(ISBLANK('Ingest Template'!P4),"", 'Ingest Template'!P4&amp;"|Operations - Core Title"))))</f>
        <v>#|Operations - Core Title
</v>
      </c>
      <c r="AH4" s="5"/>
      <c r="AI4" s="5"/>
      <c r="AJ4" s="5"/>
      <c r="AK4" s="5"/>
      <c r="AL4" s="5"/>
    </row>
    <row r="5">
      <c r="A5" s="5"/>
      <c r="B5" s="5" t="str">
        <f>'Ingest Template'!B5&amp;IF('Ingest Template'!A5 = "Standard", " - DAR","")</f>
        <v/>
      </c>
      <c r="C5" s="6" t="str">
        <f>'Ingest Template'!C5</f>
        <v/>
      </c>
      <c r="D5" s="7" t="str">
        <f>'Ingest Template'!E5</f>
        <v/>
      </c>
      <c r="E5" s="5"/>
      <c r="F5" s="5"/>
      <c r="G5" s="5"/>
      <c r="H5" s="7"/>
      <c r="I5" s="5"/>
      <c r="J5" s="7" t="str">
        <f>'Ingest Template'!Q5</f>
        <v/>
      </c>
      <c r="K5" s="5" t="str">
        <f>'Ingest Template'!R5</f>
        <v/>
      </c>
      <c r="L5" s="8" t="s">
        <v>38</v>
      </c>
      <c r="M5" s="9"/>
      <c r="N5" s="5"/>
      <c r="O5" s="5"/>
      <c r="P5" s="5"/>
      <c r="Q5" s="5"/>
      <c r="R5" s="5" t="str">
        <f>'Ingest Template'!D5</f>
        <v/>
      </c>
      <c r="S5" s="5" t="str">
        <f>'Ingest Template'!G5</f>
        <v/>
      </c>
      <c r="T5" s="5" t="str">
        <f>'Ingest Template'!H5</f>
        <v/>
      </c>
      <c r="U5" s="5" t="str">
        <f>LOWER(SUBSTITUTE(SUBSTITUTE(SUBSTITUTE(SUBSTITUTE(SUBSTITUTE('Ingest Template'!I5,"https:",""),"www.",""),"/",""),"?hl=en",""),"instagram.com",""))</f>
        <v/>
      </c>
      <c r="V5" s="10" t="str">
        <f>'Ingest Template'!J5</f>
        <v/>
      </c>
      <c r="W5" s="10" t="str">
        <f>'Ingest Template'!K5</f>
        <v/>
      </c>
      <c r="X5" s="5"/>
      <c r="Y5" s="5" t="str">
        <f>SUBSTITUTE(SUBSTITUTE(SUBSTITUTE('Ingest Template'!L5,"http:",""),"https:",""),"/","")</f>
        <v/>
      </c>
      <c r="Z5" s="5" t="str">
        <f t="array" ref="Z5">IF('Ingest Template'!A5="Standard",(IF(ISBLANK('Ingest Template'!M5),"", 'Ingest Template'!M5&amp;"|DAR")),(IF(ISBLANK('Ingest Template'!M5),"", 'Ingest Template'!M5&amp;"|Operations - Core Title")))</f>
        <v/>
      </c>
      <c r="AA5" s="5"/>
      <c r="AB5" s="5" t="str">
        <f>'Ingest Template'!F5</f>
        <v/>
      </c>
      <c r="AC5" s="5"/>
      <c r="AD5" s="5"/>
      <c r="AE5" s="5"/>
      <c r="AF5" s="8"/>
      <c r="AG5" s="5" t="str">
        <f t="array" ref="AG5">IF('Ingest Template'!A5="Standard",(CONCATENATE(IF(ISBLANK('Ingest Template'!N5),"", 'Ingest Template'!N5&amp;"|DAR"),CHAR(10), IF(ISBLANK('Ingest Template'!O5),"", 'Ingest Template'!O5&amp;"|DAR"),CHAR(10), IF(ISBLANK('Ingest Template'!P5),"", 'Ingest Template'!P5&amp;"|DAR"))),(CONCATENATE(IF(ISBLANK('Ingest Template'!N5),"", 'Ingest Template'!N5&amp;"|Operations - Core Title"),CHAR(10), IF(ISBLANK('Ingest Template'!O5),"", 'Ingest Template'!O5&amp;"|Operations - Core Title"),CHAR(10), IF(ISBLANK('Ingest Template'!P5),"", 'Ingest Template'!P5&amp;"|Operations - Core Title"))))</f>
        <v>#|Operations - Core Title
</v>
      </c>
      <c r="AH5" s="5"/>
      <c r="AI5" s="5"/>
      <c r="AJ5" s="5"/>
      <c r="AK5" s="5"/>
      <c r="AL5" s="5"/>
    </row>
    <row r="6">
      <c r="A6" s="5"/>
      <c r="B6" s="5" t="str">
        <f>'Ingest Template'!B6&amp;IF('Ingest Template'!A6 = "Standard", " - DAR","")</f>
        <v/>
      </c>
      <c r="C6" s="6" t="str">
        <f>'Ingest Template'!C6</f>
        <v/>
      </c>
      <c r="D6" s="7" t="str">
        <f>'Ingest Template'!E6</f>
        <v/>
      </c>
      <c r="E6" s="5"/>
      <c r="F6" s="5"/>
      <c r="G6" s="5"/>
      <c r="H6" s="7"/>
      <c r="I6" s="5"/>
      <c r="J6" s="7" t="str">
        <f>'Ingest Template'!Q6</f>
        <v/>
      </c>
      <c r="K6" s="5" t="str">
        <f>'Ingest Template'!R6</f>
        <v/>
      </c>
      <c r="L6" s="8" t="s">
        <v>38</v>
      </c>
      <c r="M6" s="9"/>
      <c r="N6" s="5"/>
      <c r="O6" s="5"/>
      <c r="P6" s="5"/>
      <c r="Q6" s="5"/>
      <c r="R6" s="5" t="str">
        <f>'Ingest Template'!D6</f>
        <v/>
      </c>
      <c r="S6" s="5" t="str">
        <f>'Ingest Template'!G6</f>
        <v/>
      </c>
      <c r="T6" s="5" t="str">
        <f>'Ingest Template'!H6</f>
        <v/>
      </c>
      <c r="U6" s="5" t="str">
        <f>LOWER(SUBSTITUTE(SUBSTITUTE(SUBSTITUTE(SUBSTITUTE(SUBSTITUTE('Ingest Template'!I6,"https:",""),"www.",""),"/",""),"?hl=en",""),"instagram.com",""))</f>
        <v/>
      </c>
      <c r="V6" s="10" t="str">
        <f>'Ingest Template'!J6</f>
        <v/>
      </c>
      <c r="W6" s="10" t="str">
        <f>'Ingest Template'!K6</f>
        <v/>
      </c>
      <c r="X6" s="5"/>
      <c r="Y6" s="5" t="str">
        <f>SUBSTITUTE(SUBSTITUTE(SUBSTITUTE('Ingest Template'!L6,"http:",""),"https:",""),"/","")</f>
        <v/>
      </c>
      <c r="Z6" s="5" t="str">
        <f t="array" ref="Z6">IF('Ingest Template'!A6="Standard",(IF(ISBLANK('Ingest Template'!M6),"", 'Ingest Template'!M6&amp;"|DAR")),(IF(ISBLANK('Ingest Template'!M6),"", 'Ingest Template'!M6&amp;"|Operations - Core Title")))</f>
        <v/>
      </c>
      <c r="AA6" s="5"/>
      <c r="AB6" s="5" t="str">
        <f>'Ingest Template'!F6</f>
        <v/>
      </c>
      <c r="AC6" s="5"/>
      <c r="AD6" s="5"/>
      <c r="AE6" s="5"/>
      <c r="AF6" s="8"/>
      <c r="AG6" s="5" t="str">
        <f t="array" ref="AG6">IF('Ingest Template'!A6="Standard",(CONCATENATE(IF(ISBLANK('Ingest Template'!N6),"", 'Ingest Template'!N6&amp;"|DAR"),CHAR(10), IF(ISBLANK('Ingest Template'!O6),"", 'Ingest Template'!O6&amp;"|DAR"),CHAR(10), IF(ISBLANK('Ingest Template'!P6),"", 'Ingest Template'!P6&amp;"|DAR"))),(CONCATENATE(IF(ISBLANK('Ingest Template'!N6),"", 'Ingest Template'!N6&amp;"|Operations - Core Title"),CHAR(10), IF(ISBLANK('Ingest Template'!O6),"", 'Ingest Template'!O6&amp;"|Operations - Core Title"),CHAR(10), IF(ISBLANK('Ingest Template'!P6),"", 'Ingest Template'!P6&amp;"|Operations - Core Title"))))</f>
        <v>#|Operations - Core Title
</v>
      </c>
      <c r="AH6" s="5"/>
      <c r="AI6" s="5"/>
      <c r="AJ6" s="5"/>
      <c r="AK6" s="5"/>
      <c r="AL6" s="5"/>
    </row>
    <row r="7">
      <c r="A7" s="5"/>
      <c r="B7" s="5" t="str">
        <f>'Ingest Template'!B7&amp;IF('Ingest Template'!A7 = "Standard", " - DAR","")</f>
        <v/>
      </c>
      <c r="C7" s="6" t="str">
        <f>'Ingest Template'!C7</f>
        <v/>
      </c>
      <c r="D7" s="7" t="str">
        <f>'Ingest Template'!E7</f>
        <v/>
      </c>
      <c r="E7" s="5"/>
      <c r="F7" s="5"/>
      <c r="G7" s="5"/>
      <c r="H7" s="7"/>
      <c r="I7" s="5"/>
      <c r="J7" s="7" t="str">
        <f>'Ingest Template'!Q7</f>
        <v/>
      </c>
      <c r="K7" s="5" t="str">
        <f>'Ingest Template'!R7</f>
        <v/>
      </c>
      <c r="L7" s="8" t="s">
        <v>38</v>
      </c>
      <c r="M7" s="9"/>
      <c r="N7" s="5"/>
      <c r="O7" s="5"/>
      <c r="P7" s="5"/>
      <c r="Q7" s="5"/>
      <c r="R7" s="5" t="str">
        <f>'Ingest Template'!D7</f>
        <v/>
      </c>
      <c r="S7" s="5" t="str">
        <f>'Ingest Template'!G7</f>
        <v/>
      </c>
      <c r="T7" s="5" t="str">
        <f>'Ingest Template'!H7</f>
        <v/>
      </c>
      <c r="U7" s="5" t="str">
        <f>LOWER(SUBSTITUTE(SUBSTITUTE(SUBSTITUTE(SUBSTITUTE(SUBSTITUTE('Ingest Template'!I7,"https:",""),"www.",""),"/",""),"?hl=en",""),"instagram.com",""))</f>
        <v/>
      </c>
      <c r="V7" s="10" t="str">
        <f>'Ingest Template'!J7</f>
        <v/>
      </c>
      <c r="W7" s="10" t="str">
        <f>'Ingest Template'!K7</f>
        <v/>
      </c>
      <c r="X7" s="5"/>
      <c r="Y7" s="5" t="str">
        <f>SUBSTITUTE(SUBSTITUTE(SUBSTITUTE('Ingest Template'!L7,"http:",""),"https:",""),"/","")</f>
        <v/>
      </c>
      <c r="Z7" s="5" t="str">
        <f t="array" ref="Z7">IF('Ingest Template'!A7="Standard",(IF(ISBLANK('Ingest Template'!M7),"", 'Ingest Template'!M7&amp;"|DAR")),(IF(ISBLANK('Ingest Template'!M7),"", 'Ingest Template'!M7&amp;"|Operations - Core Title")))</f>
        <v/>
      </c>
      <c r="AA7" s="5"/>
      <c r="AB7" s="5" t="str">
        <f>'Ingest Template'!F7</f>
        <v/>
      </c>
      <c r="AC7" s="5"/>
      <c r="AD7" s="5"/>
      <c r="AE7" s="5"/>
      <c r="AF7" s="8"/>
      <c r="AG7" s="5" t="str">
        <f t="array" ref="AG7">IF('Ingest Template'!A7="Standard",(CONCATENATE(IF(ISBLANK('Ingest Template'!N7),"", 'Ingest Template'!N7&amp;"|DAR"),CHAR(10), IF(ISBLANK('Ingest Template'!O7),"", 'Ingest Template'!O7&amp;"|DAR"),CHAR(10), IF(ISBLANK('Ingest Template'!P7),"", 'Ingest Template'!P7&amp;"|DAR"))),(CONCATENATE(IF(ISBLANK('Ingest Template'!N7),"", 'Ingest Template'!N7&amp;"|Operations - Core Title"),CHAR(10), IF(ISBLANK('Ingest Template'!O7),"", 'Ingest Template'!O7&amp;"|Operations - Core Title"),CHAR(10), IF(ISBLANK('Ingest Template'!P7),"", 'Ingest Template'!P7&amp;"|Operations - Core Title"))))</f>
        <v>#|Operations - Core Title
</v>
      </c>
      <c r="AH7" s="5"/>
      <c r="AI7" s="5"/>
      <c r="AJ7" s="5"/>
      <c r="AK7" s="5"/>
      <c r="AL7" s="5"/>
    </row>
    <row r="8">
      <c r="A8" s="5"/>
      <c r="B8" s="5" t="str">
        <f>'Ingest Template'!B8&amp;IF('Ingest Template'!A8 = "Standard", " - DAR","")</f>
        <v/>
      </c>
      <c r="C8" s="6" t="str">
        <f>'Ingest Template'!C8</f>
        <v/>
      </c>
      <c r="D8" s="7" t="str">
        <f>'Ingest Template'!E8</f>
        <v/>
      </c>
      <c r="E8" s="5"/>
      <c r="F8" s="5"/>
      <c r="G8" s="5"/>
      <c r="H8" s="7"/>
      <c r="I8" s="5"/>
      <c r="J8" s="7" t="str">
        <f>'Ingest Template'!Q8</f>
        <v/>
      </c>
      <c r="K8" s="5" t="str">
        <f>'Ingest Template'!R8</f>
        <v/>
      </c>
      <c r="L8" s="8" t="s">
        <v>38</v>
      </c>
      <c r="M8" s="9"/>
      <c r="N8" s="5"/>
      <c r="O8" s="5"/>
      <c r="P8" s="5"/>
      <c r="Q8" s="5"/>
      <c r="R8" s="5" t="str">
        <f>'Ingest Template'!D8</f>
        <v/>
      </c>
      <c r="S8" s="5" t="str">
        <f>'Ingest Template'!G8</f>
        <v/>
      </c>
      <c r="T8" s="5" t="str">
        <f>'Ingest Template'!H8</f>
        <v/>
      </c>
      <c r="U8" s="5" t="str">
        <f>LOWER(SUBSTITUTE(SUBSTITUTE(SUBSTITUTE(SUBSTITUTE(SUBSTITUTE('Ingest Template'!I8,"https:",""),"www.",""),"/",""),"?hl=en",""),"instagram.com",""))</f>
        <v/>
      </c>
      <c r="V8" s="10" t="str">
        <f>'Ingest Template'!J8</f>
        <v/>
      </c>
      <c r="W8" s="10" t="str">
        <f>'Ingest Template'!K8</f>
        <v/>
      </c>
      <c r="X8" s="5"/>
      <c r="Y8" s="5" t="str">
        <f>SUBSTITUTE(SUBSTITUTE(SUBSTITUTE('Ingest Template'!L8,"http:",""),"https:",""),"/","")</f>
        <v/>
      </c>
      <c r="Z8" s="5" t="str">
        <f t="array" ref="Z8">IF('Ingest Template'!A8="Standard",(IF(ISBLANK('Ingest Template'!M8),"", 'Ingest Template'!M8&amp;"|DAR")),(IF(ISBLANK('Ingest Template'!M8),"", 'Ingest Template'!M8&amp;"|Operations - Core Title")))</f>
        <v/>
      </c>
      <c r="AA8" s="5"/>
      <c r="AB8" s="5" t="str">
        <f>'Ingest Template'!F8</f>
        <v/>
      </c>
      <c r="AC8" s="5"/>
      <c r="AD8" s="5"/>
      <c r="AE8" s="5"/>
      <c r="AF8" s="8"/>
      <c r="AG8" s="5" t="str">
        <f t="array" ref="AG8">IF('Ingest Template'!A8="Standard",(CONCATENATE(IF(ISBLANK('Ingest Template'!N8),"", 'Ingest Template'!N8&amp;"|DAR"),CHAR(10), IF(ISBLANK('Ingest Template'!O8),"", 'Ingest Template'!O8&amp;"|DAR"),CHAR(10), IF(ISBLANK('Ingest Template'!P8),"", 'Ingest Template'!P8&amp;"|DAR"))),(CONCATENATE(IF(ISBLANK('Ingest Template'!N8),"", 'Ingest Template'!N8&amp;"|Operations - Core Title"),CHAR(10), IF(ISBLANK('Ingest Template'!O8),"", 'Ingest Template'!O8&amp;"|Operations - Core Title"),CHAR(10), IF(ISBLANK('Ingest Template'!P8),"", 'Ingest Template'!P8&amp;"|Operations - Core Title"))))</f>
        <v>#|Operations - Core Title
</v>
      </c>
      <c r="AH8" s="5"/>
      <c r="AI8" s="5"/>
      <c r="AJ8" s="5"/>
      <c r="AK8" s="5"/>
      <c r="AL8" s="5"/>
    </row>
    <row r="9">
      <c r="A9" s="5"/>
      <c r="B9" s="5" t="str">
        <f>'Ingest Template'!B9&amp;IF('Ingest Template'!A9 = "Standard", " - DAR","")</f>
        <v/>
      </c>
      <c r="C9" s="6" t="str">
        <f>'Ingest Template'!C9</f>
        <v/>
      </c>
      <c r="D9" s="7" t="str">
        <f>'Ingest Template'!E9</f>
        <v/>
      </c>
      <c r="E9" s="5"/>
      <c r="F9" s="5"/>
      <c r="G9" s="5"/>
      <c r="H9" s="7"/>
      <c r="I9" s="5"/>
      <c r="J9" s="7" t="str">
        <f>'Ingest Template'!Q9</f>
        <v/>
      </c>
      <c r="K9" s="5" t="str">
        <f>'Ingest Template'!R9</f>
        <v/>
      </c>
      <c r="L9" s="8" t="s">
        <v>38</v>
      </c>
      <c r="M9" s="9"/>
      <c r="N9" s="5"/>
      <c r="O9" s="5"/>
      <c r="P9" s="5"/>
      <c r="Q9" s="5"/>
      <c r="R9" s="5" t="str">
        <f>'Ingest Template'!D9</f>
        <v/>
      </c>
      <c r="S9" s="5" t="str">
        <f>'Ingest Template'!G9</f>
        <v/>
      </c>
      <c r="T9" s="5" t="str">
        <f>'Ingest Template'!H9</f>
        <v/>
      </c>
      <c r="U9" s="5" t="str">
        <f>LOWER(SUBSTITUTE(SUBSTITUTE(SUBSTITUTE(SUBSTITUTE(SUBSTITUTE('Ingest Template'!I9,"https:",""),"www.",""),"/",""),"?hl=en",""),"instagram.com",""))</f>
        <v/>
      </c>
      <c r="V9" s="10" t="str">
        <f>'Ingest Template'!J9</f>
        <v/>
      </c>
      <c r="W9" s="10" t="str">
        <f>'Ingest Template'!K9</f>
        <v/>
      </c>
      <c r="X9" s="5"/>
      <c r="Y9" s="5" t="str">
        <f>SUBSTITUTE(SUBSTITUTE(SUBSTITUTE('Ingest Template'!L9,"http:",""),"https:",""),"/","")</f>
        <v/>
      </c>
      <c r="Z9" s="5" t="str">
        <f t="array" ref="Z9">IF('Ingest Template'!A9="Standard",(IF(ISBLANK('Ingest Template'!M9),"", 'Ingest Template'!M9&amp;"|DAR")),(IF(ISBLANK('Ingest Template'!M9),"", 'Ingest Template'!M9&amp;"|Operations - Core Title")))</f>
        <v/>
      </c>
      <c r="AA9" s="5"/>
      <c r="AB9" s="5" t="str">
        <f>'Ingest Template'!F9</f>
        <v/>
      </c>
      <c r="AC9" s="5"/>
      <c r="AD9" s="5"/>
      <c r="AE9" s="5"/>
      <c r="AF9" s="8"/>
      <c r="AG9" s="5" t="str">
        <f t="array" ref="AG9">IF('Ingest Template'!A9="Standard",(CONCATENATE(IF(ISBLANK('Ingest Template'!N9),"", 'Ingest Template'!N9&amp;"|DAR"),CHAR(10), IF(ISBLANK('Ingest Template'!O9),"", 'Ingest Template'!O9&amp;"|DAR"),CHAR(10), IF(ISBLANK('Ingest Template'!P9),"", 'Ingest Template'!P9&amp;"|DAR"))),(CONCATENATE(IF(ISBLANK('Ingest Template'!N9),"", 'Ingest Template'!N9&amp;"|Operations - Core Title"),CHAR(10), IF(ISBLANK('Ingest Template'!O9),"", 'Ingest Template'!O9&amp;"|Operations - Core Title"),CHAR(10), IF(ISBLANK('Ingest Template'!P9),"", 'Ingest Template'!P9&amp;"|Operations - Core Title"))))</f>
        <v>#|Operations - Core Title
</v>
      </c>
      <c r="AH9" s="5"/>
      <c r="AI9" s="5"/>
      <c r="AJ9" s="5"/>
      <c r="AK9" s="5"/>
      <c r="AL9" s="5"/>
    </row>
    <row r="10">
      <c r="A10" s="5"/>
      <c r="B10" s="5" t="str">
        <f>'Ingest Template'!B10&amp;IF('Ingest Template'!A10 = "Standard", " - DAR","")</f>
        <v/>
      </c>
      <c r="C10" s="6" t="str">
        <f>'Ingest Template'!C10</f>
        <v/>
      </c>
      <c r="D10" s="7" t="str">
        <f>'Ingest Template'!E10</f>
        <v/>
      </c>
      <c r="E10" s="5"/>
      <c r="F10" s="5"/>
      <c r="G10" s="5"/>
      <c r="H10" s="7"/>
      <c r="I10" s="5"/>
      <c r="J10" s="7" t="str">
        <f>'Ingest Template'!Q10</f>
        <v/>
      </c>
      <c r="K10" s="5" t="str">
        <f>'Ingest Template'!R10</f>
        <v/>
      </c>
      <c r="L10" s="8" t="s">
        <v>38</v>
      </c>
      <c r="M10" s="9"/>
      <c r="N10" s="5"/>
      <c r="O10" s="5"/>
      <c r="P10" s="5"/>
      <c r="Q10" s="5"/>
      <c r="R10" s="5" t="str">
        <f>'Ingest Template'!D10</f>
        <v/>
      </c>
      <c r="S10" s="5" t="str">
        <f>'Ingest Template'!G10</f>
        <v/>
      </c>
      <c r="T10" s="5" t="str">
        <f>'Ingest Template'!H10</f>
        <v/>
      </c>
      <c r="U10" s="5" t="str">
        <f>LOWER(SUBSTITUTE(SUBSTITUTE(SUBSTITUTE(SUBSTITUTE(SUBSTITUTE('Ingest Template'!I10,"https:",""),"www.",""),"/",""),"?hl=en",""),"instagram.com",""))</f>
        <v/>
      </c>
      <c r="V10" s="10" t="str">
        <f>'Ingest Template'!J10</f>
        <v/>
      </c>
      <c r="W10" s="10" t="str">
        <f>'Ingest Template'!K10</f>
        <v/>
      </c>
      <c r="X10" s="5"/>
      <c r="Y10" s="5" t="str">
        <f>SUBSTITUTE(SUBSTITUTE(SUBSTITUTE('Ingest Template'!L10,"http:",""),"https:",""),"/","")</f>
        <v/>
      </c>
      <c r="Z10" s="5" t="str">
        <f t="array" ref="Z10">IF('Ingest Template'!A10="Standard",(IF(ISBLANK('Ingest Template'!M10),"", 'Ingest Template'!M10&amp;"|DAR")),(IF(ISBLANK('Ingest Template'!M10),"", 'Ingest Template'!M10&amp;"|Operations - Core Title")))</f>
        <v/>
      </c>
      <c r="AA10" s="5"/>
      <c r="AB10" s="5" t="str">
        <f>'Ingest Template'!F10</f>
        <v/>
      </c>
      <c r="AC10" s="5"/>
      <c r="AD10" s="5"/>
      <c r="AE10" s="5"/>
      <c r="AF10" s="8"/>
      <c r="AG10" s="5" t="str">
        <f t="array" ref="AG10">IF('Ingest Template'!A10="Standard",(CONCATENATE(IF(ISBLANK('Ingest Template'!N10),"", 'Ingest Template'!N10&amp;"|DAR"),CHAR(10), IF(ISBLANK('Ingest Template'!O10),"", 'Ingest Template'!O10&amp;"|DAR"),CHAR(10), IF(ISBLANK('Ingest Template'!P10),"", 'Ingest Template'!P10&amp;"|DAR"))),(CONCATENATE(IF(ISBLANK('Ingest Template'!N10),"", 'Ingest Template'!N10&amp;"|Operations - Core Title"),CHAR(10), IF(ISBLANK('Ingest Template'!O10),"", 'Ingest Template'!O10&amp;"|Operations - Core Title"),CHAR(10), IF(ISBLANK('Ingest Template'!P10),"", 'Ingest Template'!P10&amp;"|Operations - Core Title"))))</f>
        <v>#|Operations - Core Title
</v>
      </c>
      <c r="AH10" s="5"/>
      <c r="AI10" s="5"/>
      <c r="AJ10" s="5"/>
      <c r="AK10" s="5"/>
      <c r="AL10" s="5"/>
    </row>
    <row r="11">
      <c r="A11" s="5"/>
      <c r="B11" s="5" t="str">
        <f>'Ingest Template'!B11&amp;IF('Ingest Template'!A11 = "Standard", " - DAR","")</f>
        <v/>
      </c>
      <c r="C11" s="6" t="str">
        <f>'Ingest Template'!C11</f>
        <v/>
      </c>
      <c r="D11" s="7" t="str">
        <f>'Ingest Template'!E11</f>
        <v/>
      </c>
      <c r="E11" s="5"/>
      <c r="F11" s="5"/>
      <c r="G11" s="5"/>
      <c r="H11" s="7"/>
      <c r="I11" s="5"/>
      <c r="J11" s="7" t="str">
        <f>'Ingest Template'!Q11</f>
        <v/>
      </c>
      <c r="K11" s="5" t="str">
        <f>'Ingest Template'!R11</f>
        <v/>
      </c>
      <c r="L11" s="8" t="s">
        <v>38</v>
      </c>
      <c r="M11" s="9"/>
      <c r="N11" s="5"/>
      <c r="O11" s="5"/>
      <c r="P11" s="5"/>
      <c r="Q11" s="5"/>
      <c r="R11" s="5" t="str">
        <f>'Ingest Template'!D11</f>
        <v/>
      </c>
      <c r="S11" s="5" t="str">
        <f>'Ingest Template'!G11</f>
        <v/>
      </c>
      <c r="T11" s="5" t="str">
        <f>'Ingest Template'!H11</f>
        <v/>
      </c>
      <c r="U11" s="5" t="str">
        <f>LOWER(SUBSTITUTE(SUBSTITUTE(SUBSTITUTE(SUBSTITUTE(SUBSTITUTE('Ingest Template'!I11,"https:",""),"www.",""),"/",""),"?hl=en",""),"instagram.com",""))</f>
        <v/>
      </c>
      <c r="V11" s="10" t="str">
        <f>'Ingest Template'!J11</f>
        <v/>
      </c>
      <c r="W11" s="10" t="str">
        <f>'Ingest Template'!K11</f>
        <v/>
      </c>
      <c r="X11" s="5"/>
      <c r="Y11" s="5" t="str">
        <f>SUBSTITUTE(SUBSTITUTE(SUBSTITUTE('Ingest Template'!L11,"http:",""),"https:",""),"/","")</f>
        <v/>
      </c>
      <c r="Z11" s="5" t="str">
        <f t="array" ref="Z11">IF('Ingest Template'!A11="Standard",(IF(ISBLANK('Ingest Template'!M11),"", 'Ingest Template'!M11&amp;"|DAR")),(IF(ISBLANK('Ingest Template'!M11),"", 'Ingest Template'!M11&amp;"|Operations - Core Title")))</f>
        <v/>
      </c>
      <c r="AA11" s="5"/>
      <c r="AB11" s="5" t="str">
        <f>'Ingest Template'!F11</f>
        <v/>
      </c>
      <c r="AC11" s="5"/>
      <c r="AD11" s="5"/>
      <c r="AE11" s="5"/>
      <c r="AF11" s="8"/>
      <c r="AG11" s="5" t="str">
        <f t="array" ref="AG11">IF('Ingest Template'!A11="Standard",(CONCATENATE(IF(ISBLANK('Ingest Template'!N11),"", 'Ingest Template'!N11&amp;"|DAR"),CHAR(10), IF(ISBLANK('Ingest Template'!O11),"", 'Ingest Template'!O11&amp;"|DAR"),CHAR(10), IF(ISBLANK('Ingest Template'!P11),"", 'Ingest Template'!P11&amp;"|DAR"))),(CONCATENATE(IF(ISBLANK('Ingest Template'!N11),"", 'Ingest Template'!N11&amp;"|Operations - Core Title"),CHAR(10), IF(ISBLANK('Ingest Template'!O11),"", 'Ingest Template'!O11&amp;"|Operations - Core Title"),CHAR(10), IF(ISBLANK('Ingest Template'!P11),"", 'Ingest Template'!P11&amp;"|Operations - Core Title"))))</f>
        <v>#|Operations - Core Title
</v>
      </c>
      <c r="AH11" s="5"/>
      <c r="AI11" s="5"/>
      <c r="AJ11" s="5"/>
      <c r="AK11" s="5"/>
      <c r="AL11" s="5"/>
    </row>
    <row r="12">
      <c r="A12" s="5"/>
      <c r="B12" s="5" t="str">
        <f>'Ingest Template'!B12&amp;IF('Ingest Template'!A12 = "Standard", " - DAR","")</f>
        <v/>
      </c>
      <c r="C12" s="6" t="str">
        <f>'Ingest Template'!C12</f>
        <v/>
      </c>
      <c r="D12" s="7" t="str">
        <f>'Ingest Template'!E12</f>
        <v/>
      </c>
      <c r="E12" s="5"/>
      <c r="F12" s="5"/>
      <c r="G12" s="5"/>
      <c r="H12" s="7"/>
      <c r="I12" s="5"/>
      <c r="J12" s="7" t="str">
        <f>'Ingest Template'!Q12</f>
        <v/>
      </c>
      <c r="K12" s="5" t="str">
        <f>'Ingest Template'!R12</f>
        <v/>
      </c>
      <c r="L12" s="8" t="s">
        <v>38</v>
      </c>
      <c r="M12" s="9"/>
      <c r="N12" s="5"/>
      <c r="O12" s="5"/>
      <c r="P12" s="5"/>
      <c r="Q12" s="5"/>
      <c r="R12" s="5" t="str">
        <f>'Ingest Template'!D12</f>
        <v/>
      </c>
      <c r="S12" s="5" t="str">
        <f>'Ingest Template'!G12</f>
        <v/>
      </c>
      <c r="T12" s="5" t="str">
        <f>'Ingest Template'!H12</f>
        <v/>
      </c>
      <c r="U12" s="5" t="str">
        <f>LOWER(SUBSTITUTE(SUBSTITUTE(SUBSTITUTE(SUBSTITUTE(SUBSTITUTE('Ingest Template'!I12,"https:",""),"www.",""),"/",""),"?hl=en",""),"instagram.com",""))</f>
        <v/>
      </c>
      <c r="V12" s="10" t="str">
        <f>'Ingest Template'!J12</f>
        <v/>
      </c>
      <c r="W12" s="10" t="str">
        <f>'Ingest Template'!K12</f>
        <v/>
      </c>
      <c r="X12" s="5"/>
      <c r="Y12" s="5" t="str">
        <f>SUBSTITUTE(SUBSTITUTE(SUBSTITUTE('Ingest Template'!L12,"http:",""),"https:",""),"/","")</f>
        <v/>
      </c>
      <c r="Z12" s="5" t="str">
        <f t="array" ref="Z12">IF('Ingest Template'!A12="Standard",(IF(ISBLANK('Ingest Template'!M12),"", 'Ingest Template'!M12&amp;"|DAR")),(IF(ISBLANK('Ingest Template'!M12),"", 'Ingest Template'!M12&amp;"|Operations - Core Title")))</f>
        <v/>
      </c>
      <c r="AA12" s="5"/>
      <c r="AB12" s="5" t="str">
        <f>'Ingest Template'!F12</f>
        <v/>
      </c>
      <c r="AC12" s="5"/>
      <c r="AD12" s="5"/>
      <c r="AE12" s="5"/>
      <c r="AF12" s="8"/>
      <c r="AG12" s="5" t="str">
        <f t="array" ref="AG12">IF('Ingest Template'!A12="Standard",(CONCATENATE(IF(ISBLANK('Ingest Template'!N12),"", 'Ingest Template'!N12&amp;"|DAR"),CHAR(10), IF(ISBLANK('Ingest Template'!O12),"", 'Ingest Template'!O12&amp;"|DAR"),CHAR(10), IF(ISBLANK('Ingest Template'!P12),"", 'Ingest Template'!P12&amp;"|DAR"))),(CONCATENATE(IF(ISBLANK('Ingest Template'!N12),"", 'Ingest Template'!N12&amp;"|Operations - Core Title"),CHAR(10), IF(ISBLANK('Ingest Template'!O12),"", 'Ingest Template'!O12&amp;"|Operations - Core Title"),CHAR(10), IF(ISBLANK('Ingest Template'!P12),"", 'Ingest Template'!P12&amp;"|Operations - Core Title"))))</f>
        <v>#|Operations - Core Title
</v>
      </c>
      <c r="AH12" s="5"/>
      <c r="AI12" s="5"/>
      <c r="AJ12" s="5"/>
      <c r="AK12" s="5"/>
      <c r="AL12" s="5"/>
    </row>
    <row r="13">
      <c r="A13" s="5"/>
      <c r="B13" s="5" t="str">
        <f>'Ingest Template'!B13&amp;IF('Ingest Template'!A13 = "Standard", " - DAR","")</f>
        <v/>
      </c>
      <c r="C13" s="6" t="str">
        <f>'Ingest Template'!C13</f>
        <v/>
      </c>
      <c r="D13" s="7" t="str">
        <f>'Ingest Template'!E13</f>
        <v/>
      </c>
      <c r="E13" s="5"/>
      <c r="F13" s="5"/>
      <c r="G13" s="5"/>
      <c r="H13" s="7"/>
      <c r="I13" s="5"/>
      <c r="J13" s="7" t="str">
        <f>'Ingest Template'!Q13</f>
        <v/>
      </c>
      <c r="K13" s="5" t="str">
        <f>'Ingest Template'!R13</f>
        <v/>
      </c>
      <c r="L13" s="8" t="s">
        <v>38</v>
      </c>
      <c r="M13" s="9"/>
      <c r="N13" s="5"/>
      <c r="O13" s="5"/>
      <c r="P13" s="5"/>
      <c r="Q13" s="5"/>
      <c r="R13" s="5" t="str">
        <f>'Ingest Template'!D13</f>
        <v/>
      </c>
      <c r="S13" s="5" t="str">
        <f>'Ingest Template'!G13</f>
        <v/>
      </c>
      <c r="T13" s="5" t="str">
        <f>'Ingest Template'!H13</f>
        <v/>
      </c>
      <c r="U13" s="5" t="str">
        <f>LOWER(SUBSTITUTE(SUBSTITUTE(SUBSTITUTE(SUBSTITUTE(SUBSTITUTE('Ingest Template'!I13,"https:",""),"www.",""),"/",""),"?hl=en",""),"instagram.com",""))</f>
        <v/>
      </c>
      <c r="V13" s="10" t="str">
        <f>'Ingest Template'!J13</f>
        <v/>
      </c>
      <c r="W13" s="10" t="str">
        <f>'Ingest Template'!K13</f>
        <v/>
      </c>
      <c r="X13" s="5"/>
      <c r="Y13" s="5" t="str">
        <f>SUBSTITUTE(SUBSTITUTE(SUBSTITUTE('Ingest Template'!L13,"http:",""),"https:",""),"/","")</f>
        <v/>
      </c>
      <c r="Z13" s="5" t="str">
        <f t="array" ref="Z13">IF('Ingest Template'!A13="Standard",(IF(ISBLANK('Ingest Template'!M13),"", 'Ingest Template'!M13&amp;"|DAR")),(IF(ISBLANK('Ingest Template'!M13),"", 'Ingest Template'!M13&amp;"|Operations - Core Title")))</f>
        <v/>
      </c>
      <c r="AA13" s="5"/>
      <c r="AB13" s="5" t="str">
        <f>'Ingest Template'!F13</f>
        <v/>
      </c>
      <c r="AC13" s="5"/>
      <c r="AD13" s="5"/>
      <c r="AE13" s="5"/>
      <c r="AF13" s="8"/>
      <c r="AG13" s="5" t="str">
        <f t="array" ref="AG13">IF('Ingest Template'!A13="Standard",(CONCATENATE(IF(ISBLANK('Ingest Template'!N13),"", 'Ingest Template'!N13&amp;"|DAR"),CHAR(10), IF(ISBLANK('Ingest Template'!O13),"", 'Ingest Template'!O13&amp;"|DAR"),CHAR(10), IF(ISBLANK('Ingest Template'!P13),"", 'Ingest Template'!P13&amp;"|DAR"))),(CONCATENATE(IF(ISBLANK('Ingest Template'!N13),"", 'Ingest Template'!N13&amp;"|Operations - Core Title"),CHAR(10), IF(ISBLANK('Ingest Template'!O13),"", 'Ingest Template'!O13&amp;"|Operations - Core Title"),CHAR(10), IF(ISBLANK('Ingest Template'!P13),"", 'Ingest Template'!P13&amp;"|Operations - Core Title"))))</f>
        <v>#|Operations - Core Title
</v>
      </c>
      <c r="AH13" s="5"/>
      <c r="AI13" s="5"/>
      <c r="AJ13" s="5"/>
      <c r="AK13" s="5"/>
      <c r="AL13" s="5"/>
    </row>
    <row r="14">
      <c r="A14" s="5"/>
      <c r="B14" s="5" t="str">
        <f>'Ingest Template'!B14&amp;IF('Ingest Template'!A14 = "Standard", " - DAR","")</f>
        <v/>
      </c>
      <c r="C14" s="6" t="str">
        <f>'Ingest Template'!C14</f>
        <v/>
      </c>
      <c r="D14" s="7" t="str">
        <f>'Ingest Template'!E14</f>
        <v/>
      </c>
      <c r="E14" s="5"/>
      <c r="F14" s="5"/>
      <c r="G14" s="5"/>
      <c r="H14" s="7"/>
      <c r="I14" s="5"/>
      <c r="J14" s="7" t="str">
        <f>'Ingest Template'!Q14</f>
        <v/>
      </c>
      <c r="K14" s="5" t="str">
        <f>'Ingest Template'!R14</f>
        <v/>
      </c>
      <c r="L14" s="8" t="s">
        <v>38</v>
      </c>
      <c r="M14" s="9"/>
      <c r="N14" s="5"/>
      <c r="O14" s="5"/>
      <c r="P14" s="5"/>
      <c r="Q14" s="5"/>
      <c r="R14" s="5" t="str">
        <f>'Ingest Template'!D14</f>
        <v/>
      </c>
      <c r="S14" s="5" t="str">
        <f>'Ingest Template'!G14</f>
        <v/>
      </c>
      <c r="T14" s="5" t="str">
        <f>'Ingest Template'!H14</f>
        <v/>
      </c>
      <c r="U14" s="5" t="str">
        <f>LOWER(SUBSTITUTE(SUBSTITUTE(SUBSTITUTE(SUBSTITUTE(SUBSTITUTE('Ingest Template'!I14,"https:",""),"www.",""),"/",""),"?hl=en",""),"instagram.com",""))</f>
        <v/>
      </c>
      <c r="V14" s="10" t="str">
        <f>'Ingest Template'!J14</f>
        <v/>
      </c>
      <c r="W14" s="10" t="str">
        <f>'Ingest Template'!K14</f>
        <v/>
      </c>
      <c r="X14" s="5"/>
      <c r="Y14" s="5" t="str">
        <f>SUBSTITUTE(SUBSTITUTE(SUBSTITUTE('Ingest Template'!L14,"http:",""),"https:",""),"/","")</f>
        <v/>
      </c>
      <c r="Z14" s="5" t="str">
        <f t="array" ref="Z14">IF('Ingest Template'!A14="Standard",(IF(ISBLANK('Ingest Template'!M14),"", 'Ingest Template'!M14&amp;"|DAR")),(IF(ISBLANK('Ingest Template'!M14),"", 'Ingest Template'!M14&amp;"|Operations - Core Title")))</f>
        <v/>
      </c>
      <c r="AA14" s="5"/>
      <c r="AB14" s="5" t="str">
        <f>'Ingest Template'!F14</f>
        <v/>
      </c>
      <c r="AC14" s="5"/>
      <c r="AD14" s="5"/>
      <c r="AE14" s="5"/>
      <c r="AF14" s="8"/>
      <c r="AG14" s="5" t="str">
        <f t="array" ref="AG14">IF('Ingest Template'!A14="Standard",(CONCATENATE(IF(ISBLANK('Ingest Template'!N14),"", 'Ingest Template'!N14&amp;"|DAR"),CHAR(10), IF(ISBLANK('Ingest Template'!O14),"", 'Ingest Template'!O14&amp;"|DAR"),CHAR(10), IF(ISBLANK('Ingest Template'!P14),"", 'Ingest Template'!P14&amp;"|DAR"))),(CONCATENATE(IF(ISBLANK('Ingest Template'!N14),"", 'Ingest Template'!N14&amp;"|Operations - Core Title"),CHAR(10), IF(ISBLANK('Ingest Template'!O14),"", 'Ingest Template'!O14&amp;"|Operations - Core Title"),CHAR(10), IF(ISBLANK('Ingest Template'!P14),"", 'Ingest Template'!P14&amp;"|Operations - Core Title"))))</f>
        <v>#|Operations - Core Title
</v>
      </c>
      <c r="AH14" s="5"/>
      <c r="AI14" s="5"/>
      <c r="AJ14" s="5"/>
      <c r="AK14" s="5"/>
      <c r="AL14" s="5"/>
    </row>
    <row r="15">
      <c r="A15" s="5"/>
      <c r="B15" s="5" t="str">
        <f>'Ingest Template'!B15&amp;IF('Ingest Template'!A15 = "Standard", " - DAR","")</f>
        <v/>
      </c>
      <c r="C15" s="6" t="str">
        <f>'Ingest Template'!C15</f>
        <v/>
      </c>
      <c r="D15" s="7" t="str">
        <f>'Ingest Template'!E15</f>
        <v/>
      </c>
      <c r="E15" s="5"/>
      <c r="F15" s="5"/>
      <c r="G15" s="5"/>
      <c r="H15" s="7"/>
      <c r="I15" s="5"/>
      <c r="J15" s="7" t="str">
        <f>'Ingest Template'!Q15</f>
        <v/>
      </c>
      <c r="K15" s="5" t="str">
        <f>'Ingest Template'!R15</f>
        <v/>
      </c>
      <c r="L15" s="8" t="s">
        <v>38</v>
      </c>
      <c r="M15" s="9"/>
      <c r="N15" s="5"/>
      <c r="O15" s="5"/>
      <c r="P15" s="5"/>
      <c r="Q15" s="5"/>
      <c r="R15" s="5" t="str">
        <f>'Ingest Template'!D15</f>
        <v/>
      </c>
      <c r="S15" s="5" t="str">
        <f>'Ingest Template'!G15</f>
        <v/>
      </c>
      <c r="T15" s="5" t="str">
        <f>'Ingest Template'!H15</f>
        <v/>
      </c>
      <c r="U15" s="5" t="str">
        <f>LOWER(SUBSTITUTE(SUBSTITUTE(SUBSTITUTE(SUBSTITUTE(SUBSTITUTE('Ingest Template'!I15,"https:",""),"www.",""),"/",""),"?hl=en",""),"instagram.com",""))</f>
        <v/>
      </c>
      <c r="V15" s="10" t="str">
        <f>'Ingest Template'!J15</f>
        <v/>
      </c>
      <c r="W15" s="10" t="str">
        <f>'Ingest Template'!K15</f>
        <v/>
      </c>
      <c r="X15" s="5"/>
      <c r="Y15" s="5" t="str">
        <f>SUBSTITUTE(SUBSTITUTE(SUBSTITUTE('Ingest Template'!L15,"http:",""),"https:",""),"/","")</f>
        <v/>
      </c>
      <c r="Z15" s="5" t="str">
        <f t="array" ref="Z15">IF('Ingest Template'!A15="Standard",(IF(ISBLANK('Ingest Template'!M15),"", 'Ingest Template'!M15&amp;"|DAR")),(IF(ISBLANK('Ingest Template'!M15),"", 'Ingest Template'!M15&amp;"|Operations - Core Title")))</f>
        <v/>
      </c>
      <c r="AA15" s="5"/>
      <c r="AB15" s="5" t="str">
        <f>'Ingest Template'!F15</f>
        <v/>
      </c>
      <c r="AC15" s="5"/>
      <c r="AD15" s="5"/>
      <c r="AE15" s="5"/>
      <c r="AF15" s="8"/>
      <c r="AG15" s="5" t="str">
        <f t="array" ref="AG15">IF('Ingest Template'!A15="Standard",(CONCATENATE(IF(ISBLANK('Ingest Template'!N15),"", 'Ingest Template'!N15&amp;"|DAR"),CHAR(10), IF(ISBLANK('Ingest Template'!O15),"", 'Ingest Template'!O15&amp;"|DAR"),CHAR(10), IF(ISBLANK('Ingest Template'!P15),"", 'Ingest Template'!P15&amp;"|DAR"))),(CONCATENATE(IF(ISBLANK('Ingest Template'!N15),"", 'Ingest Template'!N15&amp;"|Operations - Core Title"),CHAR(10), IF(ISBLANK('Ingest Template'!O15),"", 'Ingest Template'!O15&amp;"|Operations - Core Title"),CHAR(10), IF(ISBLANK('Ingest Template'!P15),"", 'Ingest Template'!P15&amp;"|Operations - Core Title"))))</f>
        <v>#|Operations - Core Title
</v>
      </c>
      <c r="AH15" s="5"/>
      <c r="AI15" s="5"/>
      <c r="AJ15" s="5"/>
      <c r="AK15" s="5"/>
      <c r="AL15" s="5"/>
    </row>
    <row r="16">
      <c r="A16" s="5"/>
      <c r="B16" s="5" t="str">
        <f>'Ingest Template'!B16&amp;IF('Ingest Template'!A16 = "Standard", " - DAR","")</f>
        <v/>
      </c>
      <c r="C16" s="6" t="str">
        <f>'Ingest Template'!C16</f>
        <v/>
      </c>
      <c r="D16" s="7" t="str">
        <f>'Ingest Template'!E16</f>
        <v/>
      </c>
      <c r="E16" s="5"/>
      <c r="F16" s="5"/>
      <c r="G16" s="5"/>
      <c r="H16" s="7"/>
      <c r="I16" s="5"/>
      <c r="J16" s="7" t="str">
        <f>'Ingest Template'!Q16</f>
        <v/>
      </c>
      <c r="K16" s="5" t="str">
        <f>'Ingest Template'!R16</f>
        <v/>
      </c>
      <c r="L16" s="8" t="s">
        <v>38</v>
      </c>
      <c r="M16" s="9"/>
      <c r="N16" s="5"/>
      <c r="O16" s="5"/>
      <c r="P16" s="5"/>
      <c r="Q16" s="5"/>
      <c r="R16" s="5" t="str">
        <f>'Ingest Template'!D16</f>
        <v/>
      </c>
      <c r="S16" s="5" t="str">
        <f>'Ingest Template'!G16</f>
        <v/>
      </c>
      <c r="T16" s="5" t="str">
        <f>'Ingest Template'!H16</f>
        <v/>
      </c>
      <c r="U16" s="5" t="str">
        <f>LOWER(SUBSTITUTE(SUBSTITUTE(SUBSTITUTE(SUBSTITUTE(SUBSTITUTE('Ingest Template'!I16,"https:",""),"www.",""),"/",""),"?hl=en",""),"instagram.com",""))</f>
        <v/>
      </c>
      <c r="V16" s="10" t="str">
        <f>'Ingest Template'!J16</f>
        <v/>
      </c>
      <c r="W16" s="10" t="str">
        <f>'Ingest Template'!K16</f>
        <v/>
      </c>
      <c r="X16" s="5"/>
      <c r="Y16" s="5" t="str">
        <f>SUBSTITUTE(SUBSTITUTE(SUBSTITUTE('Ingest Template'!L16,"http:",""),"https:",""),"/","")</f>
        <v/>
      </c>
      <c r="Z16" s="5" t="str">
        <f t="array" ref="Z16">IF('Ingest Template'!A16="Standard",(IF(ISBLANK('Ingest Template'!M16),"", 'Ingest Template'!M16&amp;"|DAR")),(IF(ISBLANK('Ingest Template'!M16),"", 'Ingest Template'!M16&amp;"|Operations - Core Title")))</f>
        <v/>
      </c>
      <c r="AA16" s="5"/>
      <c r="AB16" s="5" t="str">
        <f>'Ingest Template'!F16</f>
        <v/>
      </c>
      <c r="AC16" s="5"/>
      <c r="AD16" s="5"/>
      <c r="AE16" s="5"/>
      <c r="AF16" s="8"/>
      <c r="AG16" s="5" t="str">
        <f t="array" ref="AG16">IF('Ingest Template'!A16="Standard",(CONCATENATE(IF(ISBLANK('Ingest Template'!N16),"", 'Ingest Template'!N16&amp;"|DAR"),CHAR(10), IF(ISBLANK('Ingest Template'!O16),"", 'Ingest Template'!O16&amp;"|DAR"),CHAR(10), IF(ISBLANK('Ingest Template'!P16),"", 'Ingest Template'!P16&amp;"|DAR"))),(CONCATENATE(IF(ISBLANK('Ingest Template'!N16),"", 'Ingest Template'!N16&amp;"|Operations - Core Title"),CHAR(10), IF(ISBLANK('Ingest Template'!O16),"", 'Ingest Template'!O16&amp;"|Operations - Core Title"),CHAR(10), IF(ISBLANK('Ingest Template'!P16),"", 'Ingest Template'!P16&amp;"|Operations - Core Title"))))</f>
        <v>#|Operations - Core Title
</v>
      </c>
      <c r="AH16" s="5"/>
      <c r="AI16" s="5"/>
      <c r="AJ16" s="5"/>
      <c r="AK16" s="5"/>
      <c r="AL16" s="5"/>
    </row>
    <row r="17">
      <c r="A17" s="5"/>
      <c r="B17" s="5" t="str">
        <f>'Ingest Template'!B17&amp;IF('Ingest Template'!A17 = "Standard", " - DAR","")</f>
        <v/>
      </c>
      <c r="C17" s="6" t="str">
        <f>'Ingest Template'!C17</f>
        <v/>
      </c>
      <c r="D17" s="7" t="str">
        <f>'Ingest Template'!E17</f>
        <v/>
      </c>
      <c r="E17" s="5"/>
      <c r="F17" s="5"/>
      <c r="G17" s="5"/>
      <c r="H17" s="7"/>
      <c r="I17" s="5"/>
      <c r="J17" s="7" t="str">
        <f>'Ingest Template'!Q17</f>
        <v/>
      </c>
      <c r="K17" s="5" t="str">
        <f>'Ingest Template'!R17</f>
        <v/>
      </c>
      <c r="L17" s="8" t="s">
        <v>38</v>
      </c>
      <c r="M17" s="9"/>
      <c r="N17" s="5"/>
      <c r="O17" s="5"/>
      <c r="P17" s="5"/>
      <c r="Q17" s="5"/>
      <c r="R17" s="5" t="str">
        <f>'Ingest Template'!D17</f>
        <v/>
      </c>
      <c r="S17" s="5" t="str">
        <f>'Ingest Template'!G17</f>
        <v/>
      </c>
      <c r="T17" s="5" t="str">
        <f>'Ingest Template'!H17</f>
        <v/>
      </c>
      <c r="U17" s="5" t="str">
        <f>LOWER(SUBSTITUTE(SUBSTITUTE(SUBSTITUTE(SUBSTITUTE(SUBSTITUTE('Ingest Template'!I17,"https:",""),"www.",""),"/",""),"?hl=en",""),"instagram.com",""))</f>
        <v/>
      </c>
      <c r="V17" s="10" t="str">
        <f>'Ingest Template'!J17</f>
        <v/>
      </c>
      <c r="W17" s="10" t="str">
        <f>'Ingest Template'!K17</f>
        <v/>
      </c>
      <c r="X17" s="5"/>
      <c r="Y17" s="5" t="str">
        <f>SUBSTITUTE(SUBSTITUTE(SUBSTITUTE('Ingest Template'!L17,"http:",""),"https:",""),"/","")</f>
        <v/>
      </c>
      <c r="Z17" s="5" t="str">
        <f t="array" ref="Z17">IF('Ingest Template'!A17="Standard",(IF(ISBLANK('Ingest Template'!M17),"", 'Ingest Template'!M17&amp;"|DAR")),(IF(ISBLANK('Ingest Template'!M17),"", 'Ingest Template'!M17&amp;"|Operations - Core Title")))</f>
        <v/>
      </c>
      <c r="AA17" s="5"/>
      <c r="AB17" s="5" t="str">
        <f>'Ingest Template'!F17</f>
        <v/>
      </c>
      <c r="AC17" s="5"/>
      <c r="AD17" s="5"/>
      <c r="AE17" s="5"/>
      <c r="AF17" s="8"/>
      <c r="AG17" s="5" t="str">
        <f t="array" ref="AG17">IF('Ingest Template'!A17="Standard",(CONCATENATE(IF(ISBLANK('Ingest Template'!N17),"", 'Ingest Template'!N17&amp;"|DAR"),CHAR(10), IF(ISBLANK('Ingest Template'!O17),"", 'Ingest Template'!O17&amp;"|DAR"),CHAR(10), IF(ISBLANK('Ingest Template'!P17),"", 'Ingest Template'!P17&amp;"|DAR"))),(CONCATENATE(IF(ISBLANK('Ingest Template'!N17),"", 'Ingest Template'!N17&amp;"|Operations - Core Title"),CHAR(10), IF(ISBLANK('Ingest Template'!O17),"", 'Ingest Template'!O17&amp;"|Operations - Core Title"),CHAR(10), IF(ISBLANK('Ingest Template'!P17),"", 'Ingest Template'!P17&amp;"|Operations - Core Title"))))</f>
        <v>#|Operations - Core Title
</v>
      </c>
      <c r="AH17" s="5"/>
      <c r="AI17" s="5"/>
      <c r="AJ17" s="5"/>
      <c r="AK17" s="5"/>
      <c r="AL17" s="5"/>
    </row>
    <row r="18">
      <c r="A18" s="5"/>
      <c r="B18" s="5" t="str">
        <f>'Ingest Template'!B18&amp;IF('Ingest Template'!A18 = "Standard", " - DAR","")</f>
        <v/>
      </c>
      <c r="C18" s="6" t="str">
        <f>'Ingest Template'!C18</f>
        <v/>
      </c>
      <c r="D18" s="7" t="str">
        <f>'Ingest Template'!E18</f>
        <v/>
      </c>
      <c r="E18" s="5"/>
      <c r="F18" s="5"/>
      <c r="G18" s="5"/>
      <c r="H18" s="7"/>
      <c r="I18" s="5"/>
      <c r="J18" s="7" t="str">
        <f>'Ingest Template'!Q18</f>
        <v/>
      </c>
      <c r="K18" s="5" t="str">
        <f>'Ingest Template'!R18</f>
        <v/>
      </c>
      <c r="L18" s="8" t="s">
        <v>38</v>
      </c>
      <c r="M18" s="9"/>
      <c r="N18" s="5"/>
      <c r="O18" s="5"/>
      <c r="P18" s="5"/>
      <c r="Q18" s="5"/>
      <c r="R18" s="5" t="str">
        <f>'Ingest Template'!D18</f>
        <v/>
      </c>
      <c r="S18" s="5" t="str">
        <f>'Ingest Template'!G18</f>
        <v/>
      </c>
      <c r="T18" s="5" t="str">
        <f>'Ingest Template'!H18</f>
        <v/>
      </c>
      <c r="U18" s="5" t="str">
        <f>LOWER(SUBSTITUTE(SUBSTITUTE(SUBSTITUTE(SUBSTITUTE(SUBSTITUTE('Ingest Template'!I18,"https:",""),"www.",""),"/",""),"?hl=en",""),"instagram.com",""))</f>
        <v/>
      </c>
      <c r="V18" s="10" t="str">
        <f>'Ingest Template'!J18</f>
        <v/>
      </c>
      <c r="W18" s="10" t="str">
        <f>'Ingest Template'!K18</f>
        <v/>
      </c>
      <c r="X18" s="5"/>
      <c r="Y18" s="5" t="str">
        <f>SUBSTITUTE(SUBSTITUTE(SUBSTITUTE('Ingest Template'!L18,"http:",""),"https:",""),"/","")</f>
        <v/>
      </c>
      <c r="Z18" s="5" t="str">
        <f t="array" ref="Z18">IF('Ingest Template'!A18="Standard",(IF(ISBLANK('Ingest Template'!M18),"", 'Ingest Template'!M18&amp;"|DAR")),(IF(ISBLANK('Ingest Template'!M18),"", 'Ingest Template'!M18&amp;"|Operations - Core Title")))</f>
        <v/>
      </c>
      <c r="AA18" s="5"/>
      <c r="AB18" s="5" t="str">
        <f>'Ingest Template'!F18</f>
        <v/>
      </c>
      <c r="AC18" s="5"/>
      <c r="AD18" s="5"/>
      <c r="AE18" s="5"/>
      <c r="AF18" s="8"/>
      <c r="AG18" s="5" t="str">
        <f t="array" ref="AG18">IF('Ingest Template'!A18="Standard",(CONCATENATE(IF(ISBLANK('Ingest Template'!N18),"", 'Ingest Template'!N18&amp;"|DAR"),CHAR(10), IF(ISBLANK('Ingest Template'!O18),"", 'Ingest Template'!O18&amp;"|DAR"),CHAR(10), IF(ISBLANK('Ingest Template'!P18),"", 'Ingest Template'!P18&amp;"|DAR"))),(CONCATENATE(IF(ISBLANK('Ingest Template'!N18),"", 'Ingest Template'!N18&amp;"|Operations - Core Title"),CHAR(10), IF(ISBLANK('Ingest Template'!O18),"", 'Ingest Template'!O18&amp;"|Operations - Core Title"),CHAR(10), IF(ISBLANK('Ingest Template'!P18),"", 'Ingest Template'!P18&amp;"|Operations - Core Title"))))</f>
        <v>#|Operations - Core Title
</v>
      </c>
      <c r="AH18" s="5"/>
      <c r="AI18" s="5"/>
      <c r="AJ18" s="5"/>
      <c r="AK18" s="5"/>
      <c r="AL18" s="5"/>
    </row>
    <row r="19">
      <c r="A19" s="5"/>
      <c r="B19" s="5" t="str">
        <f>'Ingest Template'!B19&amp;IF('Ingest Template'!A19 = "Standard", " - DAR","")</f>
        <v/>
      </c>
      <c r="C19" s="6" t="str">
        <f>'Ingest Template'!C19</f>
        <v/>
      </c>
      <c r="D19" s="7" t="str">
        <f>'Ingest Template'!E19</f>
        <v/>
      </c>
      <c r="E19" s="5"/>
      <c r="F19" s="5"/>
      <c r="G19" s="5"/>
      <c r="H19" s="7"/>
      <c r="I19" s="5"/>
      <c r="J19" s="7" t="str">
        <f>'Ingest Template'!Q19</f>
        <v/>
      </c>
      <c r="K19" s="5" t="str">
        <f>'Ingest Template'!R19</f>
        <v/>
      </c>
      <c r="L19" s="8" t="s">
        <v>38</v>
      </c>
      <c r="M19" s="9"/>
      <c r="N19" s="5"/>
      <c r="O19" s="5"/>
      <c r="P19" s="5"/>
      <c r="Q19" s="5"/>
      <c r="R19" s="5" t="str">
        <f>'Ingest Template'!D19</f>
        <v/>
      </c>
      <c r="S19" s="5" t="str">
        <f>'Ingest Template'!G19</f>
        <v/>
      </c>
      <c r="T19" s="5" t="str">
        <f>'Ingest Template'!H19</f>
        <v/>
      </c>
      <c r="U19" s="5" t="str">
        <f>LOWER(SUBSTITUTE(SUBSTITUTE(SUBSTITUTE(SUBSTITUTE(SUBSTITUTE('Ingest Template'!I19,"https:",""),"www.",""),"/",""),"?hl=en",""),"instagram.com",""))</f>
        <v/>
      </c>
      <c r="V19" s="10" t="str">
        <f>'Ingest Template'!J19</f>
        <v/>
      </c>
      <c r="W19" s="10" t="str">
        <f>'Ingest Template'!K19</f>
        <v/>
      </c>
      <c r="X19" s="5"/>
      <c r="Y19" s="5" t="str">
        <f>SUBSTITUTE(SUBSTITUTE(SUBSTITUTE('Ingest Template'!L19,"http:",""),"https:",""),"/","")</f>
        <v/>
      </c>
      <c r="Z19" s="5" t="str">
        <f t="array" ref="Z19">IF('Ingest Template'!A19="Standard",(IF(ISBLANK('Ingest Template'!M19),"", 'Ingest Template'!M19&amp;"|DAR")),(IF(ISBLANK('Ingest Template'!M19),"", 'Ingest Template'!M19&amp;"|Operations - Core Title")))</f>
        <v/>
      </c>
      <c r="AA19" s="5"/>
      <c r="AB19" s="5" t="str">
        <f>'Ingest Template'!F19</f>
        <v/>
      </c>
      <c r="AC19" s="5"/>
      <c r="AD19" s="5"/>
      <c r="AE19" s="5"/>
      <c r="AF19" s="8"/>
      <c r="AG19" s="5" t="str">
        <f t="array" ref="AG19">IF('Ingest Template'!A19="Standard",(CONCATENATE(IF(ISBLANK('Ingest Template'!N19),"", 'Ingest Template'!N19&amp;"|DAR"),CHAR(10), IF(ISBLANK('Ingest Template'!O19),"", 'Ingest Template'!O19&amp;"|DAR"),CHAR(10), IF(ISBLANK('Ingest Template'!P19),"", 'Ingest Template'!P19&amp;"|DAR"))),(CONCATENATE(IF(ISBLANK('Ingest Template'!N19),"", 'Ingest Template'!N19&amp;"|Operations - Core Title"),CHAR(10), IF(ISBLANK('Ingest Template'!O19),"", 'Ingest Template'!O19&amp;"|Operations - Core Title"),CHAR(10), IF(ISBLANK('Ingest Template'!P19),"", 'Ingest Template'!P19&amp;"|Operations - Core Title"))))</f>
        <v>#|Operations - Core Title
</v>
      </c>
      <c r="AH19" s="5"/>
      <c r="AI19" s="5"/>
      <c r="AJ19" s="5"/>
      <c r="AK19" s="5"/>
      <c r="AL19" s="5"/>
    </row>
    <row r="20">
      <c r="A20" s="5"/>
      <c r="B20" s="5" t="str">
        <f>'Ingest Template'!B20&amp;IF('Ingest Template'!A20 = "Standard", " - DAR","")</f>
        <v/>
      </c>
      <c r="C20" s="6" t="str">
        <f>'Ingest Template'!C20</f>
        <v/>
      </c>
      <c r="D20" s="7" t="str">
        <f>'Ingest Template'!E20</f>
        <v/>
      </c>
      <c r="E20" s="5"/>
      <c r="F20" s="5"/>
      <c r="G20" s="5"/>
      <c r="H20" s="7"/>
      <c r="I20" s="5"/>
      <c r="J20" s="7" t="str">
        <f>'Ingest Template'!Q20</f>
        <v/>
      </c>
      <c r="K20" s="5" t="str">
        <f>'Ingest Template'!R20</f>
        <v/>
      </c>
      <c r="L20" s="8" t="s">
        <v>38</v>
      </c>
      <c r="M20" s="9"/>
      <c r="N20" s="5"/>
      <c r="O20" s="5"/>
      <c r="P20" s="5"/>
      <c r="Q20" s="5"/>
      <c r="R20" s="5" t="str">
        <f>'Ingest Template'!D20</f>
        <v/>
      </c>
      <c r="S20" s="5" t="str">
        <f>'Ingest Template'!G20</f>
        <v/>
      </c>
      <c r="T20" s="5" t="str">
        <f>'Ingest Template'!H20</f>
        <v/>
      </c>
      <c r="U20" s="5" t="str">
        <f>LOWER(SUBSTITUTE(SUBSTITUTE(SUBSTITUTE(SUBSTITUTE(SUBSTITUTE('Ingest Template'!I20,"https:",""),"www.",""),"/",""),"?hl=en",""),"instagram.com",""))</f>
        <v/>
      </c>
      <c r="V20" s="10" t="str">
        <f>'Ingest Template'!J20</f>
        <v/>
      </c>
      <c r="W20" s="10" t="str">
        <f>'Ingest Template'!K20</f>
        <v/>
      </c>
      <c r="X20" s="5"/>
      <c r="Y20" s="5" t="str">
        <f>SUBSTITUTE(SUBSTITUTE(SUBSTITUTE('Ingest Template'!L20,"http:",""),"https:",""),"/","")</f>
        <v/>
      </c>
      <c r="Z20" s="5" t="str">
        <f t="array" ref="Z20">IF('Ingest Template'!A20="Standard",(IF(ISBLANK('Ingest Template'!M20),"", 'Ingest Template'!M20&amp;"|DAR")),(IF(ISBLANK('Ingest Template'!M20),"", 'Ingest Template'!M20&amp;"|Operations - Core Title")))</f>
        <v/>
      </c>
      <c r="AA20" s="5"/>
      <c r="AB20" s="5" t="str">
        <f>'Ingest Template'!F20</f>
        <v/>
      </c>
      <c r="AC20" s="5"/>
      <c r="AD20" s="5"/>
      <c r="AE20" s="5"/>
      <c r="AF20" s="8"/>
      <c r="AG20" s="5" t="str">
        <f t="array" ref="AG20">IF('Ingest Template'!A20="Standard",(CONCATENATE(IF(ISBLANK('Ingest Template'!N20),"", 'Ingest Template'!N20&amp;"|DAR"),CHAR(10), IF(ISBLANK('Ingest Template'!O20),"", 'Ingest Template'!O20&amp;"|DAR"),CHAR(10), IF(ISBLANK('Ingest Template'!P20),"", 'Ingest Template'!P20&amp;"|DAR"))),(CONCATENATE(IF(ISBLANK('Ingest Template'!N20),"", 'Ingest Template'!N20&amp;"|Operations - Core Title"),CHAR(10), IF(ISBLANK('Ingest Template'!O20),"", 'Ingest Template'!O20&amp;"|Operations - Core Title"),CHAR(10), IF(ISBLANK('Ingest Template'!P20),"", 'Ingest Template'!P20&amp;"|Operations - Core Title"))))</f>
        <v>#|Operations - Core Title
</v>
      </c>
      <c r="AH20" s="5"/>
      <c r="AI20" s="5"/>
      <c r="AJ20" s="5"/>
      <c r="AK20" s="5"/>
      <c r="AL20" s="5"/>
    </row>
    <row r="21">
      <c r="A21" s="5"/>
      <c r="B21" s="5" t="str">
        <f>'Ingest Template'!B21&amp;IF('Ingest Template'!A21 = "Standard", " - DAR","")</f>
        <v/>
      </c>
      <c r="C21" s="6" t="str">
        <f>'Ingest Template'!C21</f>
        <v/>
      </c>
      <c r="D21" s="7" t="str">
        <f>'Ingest Template'!E21</f>
        <v/>
      </c>
      <c r="E21" s="5"/>
      <c r="F21" s="5"/>
      <c r="G21" s="5"/>
      <c r="H21" s="7"/>
      <c r="I21" s="5"/>
      <c r="J21" s="7" t="str">
        <f>'Ingest Template'!Q21</f>
        <v/>
      </c>
      <c r="K21" s="5" t="str">
        <f>'Ingest Template'!R21</f>
        <v/>
      </c>
      <c r="L21" s="8" t="s">
        <v>38</v>
      </c>
      <c r="M21" s="9"/>
      <c r="N21" s="5"/>
      <c r="O21" s="5"/>
      <c r="P21" s="5"/>
      <c r="Q21" s="5"/>
      <c r="R21" s="5" t="str">
        <f>'Ingest Template'!D21</f>
        <v/>
      </c>
      <c r="S21" s="5" t="str">
        <f>'Ingest Template'!G21</f>
        <v/>
      </c>
      <c r="T21" s="5" t="str">
        <f>'Ingest Template'!H21</f>
        <v/>
      </c>
      <c r="U21" s="5" t="str">
        <f>LOWER(SUBSTITUTE(SUBSTITUTE(SUBSTITUTE(SUBSTITUTE(SUBSTITUTE('Ingest Template'!I21,"https:",""),"www.",""),"/",""),"?hl=en",""),"instagram.com",""))</f>
        <v/>
      </c>
      <c r="V21" s="10" t="str">
        <f>'Ingest Template'!J21</f>
        <v/>
      </c>
      <c r="W21" s="10" t="str">
        <f>'Ingest Template'!K21</f>
        <v/>
      </c>
      <c r="X21" s="5"/>
      <c r="Y21" s="5" t="str">
        <f>SUBSTITUTE(SUBSTITUTE(SUBSTITUTE('Ingest Template'!L21,"http:",""),"https:",""),"/","")</f>
        <v/>
      </c>
      <c r="Z21" s="5" t="str">
        <f t="array" ref="Z21">IF('Ingest Template'!A21="Standard",(IF(ISBLANK('Ingest Template'!M21),"", 'Ingest Template'!M21&amp;"|DAR")),(IF(ISBLANK('Ingest Template'!M21),"", 'Ingest Template'!M21&amp;"|Operations - Core Title")))</f>
        <v/>
      </c>
      <c r="AA21" s="5"/>
      <c r="AB21" s="5" t="str">
        <f>'Ingest Template'!F21</f>
        <v/>
      </c>
      <c r="AC21" s="5"/>
      <c r="AD21" s="5"/>
      <c r="AE21" s="5"/>
      <c r="AF21" s="8"/>
      <c r="AG21" s="5" t="str">
        <f t="array" ref="AG21">IF('Ingest Template'!A21="Standard",(CONCATENATE(IF(ISBLANK('Ingest Template'!N21),"", 'Ingest Template'!N21&amp;"|DAR"),CHAR(10), IF(ISBLANK('Ingest Template'!O21),"", 'Ingest Template'!O21&amp;"|DAR"),CHAR(10), IF(ISBLANK('Ingest Template'!P21),"", 'Ingest Template'!P21&amp;"|DAR"))),(CONCATENATE(IF(ISBLANK('Ingest Template'!N21),"", 'Ingest Template'!N21&amp;"|Operations - Core Title"),CHAR(10), IF(ISBLANK('Ingest Template'!O21),"", 'Ingest Template'!O21&amp;"|Operations - Core Title"),CHAR(10), IF(ISBLANK('Ingest Template'!P21),"", 'Ingest Template'!P21&amp;"|Operations - Core Title"))))</f>
        <v>#|Operations - Core Title
</v>
      </c>
      <c r="AH21" s="5"/>
      <c r="AI21" s="5"/>
      <c r="AJ21" s="5"/>
      <c r="AK21" s="5"/>
      <c r="AL21" s="5"/>
    </row>
    <row r="22">
      <c r="A22" s="5"/>
      <c r="B22" s="5" t="str">
        <f>'Ingest Template'!B22&amp;IF('Ingest Template'!A22 = "Standard", " - DAR","")</f>
        <v/>
      </c>
      <c r="C22" s="6" t="str">
        <f>'Ingest Template'!C22</f>
        <v/>
      </c>
      <c r="D22" s="7" t="str">
        <f>'Ingest Template'!E22</f>
        <v/>
      </c>
      <c r="E22" s="5"/>
      <c r="F22" s="5"/>
      <c r="G22" s="5"/>
      <c r="H22" s="7"/>
      <c r="I22" s="5"/>
      <c r="J22" s="7" t="str">
        <f>'Ingest Template'!Q22</f>
        <v/>
      </c>
      <c r="K22" s="5" t="str">
        <f>'Ingest Template'!R22</f>
        <v/>
      </c>
      <c r="L22" s="8" t="s">
        <v>38</v>
      </c>
      <c r="M22" s="9"/>
      <c r="N22" s="5"/>
      <c r="O22" s="5"/>
      <c r="P22" s="5"/>
      <c r="Q22" s="5"/>
      <c r="R22" s="5" t="str">
        <f>'Ingest Template'!D22</f>
        <v/>
      </c>
      <c r="S22" s="5" t="str">
        <f>'Ingest Template'!G22</f>
        <v/>
      </c>
      <c r="T22" s="5" t="str">
        <f>'Ingest Template'!H22</f>
        <v/>
      </c>
      <c r="U22" s="5" t="str">
        <f>LOWER(SUBSTITUTE(SUBSTITUTE(SUBSTITUTE(SUBSTITUTE(SUBSTITUTE('Ingest Template'!I22,"https:",""),"www.",""),"/",""),"?hl=en",""),"instagram.com",""))</f>
        <v/>
      </c>
      <c r="V22" s="10" t="str">
        <f>'Ingest Template'!J22</f>
        <v/>
      </c>
      <c r="W22" s="10" t="str">
        <f>'Ingest Template'!K22</f>
        <v/>
      </c>
      <c r="X22" s="5"/>
      <c r="Y22" s="5" t="str">
        <f>SUBSTITUTE(SUBSTITUTE(SUBSTITUTE('Ingest Template'!L22,"http:",""),"https:",""),"/","")</f>
        <v/>
      </c>
      <c r="Z22" s="5" t="str">
        <f t="array" ref="Z22">IF('Ingest Template'!A22="Standard",(IF(ISBLANK('Ingest Template'!M22),"", 'Ingest Template'!M22&amp;"|DAR")),(IF(ISBLANK('Ingest Template'!M22),"", 'Ingest Template'!M22&amp;"|Operations - Core Title")))</f>
        <v/>
      </c>
      <c r="AA22" s="5"/>
      <c r="AB22" s="5" t="str">
        <f>'Ingest Template'!F22</f>
        <v/>
      </c>
      <c r="AC22" s="5"/>
      <c r="AD22" s="5"/>
      <c r="AE22" s="5"/>
      <c r="AF22" s="8"/>
      <c r="AG22" s="5" t="str">
        <f t="array" ref="AG22">IF('Ingest Template'!A22="Standard",(CONCATENATE(IF(ISBLANK('Ingest Template'!N22),"", 'Ingest Template'!N22&amp;"|DAR"),CHAR(10), IF(ISBLANK('Ingest Template'!O22),"", 'Ingest Template'!O22&amp;"|DAR"),CHAR(10), IF(ISBLANK('Ingest Template'!P22),"", 'Ingest Template'!P22&amp;"|DAR"))),(CONCATENATE(IF(ISBLANK('Ingest Template'!N22),"", 'Ingest Template'!N22&amp;"|Operations - Core Title"),CHAR(10), IF(ISBLANK('Ingest Template'!O22),"", 'Ingest Template'!O22&amp;"|Operations - Core Title"),CHAR(10), IF(ISBLANK('Ingest Template'!P22),"", 'Ingest Template'!P22&amp;"|Operations - Core Title"))))</f>
        <v>#|Operations - Core Title
</v>
      </c>
      <c r="AH22" s="5"/>
      <c r="AI22" s="5"/>
      <c r="AJ22" s="5"/>
      <c r="AK22" s="5"/>
      <c r="AL22" s="5"/>
    </row>
    <row r="23">
      <c r="A23" s="5"/>
      <c r="B23" s="5" t="str">
        <f>'Ingest Template'!B23&amp;IF('Ingest Template'!A23 = "Standard", " - DAR","")</f>
        <v/>
      </c>
      <c r="C23" s="6" t="str">
        <f>'Ingest Template'!C23</f>
        <v/>
      </c>
      <c r="D23" s="7" t="str">
        <f>'Ingest Template'!E23</f>
        <v/>
      </c>
      <c r="E23" s="5"/>
      <c r="F23" s="5"/>
      <c r="G23" s="5"/>
      <c r="H23" s="7"/>
      <c r="I23" s="5"/>
      <c r="J23" s="7" t="str">
        <f>'Ingest Template'!Q23</f>
        <v/>
      </c>
      <c r="K23" s="5" t="str">
        <f>'Ingest Template'!R23</f>
        <v/>
      </c>
      <c r="L23" s="8" t="s">
        <v>38</v>
      </c>
      <c r="M23" s="9"/>
      <c r="N23" s="5"/>
      <c r="O23" s="5"/>
      <c r="P23" s="5"/>
      <c r="Q23" s="5"/>
      <c r="R23" s="5" t="str">
        <f>'Ingest Template'!D23</f>
        <v/>
      </c>
      <c r="S23" s="5" t="str">
        <f>'Ingest Template'!G23</f>
        <v/>
      </c>
      <c r="T23" s="5" t="str">
        <f>'Ingest Template'!H23</f>
        <v/>
      </c>
      <c r="U23" s="5" t="str">
        <f>LOWER(SUBSTITUTE(SUBSTITUTE(SUBSTITUTE(SUBSTITUTE(SUBSTITUTE('Ingest Template'!I23,"https:",""),"www.",""),"/",""),"?hl=en",""),"instagram.com",""))</f>
        <v/>
      </c>
      <c r="V23" s="10" t="str">
        <f>'Ingest Template'!J23</f>
        <v/>
      </c>
      <c r="W23" s="10" t="str">
        <f>'Ingest Template'!K23</f>
        <v/>
      </c>
      <c r="X23" s="5"/>
      <c r="Y23" s="5" t="str">
        <f>SUBSTITUTE(SUBSTITUTE(SUBSTITUTE('Ingest Template'!L23,"http:",""),"https:",""),"/","")</f>
        <v/>
      </c>
      <c r="Z23" s="5" t="str">
        <f t="array" ref="Z23">IF('Ingest Template'!A23="Standard",(IF(ISBLANK('Ingest Template'!M23),"", 'Ingest Template'!M23&amp;"|DAR")),(IF(ISBLANK('Ingest Template'!M23),"", 'Ingest Template'!M23&amp;"|Operations - Core Title")))</f>
        <v/>
      </c>
      <c r="AA23" s="5"/>
      <c r="AB23" s="5" t="str">
        <f>'Ingest Template'!F23</f>
        <v/>
      </c>
      <c r="AC23" s="5"/>
      <c r="AD23" s="5"/>
      <c r="AE23" s="5"/>
      <c r="AF23" s="8"/>
      <c r="AG23" s="5" t="str">
        <f t="array" ref="AG23">IF('Ingest Template'!A23="Standard",(CONCATENATE(IF(ISBLANK('Ingest Template'!N23),"", 'Ingest Template'!N23&amp;"|DAR"),CHAR(10), IF(ISBLANK('Ingest Template'!O23),"", 'Ingest Template'!O23&amp;"|DAR"),CHAR(10), IF(ISBLANK('Ingest Template'!P23),"", 'Ingest Template'!P23&amp;"|DAR"))),(CONCATENATE(IF(ISBLANK('Ingest Template'!N23),"", 'Ingest Template'!N23&amp;"|Operations - Core Title"),CHAR(10), IF(ISBLANK('Ingest Template'!O23),"", 'Ingest Template'!O23&amp;"|Operations - Core Title"),CHAR(10), IF(ISBLANK('Ingest Template'!P23),"", 'Ingest Template'!P23&amp;"|Operations - Core Title"))))</f>
        <v>#|Operations - Core Title
</v>
      </c>
      <c r="AH23" s="5"/>
      <c r="AI23" s="5"/>
      <c r="AJ23" s="5"/>
      <c r="AK23" s="5"/>
      <c r="AL23" s="5"/>
    </row>
    <row r="24">
      <c r="A24" s="5"/>
      <c r="B24" s="5" t="str">
        <f>'Ingest Template'!B24&amp;IF('Ingest Template'!A24 = "Standard", " - DAR","")</f>
        <v/>
      </c>
      <c r="C24" s="6" t="str">
        <f>'Ingest Template'!C24</f>
        <v/>
      </c>
      <c r="D24" s="7" t="str">
        <f>'Ingest Template'!E24</f>
        <v/>
      </c>
      <c r="E24" s="5"/>
      <c r="F24" s="5"/>
      <c r="G24" s="5"/>
      <c r="H24" s="7"/>
      <c r="I24" s="5"/>
      <c r="J24" s="7" t="str">
        <f>'Ingest Template'!Q24</f>
        <v/>
      </c>
      <c r="K24" s="5" t="str">
        <f>'Ingest Template'!R24</f>
        <v/>
      </c>
      <c r="L24" s="8" t="s">
        <v>38</v>
      </c>
      <c r="M24" s="9"/>
      <c r="N24" s="5"/>
      <c r="O24" s="5"/>
      <c r="P24" s="5"/>
      <c r="Q24" s="5"/>
      <c r="R24" s="5" t="str">
        <f>'Ingest Template'!D24</f>
        <v/>
      </c>
      <c r="S24" s="5" t="str">
        <f>'Ingest Template'!G24</f>
        <v/>
      </c>
      <c r="T24" s="5" t="str">
        <f>'Ingest Template'!H24</f>
        <v/>
      </c>
      <c r="U24" s="5" t="str">
        <f>LOWER(SUBSTITUTE(SUBSTITUTE(SUBSTITUTE(SUBSTITUTE(SUBSTITUTE('Ingest Template'!I24,"https:",""),"www.",""),"/",""),"?hl=en",""),"instagram.com",""))</f>
        <v/>
      </c>
      <c r="V24" s="10" t="str">
        <f>'Ingest Template'!J24</f>
        <v/>
      </c>
      <c r="W24" s="10" t="str">
        <f>'Ingest Template'!K24</f>
        <v/>
      </c>
      <c r="X24" s="5"/>
      <c r="Y24" s="5" t="str">
        <f>SUBSTITUTE(SUBSTITUTE(SUBSTITUTE('Ingest Template'!L24,"http:",""),"https:",""),"/","")</f>
        <v/>
      </c>
      <c r="Z24" s="5" t="str">
        <f t="array" ref="Z24">IF('Ingest Template'!A24="Standard",(IF(ISBLANK('Ingest Template'!M24),"", 'Ingest Template'!M24&amp;"|DAR")),(IF(ISBLANK('Ingest Template'!M24),"", 'Ingest Template'!M24&amp;"|Operations - Core Title")))</f>
        <v/>
      </c>
      <c r="AA24" s="5"/>
      <c r="AB24" s="5" t="str">
        <f>'Ingest Template'!F24</f>
        <v/>
      </c>
      <c r="AC24" s="5"/>
      <c r="AD24" s="5"/>
      <c r="AE24" s="5"/>
      <c r="AF24" s="8"/>
      <c r="AG24" s="5" t="str">
        <f t="array" ref="AG24">IF('Ingest Template'!A24="Standard",(CONCATENATE(IF(ISBLANK('Ingest Template'!N24),"", 'Ingest Template'!N24&amp;"|DAR"),CHAR(10), IF(ISBLANK('Ingest Template'!O24),"", 'Ingest Template'!O24&amp;"|DAR"),CHAR(10), IF(ISBLANK('Ingest Template'!P24),"", 'Ingest Template'!P24&amp;"|DAR"))),(CONCATENATE(IF(ISBLANK('Ingest Template'!N24),"", 'Ingest Template'!N24&amp;"|Operations - Core Title"),CHAR(10), IF(ISBLANK('Ingest Template'!O24),"", 'Ingest Template'!O24&amp;"|Operations - Core Title"),CHAR(10), IF(ISBLANK('Ingest Template'!P24),"", 'Ingest Template'!P24&amp;"|Operations - Core Title"))))</f>
        <v>#|Operations - Core Title
</v>
      </c>
      <c r="AH24" s="5"/>
      <c r="AI24" s="5"/>
      <c r="AJ24" s="5"/>
      <c r="AK24" s="5"/>
      <c r="AL24" s="5"/>
    </row>
    <row r="25">
      <c r="A25" s="5"/>
      <c r="B25" s="5" t="str">
        <f>'Ingest Template'!B25&amp;IF('Ingest Template'!A25 = "Standard", " - DAR","")</f>
        <v/>
      </c>
      <c r="C25" s="6" t="str">
        <f>'Ingest Template'!C25</f>
        <v/>
      </c>
      <c r="D25" s="7" t="str">
        <f>'Ingest Template'!E25</f>
        <v/>
      </c>
      <c r="E25" s="5"/>
      <c r="F25" s="5"/>
      <c r="G25" s="5"/>
      <c r="H25" s="7"/>
      <c r="I25" s="5"/>
      <c r="J25" s="7" t="str">
        <f>'Ingest Template'!Q25</f>
        <v/>
      </c>
      <c r="K25" s="5" t="str">
        <f>'Ingest Template'!R25</f>
        <v/>
      </c>
      <c r="L25" s="8" t="s">
        <v>38</v>
      </c>
      <c r="M25" s="9"/>
      <c r="N25" s="5"/>
      <c r="O25" s="5"/>
      <c r="P25" s="5"/>
      <c r="Q25" s="5"/>
      <c r="R25" s="5" t="str">
        <f>'Ingest Template'!D25</f>
        <v/>
      </c>
      <c r="S25" s="5" t="str">
        <f>'Ingest Template'!G25</f>
        <v/>
      </c>
      <c r="T25" s="5" t="str">
        <f>'Ingest Template'!H25</f>
        <v/>
      </c>
      <c r="U25" s="5" t="str">
        <f>LOWER(SUBSTITUTE(SUBSTITUTE(SUBSTITUTE(SUBSTITUTE(SUBSTITUTE('Ingest Template'!I25,"https:",""),"www.",""),"/",""),"?hl=en",""),"instagram.com",""))</f>
        <v/>
      </c>
      <c r="V25" s="10" t="str">
        <f>'Ingest Template'!J25</f>
        <v/>
      </c>
      <c r="W25" s="10" t="str">
        <f>'Ingest Template'!K25</f>
        <v/>
      </c>
      <c r="X25" s="5"/>
      <c r="Y25" s="5" t="str">
        <f>SUBSTITUTE(SUBSTITUTE(SUBSTITUTE('Ingest Template'!L25,"http:",""),"https:",""),"/","")</f>
        <v/>
      </c>
      <c r="Z25" s="5" t="str">
        <f t="array" ref="Z25">IF('Ingest Template'!A25="Standard",(IF(ISBLANK('Ingest Template'!M25),"", 'Ingest Template'!M25&amp;"|DAR")),(IF(ISBLANK('Ingest Template'!M25),"", 'Ingest Template'!M25&amp;"|Operations - Core Title")))</f>
        <v/>
      </c>
      <c r="AA25" s="5"/>
      <c r="AB25" s="5" t="str">
        <f>'Ingest Template'!F25</f>
        <v/>
      </c>
      <c r="AC25" s="5"/>
      <c r="AD25" s="5"/>
      <c r="AE25" s="5"/>
      <c r="AF25" s="8"/>
      <c r="AG25" s="5" t="str">
        <f t="array" ref="AG25">IF('Ingest Template'!A25="Standard",(CONCATENATE(IF(ISBLANK('Ingest Template'!N25),"", 'Ingest Template'!N25&amp;"|DAR"),CHAR(10), IF(ISBLANK('Ingest Template'!O25),"", 'Ingest Template'!O25&amp;"|DAR"),CHAR(10), IF(ISBLANK('Ingest Template'!P25),"", 'Ingest Template'!P25&amp;"|DAR"))),(CONCATENATE(IF(ISBLANK('Ingest Template'!N25),"", 'Ingest Template'!N25&amp;"|Operations - Core Title"),CHAR(10), IF(ISBLANK('Ingest Template'!O25),"", 'Ingest Template'!O25&amp;"|Operations - Core Title"),CHAR(10), IF(ISBLANK('Ingest Template'!P25),"", 'Ingest Template'!P25&amp;"|Operations - Core Title"))))</f>
        <v>#|Operations - Core Title
</v>
      </c>
      <c r="AH25" s="5"/>
      <c r="AI25" s="5"/>
      <c r="AJ25" s="5"/>
      <c r="AK25" s="5"/>
      <c r="AL25" s="5"/>
    </row>
    <row r="26">
      <c r="A26" s="5"/>
      <c r="B26" s="5" t="str">
        <f>'Ingest Template'!B26&amp;IF('Ingest Template'!A26 = "Standard", " - DAR","")</f>
        <v/>
      </c>
      <c r="C26" s="6" t="str">
        <f>'Ingest Template'!C26</f>
        <v/>
      </c>
      <c r="D26" s="7" t="str">
        <f>'Ingest Template'!E26</f>
        <v/>
      </c>
      <c r="E26" s="5"/>
      <c r="F26" s="5"/>
      <c r="G26" s="5"/>
      <c r="H26" s="7"/>
      <c r="I26" s="5"/>
      <c r="J26" s="7" t="str">
        <f>'Ingest Template'!Q26</f>
        <v/>
      </c>
      <c r="K26" s="5" t="str">
        <f>'Ingest Template'!R26</f>
        <v/>
      </c>
      <c r="L26" s="8" t="s">
        <v>38</v>
      </c>
      <c r="M26" s="9"/>
      <c r="N26" s="5"/>
      <c r="O26" s="5"/>
      <c r="P26" s="5"/>
      <c r="Q26" s="5"/>
      <c r="R26" s="5" t="str">
        <f>'Ingest Template'!D26</f>
        <v/>
      </c>
      <c r="S26" s="5" t="str">
        <f>'Ingest Template'!G26</f>
        <v/>
      </c>
      <c r="T26" s="5" t="str">
        <f>'Ingest Template'!H26</f>
        <v/>
      </c>
      <c r="U26" s="5" t="str">
        <f>LOWER(SUBSTITUTE(SUBSTITUTE(SUBSTITUTE(SUBSTITUTE(SUBSTITUTE('Ingest Template'!I26,"https:",""),"www.",""),"/",""),"?hl=en",""),"instagram.com",""))</f>
        <v/>
      </c>
      <c r="V26" s="10" t="str">
        <f>'Ingest Template'!J26</f>
        <v/>
      </c>
      <c r="W26" s="10" t="str">
        <f>'Ingest Template'!K26</f>
        <v/>
      </c>
      <c r="X26" s="5"/>
      <c r="Y26" s="5" t="str">
        <f>SUBSTITUTE(SUBSTITUTE(SUBSTITUTE('Ingest Template'!L26,"http:",""),"https:",""),"/","")</f>
        <v/>
      </c>
      <c r="Z26" s="5" t="str">
        <f t="array" ref="Z26">IF('Ingest Template'!A26="Standard",(IF(ISBLANK('Ingest Template'!M26),"", 'Ingest Template'!M26&amp;"|DAR")),(IF(ISBLANK('Ingest Template'!M26),"", 'Ingest Template'!M26&amp;"|Operations - Core Title")))</f>
        <v/>
      </c>
      <c r="AA26" s="5"/>
      <c r="AB26" s="5" t="str">
        <f>'Ingest Template'!F26</f>
        <v/>
      </c>
      <c r="AC26" s="5"/>
      <c r="AD26" s="5"/>
      <c r="AE26" s="5"/>
      <c r="AF26" s="8"/>
      <c r="AG26" s="5" t="str">
        <f t="array" ref="AG26">IF('Ingest Template'!A26="Standard",(CONCATENATE(IF(ISBLANK('Ingest Template'!N26),"", 'Ingest Template'!N26&amp;"|DAR"),CHAR(10), IF(ISBLANK('Ingest Template'!O26),"", 'Ingest Template'!O26&amp;"|DAR"),CHAR(10), IF(ISBLANK('Ingest Template'!P26),"", 'Ingest Template'!P26&amp;"|DAR"))),(CONCATENATE(IF(ISBLANK('Ingest Template'!N26),"", 'Ingest Template'!N26&amp;"|Operations - Core Title"),CHAR(10), IF(ISBLANK('Ingest Template'!O26),"", 'Ingest Template'!O26&amp;"|Operations - Core Title"),CHAR(10), IF(ISBLANK('Ingest Template'!P26),"", 'Ingest Template'!P26&amp;"|Operations - Core Title"))))</f>
        <v>#|Operations - Core Title
</v>
      </c>
      <c r="AH26" s="5"/>
      <c r="AI26" s="5"/>
      <c r="AJ26" s="5"/>
      <c r="AK26" s="5"/>
      <c r="AL26" s="5"/>
    </row>
    <row r="27">
      <c r="A27" s="5"/>
      <c r="B27" s="5" t="str">
        <f>'Ingest Template'!B27&amp;IF('Ingest Template'!A27 = "Standard", " - DAR","")</f>
        <v/>
      </c>
      <c r="C27" s="6" t="str">
        <f>'Ingest Template'!C27</f>
        <v/>
      </c>
      <c r="D27" s="7" t="str">
        <f>'Ingest Template'!E27</f>
        <v/>
      </c>
      <c r="E27" s="5"/>
      <c r="F27" s="5"/>
      <c r="G27" s="5"/>
      <c r="H27" s="7"/>
      <c r="I27" s="5"/>
      <c r="J27" s="7" t="str">
        <f>'Ingest Template'!Q27</f>
        <v/>
      </c>
      <c r="K27" s="5" t="str">
        <f>'Ingest Template'!R27</f>
        <v/>
      </c>
      <c r="L27" s="8" t="s">
        <v>38</v>
      </c>
      <c r="M27" s="9"/>
      <c r="N27" s="5"/>
      <c r="O27" s="5"/>
      <c r="P27" s="5"/>
      <c r="Q27" s="5"/>
      <c r="R27" s="5" t="str">
        <f>'Ingest Template'!D27</f>
        <v/>
      </c>
      <c r="S27" s="5" t="str">
        <f>'Ingest Template'!G27</f>
        <v/>
      </c>
      <c r="T27" s="5" t="str">
        <f>'Ingest Template'!H27</f>
        <v/>
      </c>
      <c r="U27" s="5" t="str">
        <f>LOWER(SUBSTITUTE(SUBSTITUTE(SUBSTITUTE(SUBSTITUTE(SUBSTITUTE('Ingest Template'!I27,"https:",""),"www.",""),"/",""),"?hl=en",""),"instagram.com",""))</f>
        <v/>
      </c>
      <c r="V27" s="10" t="str">
        <f>'Ingest Template'!J27</f>
        <v/>
      </c>
      <c r="W27" s="10" t="str">
        <f>'Ingest Template'!K27</f>
        <v/>
      </c>
      <c r="X27" s="5"/>
      <c r="Y27" s="5" t="str">
        <f>SUBSTITUTE(SUBSTITUTE(SUBSTITUTE('Ingest Template'!L27,"http:",""),"https:",""),"/","")</f>
        <v/>
      </c>
      <c r="Z27" s="5" t="str">
        <f t="array" ref="Z27">IF('Ingest Template'!A27="Standard",(IF(ISBLANK('Ingest Template'!M27),"", 'Ingest Template'!M27&amp;"|DAR")),(IF(ISBLANK('Ingest Template'!M27),"", 'Ingest Template'!M27&amp;"|Operations - Core Title")))</f>
        <v/>
      </c>
      <c r="AA27" s="5"/>
      <c r="AB27" s="5" t="str">
        <f>'Ingest Template'!F27</f>
        <v/>
      </c>
      <c r="AC27" s="5"/>
      <c r="AD27" s="5"/>
      <c r="AE27" s="5"/>
      <c r="AF27" s="8"/>
      <c r="AG27" s="5" t="str">
        <f t="array" ref="AG27">IF('Ingest Template'!A27="Standard",(CONCATENATE(IF(ISBLANK('Ingest Template'!N27),"", 'Ingest Template'!N27&amp;"|DAR"),CHAR(10), IF(ISBLANK('Ingest Template'!O27),"", 'Ingest Template'!O27&amp;"|DAR"),CHAR(10), IF(ISBLANK('Ingest Template'!P27),"", 'Ingest Template'!P27&amp;"|DAR"))),(CONCATENATE(IF(ISBLANK('Ingest Template'!N27),"", 'Ingest Template'!N27&amp;"|Operations - Core Title"),CHAR(10), IF(ISBLANK('Ingest Template'!O27),"", 'Ingest Template'!O27&amp;"|Operations - Core Title"),CHAR(10), IF(ISBLANK('Ingest Template'!P27),"", 'Ingest Template'!P27&amp;"|Operations - Core Title"))))</f>
        <v>#|Operations - Core Title
</v>
      </c>
      <c r="AH27" s="5"/>
      <c r="AI27" s="5"/>
      <c r="AJ27" s="5"/>
      <c r="AK27" s="5"/>
      <c r="AL27" s="5"/>
    </row>
    <row r="28">
      <c r="A28" s="5"/>
      <c r="B28" s="5" t="str">
        <f>'Ingest Template'!B28&amp;IF('Ingest Template'!A28 = "Standard", " - DAR","")</f>
        <v/>
      </c>
      <c r="C28" s="6" t="str">
        <f>'Ingest Template'!C28</f>
        <v/>
      </c>
      <c r="D28" s="7" t="str">
        <f>'Ingest Template'!E28</f>
        <v/>
      </c>
      <c r="E28" s="5"/>
      <c r="F28" s="5"/>
      <c r="G28" s="5"/>
      <c r="H28" s="7"/>
      <c r="I28" s="5"/>
      <c r="J28" s="7" t="str">
        <f>'Ingest Template'!Q28</f>
        <v/>
      </c>
      <c r="K28" s="5" t="str">
        <f>'Ingest Template'!R28</f>
        <v/>
      </c>
      <c r="L28" s="8" t="s">
        <v>38</v>
      </c>
      <c r="M28" s="9"/>
      <c r="N28" s="5"/>
      <c r="O28" s="5"/>
      <c r="P28" s="5"/>
      <c r="Q28" s="5"/>
      <c r="R28" s="5" t="str">
        <f>'Ingest Template'!D28</f>
        <v/>
      </c>
      <c r="S28" s="5" t="str">
        <f>'Ingest Template'!G28</f>
        <v/>
      </c>
      <c r="T28" s="5" t="str">
        <f>'Ingest Template'!H28</f>
        <v/>
      </c>
      <c r="U28" s="5" t="str">
        <f>LOWER(SUBSTITUTE(SUBSTITUTE(SUBSTITUTE(SUBSTITUTE(SUBSTITUTE('Ingest Template'!I28,"https:",""),"www.",""),"/",""),"?hl=en",""),"instagram.com",""))</f>
        <v/>
      </c>
      <c r="V28" s="10" t="str">
        <f>'Ingest Template'!J28</f>
        <v/>
      </c>
      <c r="W28" s="10" t="str">
        <f>'Ingest Template'!K28</f>
        <v/>
      </c>
      <c r="X28" s="5"/>
      <c r="Y28" s="5" t="str">
        <f>SUBSTITUTE(SUBSTITUTE(SUBSTITUTE('Ingest Template'!L28,"http:",""),"https:",""),"/","")</f>
        <v/>
      </c>
      <c r="Z28" s="5" t="str">
        <f t="array" ref="Z28">IF('Ingest Template'!A28="Standard",(IF(ISBLANK('Ingest Template'!M28),"", 'Ingest Template'!M28&amp;"|DAR")),(IF(ISBLANK('Ingest Template'!M28),"", 'Ingest Template'!M28&amp;"|Operations - Core Title")))</f>
        <v/>
      </c>
      <c r="AA28" s="5"/>
      <c r="AB28" s="5" t="str">
        <f>'Ingest Template'!F28</f>
        <v/>
      </c>
      <c r="AC28" s="5"/>
      <c r="AD28" s="5"/>
      <c r="AE28" s="5"/>
      <c r="AF28" s="8"/>
      <c r="AG28" s="5" t="str">
        <f t="array" ref="AG28">IF('Ingest Template'!A28="Standard",(CONCATENATE(IF(ISBLANK('Ingest Template'!N28),"", 'Ingest Template'!N28&amp;"|DAR"),CHAR(10), IF(ISBLANK('Ingest Template'!O28),"", 'Ingest Template'!O28&amp;"|DAR"),CHAR(10), IF(ISBLANK('Ingest Template'!P28),"", 'Ingest Template'!P28&amp;"|DAR"))),(CONCATENATE(IF(ISBLANK('Ingest Template'!N28),"", 'Ingest Template'!N28&amp;"|Operations - Core Title"),CHAR(10), IF(ISBLANK('Ingest Template'!O28),"", 'Ingest Template'!O28&amp;"|Operations - Core Title"),CHAR(10), IF(ISBLANK('Ingest Template'!P28),"", 'Ingest Template'!P28&amp;"|Operations - Core Title"))))</f>
        <v>#|Operations - Core Title
</v>
      </c>
      <c r="AH28" s="5"/>
      <c r="AI28" s="5"/>
      <c r="AJ28" s="5"/>
      <c r="AK28" s="5"/>
      <c r="AL28" s="5"/>
    </row>
    <row r="29">
      <c r="A29" s="5"/>
      <c r="B29" s="5" t="str">
        <f>'Ingest Template'!B29&amp;IF('Ingest Template'!A29 = "Standard", " - DAR","")</f>
        <v/>
      </c>
      <c r="C29" s="6" t="str">
        <f>'Ingest Template'!C29</f>
        <v/>
      </c>
      <c r="D29" s="7" t="str">
        <f>'Ingest Template'!E29</f>
        <v/>
      </c>
      <c r="E29" s="5"/>
      <c r="F29" s="5"/>
      <c r="G29" s="5"/>
      <c r="H29" s="7"/>
      <c r="I29" s="5"/>
      <c r="J29" s="7" t="str">
        <f>'Ingest Template'!Q29</f>
        <v/>
      </c>
      <c r="K29" s="5" t="str">
        <f>'Ingest Template'!R29</f>
        <v/>
      </c>
      <c r="L29" s="8" t="s">
        <v>38</v>
      </c>
      <c r="M29" s="9"/>
      <c r="N29" s="5"/>
      <c r="O29" s="5"/>
      <c r="P29" s="5"/>
      <c r="Q29" s="5"/>
      <c r="R29" s="5" t="str">
        <f>'Ingest Template'!D29</f>
        <v/>
      </c>
      <c r="S29" s="5" t="str">
        <f>'Ingest Template'!G29</f>
        <v/>
      </c>
      <c r="T29" s="5" t="str">
        <f>'Ingest Template'!H29</f>
        <v/>
      </c>
      <c r="U29" s="5" t="str">
        <f>LOWER(SUBSTITUTE(SUBSTITUTE(SUBSTITUTE(SUBSTITUTE(SUBSTITUTE('Ingest Template'!I29,"https:",""),"www.",""),"/",""),"?hl=en",""),"instagram.com",""))</f>
        <v/>
      </c>
      <c r="V29" s="10" t="str">
        <f>'Ingest Template'!J29</f>
        <v/>
      </c>
      <c r="W29" s="10" t="str">
        <f>'Ingest Template'!K29</f>
        <v/>
      </c>
      <c r="X29" s="5"/>
      <c r="Y29" s="5" t="str">
        <f>SUBSTITUTE(SUBSTITUTE(SUBSTITUTE('Ingest Template'!L29,"http:",""),"https:",""),"/","")</f>
        <v/>
      </c>
      <c r="Z29" s="5" t="str">
        <f t="array" ref="Z29">IF('Ingest Template'!A29="Standard",(IF(ISBLANK('Ingest Template'!M29),"", 'Ingest Template'!M29&amp;"|DAR")),(IF(ISBLANK('Ingest Template'!M29),"", 'Ingest Template'!M29&amp;"|Operations - Core Title")))</f>
        <v/>
      </c>
      <c r="AA29" s="5"/>
      <c r="AB29" s="5" t="str">
        <f>'Ingest Template'!F29</f>
        <v/>
      </c>
      <c r="AC29" s="5"/>
      <c r="AD29" s="5"/>
      <c r="AE29" s="5"/>
      <c r="AF29" s="8"/>
      <c r="AG29" s="5" t="str">
        <f t="array" ref="AG29">IF('Ingest Template'!A29="Standard",(CONCATENATE(IF(ISBLANK('Ingest Template'!N29),"", 'Ingest Template'!N29&amp;"|DAR"),CHAR(10), IF(ISBLANK('Ingest Template'!O29),"", 'Ingest Template'!O29&amp;"|DAR"),CHAR(10), IF(ISBLANK('Ingest Template'!P29),"", 'Ingest Template'!P29&amp;"|DAR"))),(CONCATENATE(IF(ISBLANK('Ingest Template'!N29),"", 'Ingest Template'!N29&amp;"|Operations - Core Title"),CHAR(10), IF(ISBLANK('Ingest Template'!O29),"", 'Ingest Template'!O29&amp;"|Operations - Core Title"),CHAR(10), IF(ISBLANK('Ingest Template'!P29),"", 'Ingest Template'!P29&amp;"|Operations - Core Title"))))</f>
        <v>#|Operations - Core Title
</v>
      </c>
      <c r="AH29" s="5"/>
      <c r="AI29" s="5"/>
      <c r="AJ29" s="5"/>
      <c r="AK29" s="5"/>
      <c r="AL29" s="5"/>
    </row>
    <row r="30">
      <c r="A30" s="5"/>
      <c r="B30" s="5" t="str">
        <f>'Ingest Template'!B30&amp;IF('Ingest Template'!A30 = "Standard", " - DAR","")</f>
        <v/>
      </c>
      <c r="C30" s="6" t="str">
        <f>'Ingest Template'!C30</f>
        <v/>
      </c>
      <c r="D30" s="7" t="str">
        <f>'Ingest Template'!E30</f>
        <v/>
      </c>
      <c r="E30" s="5"/>
      <c r="F30" s="5"/>
      <c r="G30" s="5"/>
      <c r="H30" s="7"/>
      <c r="I30" s="5"/>
      <c r="J30" s="7" t="str">
        <f>'Ingest Template'!Q30</f>
        <v/>
      </c>
      <c r="K30" s="5" t="str">
        <f>'Ingest Template'!R30</f>
        <v/>
      </c>
      <c r="L30" s="8" t="s">
        <v>38</v>
      </c>
      <c r="M30" s="9"/>
      <c r="N30" s="5"/>
      <c r="O30" s="5"/>
      <c r="P30" s="5"/>
      <c r="Q30" s="5"/>
      <c r="R30" s="5" t="str">
        <f>'Ingest Template'!D30</f>
        <v/>
      </c>
      <c r="S30" s="5" t="str">
        <f>'Ingest Template'!G30</f>
        <v/>
      </c>
      <c r="T30" s="5" t="str">
        <f>'Ingest Template'!H30</f>
        <v/>
      </c>
      <c r="U30" s="5" t="str">
        <f>LOWER(SUBSTITUTE(SUBSTITUTE(SUBSTITUTE(SUBSTITUTE(SUBSTITUTE('Ingest Template'!I30,"https:",""),"www.",""),"/",""),"?hl=en",""),"instagram.com",""))</f>
        <v/>
      </c>
      <c r="V30" s="10" t="str">
        <f>'Ingest Template'!J30</f>
        <v/>
      </c>
      <c r="W30" s="10" t="str">
        <f>'Ingest Template'!K30</f>
        <v/>
      </c>
      <c r="X30" s="5"/>
      <c r="Y30" s="5" t="str">
        <f>SUBSTITUTE(SUBSTITUTE(SUBSTITUTE('Ingest Template'!L30,"http:",""),"https:",""),"/","")</f>
        <v/>
      </c>
      <c r="Z30" s="5" t="str">
        <f t="array" ref="Z30">IF('Ingest Template'!A30="Standard",(IF(ISBLANK('Ingest Template'!M30),"", 'Ingest Template'!M30&amp;"|DAR")),(IF(ISBLANK('Ingest Template'!M30),"", 'Ingest Template'!M30&amp;"|Operations - Core Title")))</f>
        <v/>
      </c>
      <c r="AA30" s="5"/>
      <c r="AB30" s="5" t="str">
        <f>'Ingest Template'!F30</f>
        <v/>
      </c>
      <c r="AC30" s="5"/>
      <c r="AD30" s="5"/>
      <c r="AE30" s="5"/>
      <c r="AF30" s="8"/>
      <c r="AG30" s="5" t="str">
        <f t="array" ref="AG30">IF('Ingest Template'!A30="Standard",(CONCATENATE(IF(ISBLANK('Ingest Template'!N30),"", 'Ingest Template'!N30&amp;"|DAR"),CHAR(10), IF(ISBLANK('Ingest Template'!O30),"", 'Ingest Template'!O30&amp;"|DAR"),CHAR(10), IF(ISBLANK('Ingest Template'!P30),"", 'Ingest Template'!P30&amp;"|DAR"))),(CONCATENATE(IF(ISBLANK('Ingest Template'!N30),"", 'Ingest Template'!N30&amp;"|Operations - Core Title"),CHAR(10), IF(ISBLANK('Ingest Template'!O30),"", 'Ingest Template'!O30&amp;"|Operations - Core Title"),CHAR(10), IF(ISBLANK('Ingest Template'!P30),"", 'Ingest Template'!P30&amp;"|Operations - Core Title"))))</f>
        <v>#|Operations - Core Title
</v>
      </c>
      <c r="AH30" s="5"/>
      <c r="AI30" s="5"/>
      <c r="AJ30" s="5"/>
      <c r="AK30" s="5"/>
      <c r="AL30" s="5"/>
    </row>
    <row r="31">
      <c r="A31" s="5"/>
      <c r="B31" s="5" t="str">
        <f>'Ingest Template'!B31&amp;IF('Ingest Template'!A31 = "Standard", " - DAR","")</f>
        <v/>
      </c>
      <c r="C31" s="6" t="str">
        <f>'Ingest Template'!C31</f>
        <v/>
      </c>
      <c r="D31" s="7" t="str">
        <f>'Ingest Template'!E31</f>
        <v/>
      </c>
      <c r="E31" s="5"/>
      <c r="F31" s="5"/>
      <c r="G31" s="5"/>
      <c r="H31" s="7"/>
      <c r="I31" s="5"/>
      <c r="J31" s="7" t="str">
        <f>'Ingest Template'!Q31</f>
        <v/>
      </c>
      <c r="K31" s="5" t="str">
        <f>'Ingest Template'!R31</f>
        <v/>
      </c>
      <c r="L31" s="8" t="s">
        <v>38</v>
      </c>
      <c r="M31" s="9"/>
      <c r="N31" s="5"/>
      <c r="O31" s="5"/>
      <c r="P31" s="5"/>
      <c r="Q31" s="5"/>
      <c r="R31" s="5" t="str">
        <f>'Ingest Template'!D31</f>
        <v/>
      </c>
      <c r="S31" s="5" t="str">
        <f>'Ingest Template'!G31</f>
        <v/>
      </c>
      <c r="T31" s="5" t="str">
        <f>'Ingest Template'!H31</f>
        <v/>
      </c>
      <c r="U31" s="5" t="str">
        <f>LOWER(SUBSTITUTE(SUBSTITUTE(SUBSTITUTE(SUBSTITUTE(SUBSTITUTE('Ingest Template'!I31,"https:",""),"www.",""),"/",""),"?hl=en",""),"instagram.com",""))</f>
        <v/>
      </c>
      <c r="V31" s="10" t="str">
        <f>'Ingest Template'!J31</f>
        <v/>
      </c>
      <c r="W31" s="10" t="str">
        <f>'Ingest Template'!K31</f>
        <v/>
      </c>
      <c r="X31" s="5"/>
      <c r="Y31" s="5" t="str">
        <f>SUBSTITUTE(SUBSTITUTE(SUBSTITUTE('Ingest Template'!L31,"http:",""),"https:",""),"/","")</f>
        <v/>
      </c>
      <c r="Z31" s="5" t="str">
        <f t="array" ref="Z31">IF('Ingest Template'!A31="Standard",(IF(ISBLANK('Ingest Template'!M31),"", 'Ingest Template'!M31&amp;"|DAR")),(IF(ISBLANK('Ingest Template'!M31),"", 'Ingest Template'!M31&amp;"|Operations - Core Title")))</f>
        <v/>
      </c>
      <c r="AA31" s="5"/>
      <c r="AB31" s="5" t="str">
        <f>'Ingest Template'!F31</f>
        <v/>
      </c>
      <c r="AC31" s="5"/>
      <c r="AD31" s="5"/>
      <c r="AE31" s="5"/>
      <c r="AF31" s="8"/>
      <c r="AG31" s="5" t="str">
        <f t="array" ref="AG31">IF('Ingest Template'!A31="Standard",(CONCATENATE(IF(ISBLANK('Ingest Template'!N31),"", 'Ingest Template'!N31&amp;"|DAR"),CHAR(10), IF(ISBLANK('Ingest Template'!O31),"", 'Ingest Template'!O31&amp;"|DAR"),CHAR(10), IF(ISBLANK('Ingest Template'!P31),"", 'Ingest Template'!P31&amp;"|DAR"))),(CONCATENATE(IF(ISBLANK('Ingest Template'!N31),"", 'Ingest Template'!N31&amp;"|Operations - Core Title"),CHAR(10), IF(ISBLANK('Ingest Template'!O31),"", 'Ingest Template'!O31&amp;"|Operations - Core Title"),CHAR(10), IF(ISBLANK('Ingest Template'!P31),"", 'Ingest Template'!P31&amp;"|Operations - Core Title"))))</f>
        <v>#|Operations - Core Title
</v>
      </c>
      <c r="AH31" s="5"/>
      <c r="AI31" s="5"/>
      <c r="AJ31" s="5"/>
      <c r="AK31" s="5"/>
      <c r="AL31" s="5"/>
    </row>
    <row r="32">
      <c r="A32" s="5"/>
      <c r="B32" s="5" t="str">
        <f>'Ingest Template'!B32&amp;IF('Ingest Template'!A32 = "Standard", " - DAR","")</f>
        <v/>
      </c>
      <c r="C32" s="6" t="str">
        <f>'Ingest Template'!C32</f>
        <v/>
      </c>
      <c r="D32" s="7" t="str">
        <f>'Ingest Template'!E32</f>
        <v/>
      </c>
      <c r="E32" s="5"/>
      <c r="F32" s="5"/>
      <c r="G32" s="5"/>
      <c r="H32" s="7"/>
      <c r="I32" s="5"/>
      <c r="J32" s="7" t="str">
        <f>'Ingest Template'!Q32</f>
        <v/>
      </c>
      <c r="K32" s="5" t="str">
        <f>'Ingest Template'!R32</f>
        <v/>
      </c>
      <c r="L32" s="8" t="s">
        <v>38</v>
      </c>
      <c r="M32" s="9"/>
      <c r="N32" s="5"/>
      <c r="O32" s="5"/>
      <c r="P32" s="5"/>
      <c r="Q32" s="5"/>
      <c r="R32" s="5" t="str">
        <f>'Ingest Template'!D32</f>
        <v/>
      </c>
      <c r="S32" s="5" t="str">
        <f>'Ingest Template'!G32</f>
        <v/>
      </c>
      <c r="T32" s="5" t="str">
        <f>'Ingest Template'!H32</f>
        <v/>
      </c>
      <c r="U32" s="5" t="str">
        <f>LOWER(SUBSTITUTE(SUBSTITUTE(SUBSTITUTE(SUBSTITUTE(SUBSTITUTE('Ingest Template'!I32,"https:",""),"www.",""),"/",""),"?hl=en",""),"instagram.com",""))</f>
        <v/>
      </c>
      <c r="V32" s="10" t="str">
        <f>'Ingest Template'!J32</f>
        <v/>
      </c>
      <c r="W32" s="10" t="str">
        <f>'Ingest Template'!K32</f>
        <v/>
      </c>
      <c r="X32" s="5"/>
      <c r="Y32" s="5" t="str">
        <f>SUBSTITUTE(SUBSTITUTE(SUBSTITUTE('Ingest Template'!L32,"http:",""),"https:",""),"/","")</f>
        <v/>
      </c>
      <c r="Z32" s="5" t="str">
        <f t="array" ref="Z32">IF('Ingest Template'!A32="Standard",(IF(ISBLANK('Ingest Template'!M32),"", 'Ingest Template'!M32&amp;"|DAR")),(IF(ISBLANK('Ingest Template'!M32),"", 'Ingest Template'!M32&amp;"|Operations - Core Title")))</f>
        <v/>
      </c>
      <c r="AA32" s="5"/>
      <c r="AB32" s="5" t="str">
        <f>'Ingest Template'!F32</f>
        <v/>
      </c>
      <c r="AC32" s="5"/>
      <c r="AD32" s="5"/>
      <c r="AE32" s="5"/>
      <c r="AF32" s="8"/>
      <c r="AG32" s="5" t="str">
        <f t="array" ref="AG32">IF('Ingest Template'!A32="Standard",(CONCATENATE(IF(ISBLANK('Ingest Template'!N32),"", 'Ingest Template'!N32&amp;"|DAR"),CHAR(10), IF(ISBLANK('Ingest Template'!O32),"", 'Ingest Template'!O32&amp;"|DAR"),CHAR(10), IF(ISBLANK('Ingest Template'!P32),"", 'Ingest Template'!P32&amp;"|DAR"))),(CONCATENATE(IF(ISBLANK('Ingest Template'!N32),"", 'Ingest Template'!N32&amp;"|Operations - Core Title"),CHAR(10), IF(ISBLANK('Ingest Template'!O32),"", 'Ingest Template'!O32&amp;"|Operations - Core Title"),CHAR(10), IF(ISBLANK('Ingest Template'!P32),"", 'Ingest Template'!P32&amp;"|Operations - Core Title"))))</f>
        <v>#|Operations - Core Title
</v>
      </c>
      <c r="AH32" s="5"/>
      <c r="AI32" s="5"/>
      <c r="AJ32" s="5"/>
      <c r="AK32" s="5"/>
      <c r="AL32" s="5"/>
    </row>
    <row r="33">
      <c r="A33" s="5"/>
      <c r="B33" s="5" t="str">
        <f>'Ingest Template'!B33&amp;IF('Ingest Template'!A33 = "Standard", " - DAR","")</f>
        <v/>
      </c>
      <c r="C33" s="6" t="str">
        <f>'Ingest Template'!C33</f>
        <v/>
      </c>
      <c r="D33" s="7" t="str">
        <f>'Ingest Template'!E33</f>
        <v/>
      </c>
      <c r="E33" s="5"/>
      <c r="F33" s="5"/>
      <c r="G33" s="5"/>
      <c r="H33" s="7"/>
      <c r="I33" s="5"/>
      <c r="J33" s="7" t="str">
        <f>'Ingest Template'!Q33</f>
        <v/>
      </c>
      <c r="K33" s="5" t="str">
        <f>'Ingest Template'!R33</f>
        <v/>
      </c>
      <c r="L33" s="8" t="s">
        <v>38</v>
      </c>
      <c r="M33" s="9"/>
      <c r="N33" s="5"/>
      <c r="O33" s="5"/>
      <c r="P33" s="5"/>
      <c r="Q33" s="5"/>
      <c r="R33" s="5" t="str">
        <f>'Ingest Template'!D33</f>
        <v/>
      </c>
      <c r="S33" s="5" t="str">
        <f>'Ingest Template'!G33</f>
        <v/>
      </c>
      <c r="T33" s="5" t="str">
        <f>'Ingest Template'!H33</f>
        <v/>
      </c>
      <c r="U33" s="5" t="str">
        <f>LOWER(SUBSTITUTE(SUBSTITUTE(SUBSTITUTE(SUBSTITUTE(SUBSTITUTE('Ingest Template'!I33,"https:",""),"www.",""),"/",""),"?hl=en",""),"instagram.com",""))</f>
        <v/>
      </c>
      <c r="V33" s="10" t="str">
        <f>'Ingest Template'!J33</f>
        <v/>
      </c>
      <c r="W33" s="10" t="str">
        <f>'Ingest Template'!K33</f>
        <v/>
      </c>
      <c r="X33" s="5"/>
      <c r="Y33" s="5" t="str">
        <f>SUBSTITUTE(SUBSTITUTE(SUBSTITUTE('Ingest Template'!L33,"http:",""),"https:",""),"/","")</f>
        <v/>
      </c>
      <c r="Z33" s="5" t="str">
        <f t="array" ref="Z33">IF('Ingest Template'!A33="Standard",(IF(ISBLANK('Ingest Template'!M33),"", 'Ingest Template'!M33&amp;"|DAR")),(IF(ISBLANK('Ingest Template'!M33),"", 'Ingest Template'!M33&amp;"|Operations - Core Title")))</f>
        <v/>
      </c>
      <c r="AA33" s="5"/>
      <c r="AB33" s="5" t="str">
        <f>'Ingest Template'!F33</f>
        <v/>
      </c>
      <c r="AC33" s="5"/>
      <c r="AD33" s="5"/>
      <c r="AE33" s="5"/>
      <c r="AF33" s="8"/>
      <c r="AG33" s="5" t="str">
        <f t="array" ref="AG33">IF('Ingest Template'!A33="Standard",(CONCATENATE(IF(ISBLANK('Ingest Template'!N33),"", 'Ingest Template'!N33&amp;"|DAR"),CHAR(10), IF(ISBLANK('Ingest Template'!O33),"", 'Ingest Template'!O33&amp;"|DAR"),CHAR(10), IF(ISBLANK('Ingest Template'!P33),"", 'Ingest Template'!P33&amp;"|DAR"))),(CONCATENATE(IF(ISBLANK('Ingest Template'!N33),"", 'Ingest Template'!N33&amp;"|Operations - Core Title"),CHAR(10), IF(ISBLANK('Ingest Template'!O33),"", 'Ingest Template'!O33&amp;"|Operations - Core Title"),CHAR(10), IF(ISBLANK('Ingest Template'!P33),"", 'Ingest Template'!P33&amp;"|Operations - Core Title"))))</f>
        <v>#|Operations - Core Title
</v>
      </c>
      <c r="AH33" s="5"/>
      <c r="AI33" s="5"/>
      <c r="AJ33" s="5"/>
      <c r="AK33" s="5"/>
      <c r="AL33" s="5"/>
    </row>
    <row r="34">
      <c r="A34" s="5"/>
      <c r="B34" s="5" t="str">
        <f>'Ingest Template'!B34&amp;IF('Ingest Template'!A34 = "Standard", " - DAR","")</f>
        <v/>
      </c>
      <c r="C34" s="6" t="str">
        <f>'Ingest Template'!C34</f>
        <v/>
      </c>
      <c r="D34" s="7" t="str">
        <f>'Ingest Template'!E34</f>
        <v/>
      </c>
      <c r="E34" s="5"/>
      <c r="F34" s="5"/>
      <c r="G34" s="5"/>
      <c r="H34" s="7"/>
      <c r="I34" s="5"/>
      <c r="J34" s="7" t="str">
        <f>'Ingest Template'!Q34</f>
        <v/>
      </c>
      <c r="K34" s="5" t="str">
        <f>'Ingest Template'!R34</f>
        <v/>
      </c>
      <c r="L34" s="8" t="s">
        <v>38</v>
      </c>
      <c r="M34" s="9"/>
      <c r="N34" s="5"/>
      <c r="O34" s="5"/>
      <c r="P34" s="5"/>
      <c r="Q34" s="5"/>
      <c r="R34" s="5" t="str">
        <f>'Ingest Template'!D34</f>
        <v/>
      </c>
      <c r="S34" s="5" t="str">
        <f>'Ingest Template'!G34</f>
        <v/>
      </c>
      <c r="T34" s="5" t="str">
        <f>'Ingest Template'!H34</f>
        <v/>
      </c>
      <c r="U34" s="5" t="str">
        <f>LOWER(SUBSTITUTE(SUBSTITUTE(SUBSTITUTE(SUBSTITUTE(SUBSTITUTE('Ingest Template'!I34,"https:",""),"www.",""),"/",""),"?hl=en",""),"instagram.com",""))</f>
        <v/>
      </c>
      <c r="V34" s="10" t="str">
        <f>'Ingest Template'!J34</f>
        <v/>
      </c>
      <c r="W34" s="10" t="str">
        <f>'Ingest Template'!K34</f>
        <v/>
      </c>
      <c r="X34" s="5"/>
      <c r="Y34" s="5" t="str">
        <f>SUBSTITUTE(SUBSTITUTE(SUBSTITUTE('Ingest Template'!L34,"http:",""),"https:",""),"/","")</f>
        <v/>
      </c>
      <c r="Z34" s="5" t="str">
        <f t="array" ref="Z34">IF('Ingest Template'!A34="Standard",(IF(ISBLANK('Ingest Template'!M34),"", 'Ingest Template'!M34&amp;"|DAR")),(IF(ISBLANK('Ingest Template'!M34),"", 'Ingest Template'!M34&amp;"|Operations - Core Title")))</f>
        <v/>
      </c>
      <c r="AA34" s="5"/>
      <c r="AB34" s="5" t="str">
        <f>'Ingest Template'!F34</f>
        <v/>
      </c>
      <c r="AC34" s="5"/>
      <c r="AD34" s="5"/>
      <c r="AE34" s="5"/>
      <c r="AF34" s="8"/>
      <c r="AG34" s="5" t="str">
        <f t="array" ref="AG34">IF('Ingest Template'!A34="Standard",(CONCATENATE(IF(ISBLANK('Ingest Template'!N34),"", 'Ingest Template'!N34&amp;"|DAR"),CHAR(10), IF(ISBLANK('Ingest Template'!O34),"", 'Ingest Template'!O34&amp;"|DAR"),CHAR(10), IF(ISBLANK('Ingest Template'!P34),"", 'Ingest Template'!P34&amp;"|DAR"))),(CONCATENATE(IF(ISBLANK('Ingest Template'!N34),"", 'Ingest Template'!N34&amp;"|Operations - Core Title"),CHAR(10), IF(ISBLANK('Ingest Template'!O34),"", 'Ingest Template'!O34&amp;"|Operations - Core Title"),CHAR(10), IF(ISBLANK('Ingest Template'!P34),"", 'Ingest Template'!P34&amp;"|Operations - Core Title"))))</f>
        <v>#|Operations - Core Title
</v>
      </c>
      <c r="AH34" s="5"/>
      <c r="AI34" s="5"/>
      <c r="AJ34" s="5"/>
      <c r="AK34" s="5"/>
      <c r="AL34" s="5"/>
    </row>
    <row r="35">
      <c r="A35" s="5"/>
      <c r="B35" s="5" t="str">
        <f>'Ingest Template'!B35&amp;IF('Ingest Template'!A35 = "Standard", " - DAR","")</f>
        <v/>
      </c>
      <c r="C35" s="6" t="str">
        <f>'Ingest Template'!C35</f>
        <v/>
      </c>
      <c r="D35" s="7" t="str">
        <f>'Ingest Template'!E35</f>
        <v/>
      </c>
      <c r="E35" s="5"/>
      <c r="F35" s="5"/>
      <c r="G35" s="5"/>
      <c r="H35" s="7"/>
      <c r="I35" s="5"/>
      <c r="J35" s="7" t="str">
        <f>'Ingest Template'!Q35</f>
        <v/>
      </c>
      <c r="K35" s="5" t="str">
        <f>'Ingest Template'!R35</f>
        <v/>
      </c>
      <c r="L35" s="8" t="s">
        <v>38</v>
      </c>
      <c r="M35" s="9"/>
      <c r="N35" s="5"/>
      <c r="O35" s="5"/>
      <c r="P35" s="5"/>
      <c r="Q35" s="5"/>
      <c r="R35" s="5" t="str">
        <f>'Ingest Template'!D35</f>
        <v/>
      </c>
      <c r="S35" s="5" t="str">
        <f>'Ingest Template'!G35</f>
        <v/>
      </c>
      <c r="T35" s="5" t="str">
        <f>'Ingest Template'!H35</f>
        <v/>
      </c>
      <c r="U35" s="5" t="str">
        <f>LOWER(SUBSTITUTE(SUBSTITUTE(SUBSTITUTE(SUBSTITUTE(SUBSTITUTE('Ingest Template'!I35,"https:",""),"www.",""),"/",""),"?hl=en",""),"instagram.com",""))</f>
        <v/>
      </c>
      <c r="V35" s="10" t="str">
        <f>'Ingest Template'!J35</f>
        <v/>
      </c>
      <c r="W35" s="10" t="str">
        <f>'Ingest Template'!K35</f>
        <v/>
      </c>
      <c r="X35" s="5"/>
      <c r="Y35" s="5" t="str">
        <f>SUBSTITUTE(SUBSTITUTE(SUBSTITUTE('Ingest Template'!L35,"http:",""),"https:",""),"/","")</f>
        <v/>
      </c>
      <c r="Z35" s="5" t="str">
        <f t="array" ref="Z35">IF('Ingest Template'!A35="Standard",(IF(ISBLANK('Ingest Template'!M35),"", 'Ingest Template'!M35&amp;"|DAR")),(IF(ISBLANK('Ingest Template'!M35),"", 'Ingest Template'!M35&amp;"|Operations - Core Title")))</f>
        <v/>
      </c>
      <c r="AA35" s="5"/>
      <c r="AB35" s="5" t="str">
        <f>'Ingest Template'!F35</f>
        <v/>
      </c>
      <c r="AC35" s="5"/>
      <c r="AD35" s="5"/>
      <c r="AE35" s="5"/>
      <c r="AF35" s="8"/>
      <c r="AG35" s="5" t="str">
        <f t="array" ref="AG35">IF('Ingest Template'!A35="Standard",(CONCATENATE(IF(ISBLANK('Ingest Template'!N35),"", 'Ingest Template'!N35&amp;"|DAR"),CHAR(10), IF(ISBLANK('Ingest Template'!O35),"", 'Ingest Template'!O35&amp;"|DAR"),CHAR(10), IF(ISBLANK('Ingest Template'!P35),"", 'Ingest Template'!P35&amp;"|DAR"))),(CONCATENATE(IF(ISBLANK('Ingest Template'!N35),"", 'Ingest Template'!N35&amp;"|Operations - Core Title"),CHAR(10), IF(ISBLANK('Ingest Template'!O35),"", 'Ingest Template'!O35&amp;"|Operations - Core Title"),CHAR(10), IF(ISBLANK('Ingest Template'!P35),"", 'Ingest Template'!P35&amp;"|Operations - Core Title"))))</f>
        <v>#|Operations - Core Title
</v>
      </c>
      <c r="AH35" s="5"/>
      <c r="AI35" s="5"/>
      <c r="AJ35" s="5"/>
      <c r="AK35" s="5"/>
      <c r="AL35" s="5"/>
    </row>
    <row r="36">
      <c r="A36" s="5"/>
      <c r="B36" s="5" t="str">
        <f>'Ingest Template'!B36&amp;IF('Ingest Template'!A36 = "Standard", " - DAR","")</f>
        <v/>
      </c>
      <c r="C36" s="6" t="str">
        <f>'Ingest Template'!C36</f>
        <v/>
      </c>
      <c r="D36" s="7" t="str">
        <f>'Ingest Template'!E36</f>
        <v/>
      </c>
      <c r="E36" s="5"/>
      <c r="F36" s="5"/>
      <c r="G36" s="5"/>
      <c r="H36" s="7"/>
      <c r="I36" s="5"/>
      <c r="J36" s="7" t="str">
        <f>'Ingest Template'!Q36</f>
        <v/>
      </c>
      <c r="K36" s="5" t="str">
        <f>'Ingest Template'!R36</f>
        <v/>
      </c>
      <c r="L36" s="8" t="s">
        <v>38</v>
      </c>
      <c r="M36" s="9"/>
      <c r="N36" s="5"/>
      <c r="O36" s="5"/>
      <c r="P36" s="5"/>
      <c r="Q36" s="5"/>
      <c r="R36" s="5" t="str">
        <f>'Ingest Template'!D36</f>
        <v/>
      </c>
      <c r="S36" s="5" t="str">
        <f>'Ingest Template'!G36</f>
        <v/>
      </c>
      <c r="T36" s="5" t="str">
        <f>'Ingest Template'!H36</f>
        <v/>
      </c>
      <c r="U36" s="5" t="str">
        <f>LOWER(SUBSTITUTE(SUBSTITUTE(SUBSTITUTE(SUBSTITUTE(SUBSTITUTE('Ingest Template'!I36,"https:",""),"www.",""),"/",""),"?hl=en",""),"instagram.com",""))</f>
        <v/>
      </c>
      <c r="V36" s="10" t="str">
        <f>'Ingest Template'!J36</f>
        <v/>
      </c>
      <c r="W36" s="10" t="str">
        <f>'Ingest Template'!K36</f>
        <v/>
      </c>
      <c r="X36" s="5"/>
      <c r="Y36" s="5" t="str">
        <f>SUBSTITUTE(SUBSTITUTE(SUBSTITUTE('Ingest Template'!L36,"http:",""),"https:",""),"/","")</f>
        <v/>
      </c>
      <c r="Z36" s="5" t="str">
        <f t="array" ref="Z36">IF('Ingest Template'!A36="Standard",(IF(ISBLANK('Ingest Template'!M36),"", 'Ingest Template'!M36&amp;"|DAR")),(IF(ISBLANK('Ingest Template'!M36),"", 'Ingest Template'!M36&amp;"|Operations - Core Title")))</f>
        <v/>
      </c>
      <c r="AA36" s="5"/>
      <c r="AB36" s="5" t="str">
        <f>'Ingest Template'!F36</f>
        <v/>
      </c>
      <c r="AC36" s="5"/>
      <c r="AD36" s="5"/>
      <c r="AE36" s="5"/>
      <c r="AF36" s="8"/>
      <c r="AG36" s="5" t="str">
        <f t="array" ref="AG36">IF('Ingest Template'!A36="Standard",(CONCATENATE(IF(ISBLANK('Ingest Template'!N36),"", 'Ingest Template'!N36&amp;"|DAR"),CHAR(10), IF(ISBLANK('Ingest Template'!O36),"", 'Ingest Template'!O36&amp;"|DAR"),CHAR(10), IF(ISBLANK('Ingest Template'!P36),"", 'Ingest Template'!P36&amp;"|DAR"))),(CONCATENATE(IF(ISBLANK('Ingest Template'!N36),"", 'Ingest Template'!N36&amp;"|Operations - Core Title"),CHAR(10), IF(ISBLANK('Ingest Template'!O36),"", 'Ingest Template'!O36&amp;"|Operations - Core Title"),CHAR(10), IF(ISBLANK('Ingest Template'!P36),"", 'Ingest Template'!P36&amp;"|Operations - Core Title"))))</f>
        <v>#|Operations - Core Title
</v>
      </c>
      <c r="AH36" s="5"/>
      <c r="AI36" s="5"/>
      <c r="AJ36" s="5"/>
      <c r="AK36" s="5"/>
      <c r="AL36" s="5"/>
    </row>
    <row r="37">
      <c r="A37" s="5"/>
      <c r="B37" s="5" t="str">
        <f>'Ingest Template'!B37&amp;IF('Ingest Template'!A37 = "Standard", " - DAR","")</f>
        <v/>
      </c>
      <c r="C37" s="6" t="str">
        <f>'Ingest Template'!C37</f>
        <v/>
      </c>
      <c r="D37" s="7" t="str">
        <f>'Ingest Template'!E37</f>
        <v/>
      </c>
      <c r="E37" s="5"/>
      <c r="F37" s="5"/>
      <c r="G37" s="5"/>
      <c r="H37" s="7"/>
      <c r="I37" s="5"/>
      <c r="J37" s="7" t="str">
        <f>'Ingest Template'!Q37</f>
        <v/>
      </c>
      <c r="K37" s="5" t="str">
        <f>'Ingest Template'!R37</f>
        <v/>
      </c>
      <c r="L37" s="8" t="s">
        <v>38</v>
      </c>
      <c r="M37" s="9"/>
      <c r="N37" s="5"/>
      <c r="O37" s="5"/>
      <c r="P37" s="5"/>
      <c r="Q37" s="5"/>
      <c r="R37" s="5" t="str">
        <f>'Ingest Template'!D37</f>
        <v/>
      </c>
      <c r="S37" s="5" t="str">
        <f>'Ingest Template'!G37</f>
        <v/>
      </c>
      <c r="T37" s="5" t="str">
        <f>'Ingest Template'!H37</f>
        <v/>
      </c>
      <c r="U37" s="5" t="str">
        <f>LOWER(SUBSTITUTE(SUBSTITUTE(SUBSTITUTE(SUBSTITUTE(SUBSTITUTE('Ingest Template'!I37,"https:",""),"www.",""),"/",""),"?hl=en",""),"instagram.com",""))</f>
        <v/>
      </c>
      <c r="V37" s="10" t="str">
        <f>'Ingest Template'!J37</f>
        <v/>
      </c>
      <c r="W37" s="10" t="str">
        <f>'Ingest Template'!K37</f>
        <v/>
      </c>
      <c r="X37" s="5"/>
      <c r="Y37" s="5" t="str">
        <f>SUBSTITUTE(SUBSTITUTE(SUBSTITUTE('Ingest Template'!L37,"http:",""),"https:",""),"/","")</f>
        <v/>
      </c>
      <c r="Z37" s="5" t="str">
        <f t="array" ref="Z37">IF('Ingest Template'!A37="Standard",(IF(ISBLANK('Ingest Template'!M37),"", 'Ingest Template'!M37&amp;"|DAR")),(IF(ISBLANK('Ingest Template'!M37),"", 'Ingest Template'!M37&amp;"|Operations - Core Title")))</f>
        <v/>
      </c>
      <c r="AA37" s="5"/>
      <c r="AB37" s="5" t="str">
        <f>'Ingest Template'!F37</f>
        <v/>
      </c>
      <c r="AC37" s="5"/>
      <c r="AD37" s="5"/>
      <c r="AE37" s="5"/>
      <c r="AF37" s="8"/>
      <c r="AG37" s="5" t="str">
        <f t="array" ref="AG37">IF('Ingest Template'!A37="Standard",(CONCATENATE(IF(ISBLANK('Ingest Template'!N37),"", 'Ingest Template'!N37&amp;"|DAR"),CHAR(10), IF(ISBLANK('Ingest Template'!O37),"", 'Ingest Template'!O37&amp;"|DAR"),CHAR(10), IF(ISBLANK('Ingest Template'!P37),"", 'Ingest Template'!P37&amp;"|DAR"))),(CONCATENATE(IF(ISBLANK('Ingest Template'!N37),"", 'Ingest Template'!N37&amp;"|Operations - Core Title"),CHAR(10), IF(ISBLANK('Ingest Template'!O37),"", 'Ingest Template'!O37&amp;"|Operations - Core Title"),CHAR(10), IF(ISBLANK('Ingest Template'!P37),"", 'Ingest Template'!P37&amp;"|Operations - Core Title"))))</f>
        <v>#|Operations - Core Title
</v>
      </c>
      <c r="AH37" s="5"/>
      <c r="AI37" s="5"/>
      <c r="AJ37" s="5"/>
      <c r="AK37" s="5"/>
      <c r="AL37" s="5"/>
    </row>
    <row r="38">
      <c r="A38" s="5"/>
      <c r="B38" s="5" t="str">
        <f>'Ingest Template'!B38&amp;IF('Ingest Template'!A38 = "Standard", " - DAR","")</f>
        <v/>
      </c>
      <c r="C38" s="6" t="str">
        <f>'Ingest Template'!C38</f>
        <v/>
      </c>
      <c r="D38" s="7" t="str">
        <f>'Ingest Template'!E38</f>
        <v/>
      </c>
      <c r="E38" s="5"/>
      <c r="F38" s="5"/>
      <c r="G38" s="5"/>
      <c r="H38" s="7"/>
      <c r="I38" s="5"/>
      <c r="J38" s="7" t="str">
        <f>'Ingest Template'!Q38</f>
        <v/>
      </c>
      <c r="K38" s="5" t="str">
        <f>'Ingest Template'!R38</f>
        <v/>
      </c>
      <c r="L38" s="8" t="s">
        <v>38</v>
      </c>
      <c r="M38" s="9"/>
      <c r="N38" s="5"/>
      <c r="O38" s="5"/>
      <c r="P38" s="5"/>
      <c r="Q38" s="5"/>
      <c r="R38" s="5" t="str">
        <f>'Ingest Template'!D38</f>
        <v/>
      </c>
      <c r="S38" s="5" t="str">
        <f>'Ingest Template'!G38</f>
        <v/>
      </c>
      <c r="T38" s="5" t="str">
        <f>'Ingest Template'!H38</f>
        <v/>
      </c>
      <c r="U38" s="5" t="str">
        <f>LOWER(SUBSTITUTE(SUBSTITUTE(SUBSTITUTE(SUBSTITUTE(SUBSTITUTE('Ingest Template'!I38,"https:",""),"www.",""),"/",""),"?hl=en",""),"instagram.com",""))</f>
        <v/>
      </c>
      <c r="V38" s="10" t="str">
        <f>'Ingest Template'!J38</f>
        <v/>
      </c>
      <c r="W38" s="10" t="str">
        <f>'Ingest Template'!K38</f>
        <v/>
      </c>
      <c r="X38" s="5"/>
      <c r="Y38" s="5" t="str">
        <f>SUBSTITUTE(SUBSTITUTE(SUBSTITUTE('Ingest Template'!L38,"http:",""),"https:",""),"/","")</f>
        <v/>
      </c>
      <c r="Z38" s="5" t="str">
        <f t="array" ref="Z38">IF('Ingest Template'!A38="Standard",(IF(ISBLANK('Ingest Template'!M38),"", 'Ingest Template'!M38&amp;"|DAR")),(IF(ISBLANK('Ingest Template'!M38),"", 'Ingest Template'!M38&amp;"|Operations - Core Title")))</f>
        <v/>
      </c>
      <c r="AA38" s="5"/>
      <c r="AB38" s="5" t="str">
        <f>'Ingest Template'!F38</f>
        <v/>
      </c>
      <c r="AC38" s="5"/>
      <c r="AD38" s="5"/>
      <c r="AE38" s="5"/>
      <c r="AF38" s="8"/>
      <c r="AG38" s="5" t="str">
        <f t="array" ref="AG38">IF('Ingest Template'!A38="Standard",(CONCATENATE(IF(ISBLANK('Ingest Template'!N38),"", 'Ingest Template'!N38&amp;"|DAR"),CHAR(10), IF(ISBLANK('Ingest Template'!O38),"", 'Ingest Template'!O38&amp;"|DAR"),CHAR(10), IF(ISBLANK('Ingest Template'!P38),"", 'Ingest Template'!P38&amp;"|DAR"))),(CONCATENATE(IF(ISBLANK('Ingest Template'!N38),"", 'Ingest Template'!N38&amp;"|Operations - Core Title"),CHAR(10), IF(ISBLANK('Ingest Template'!O38),"", 'Ingest Template'!O38&amp;"|Operations - Core Title"),CHAR(10), IF(ISBLANK('Ingest Template'!P38),"", 'Ingest Template'!P38&amp;"|Operations - Core Title"))))</f>
        <v>#|Operations - Core Title
</v>
      </c>
      <c r="AH38" s="5"/>
      <c r="AI38" s="5"/>
      <c r="AJ38" s="5"/>
      <c r="AK38" s="5"/>
      <c r="AL38" s="5"/>
    </row>
    <row r="39">
      <c r="A39" s="5"/>
      <c r="B39" s="5" t="str">
        <f>'Ingest Template'!B39&amp;IF('Ingest Template'!A39 = "Standard", " - DAR","")</f>
        <v/>
      </c>
      <c r="C39" s="6" t="str">
        <f>'Ingest Template'!C39</f>
        <v/>
      </c>
      <c r="D39" s="7" t="str">
        <f>'Ingest Template'!E39</f>
        <v/>
      </c>
      <c r="E39" s="5"/>
      <c r="F39" s="5"/>
      <c r="G39" s="5"/>
      <c r="H39" s="7"/>
      <c r="I39" s="5"/>
      <c r="J39" s="7" t="str">
        <f>'Ingest Template'!Q39</f>
        <v/>
      </c>
      <c r="K39" s="5" t="str">
        <f>'Ingest Template'!R39</f>
        <v/>
      </c>
      <c r="L39" s="8" t="s">
        <v>38</v>
      </c>
      <c r="M39" s="9"/>
      <c r="N39" s="5"/>
      <c r="O39" s="5"/>
      <c r="P39" s="5"/>
      <c r="Q39" s="5"/>
      <c r="R39" s="5" t="str">
        <f>'Ingest Template'!D39</f>
        <v/>
      </c>
      <c r="S39" s="5" t="str">
        <f>'Ingest Template'!G39</f>
        <v/>
      </c>
      <c r="T39" s="5" t="str">
        <f>'Ingest Template'!H39</f>
        <v/>
      </c>
      <c r="U39" s="5" t="str">
        <f>LOWER(SUBSTITUTE(SUBSTITUTE(SUBSTITUTE(SUBSTITUTE(SUBSTITUTE('Ingest Template'!I39,"https:",""),"www.",""),"/",""),"?hl=en",""),"instagram.com",""))</f>
        <v/>
      </c>
      <c r="V39" s="10" t="str">
        <f>'Ingest Template'!J39</f>
        <v/>
      </c>
      <c r="W39" s="10" t="str">
        <f>'Ingest Template'!K39</f>
        <v/>
      </c>
      <c r="X39" s="5"/>
      <c r="Y39" s="5" t="str">
        <f>SUBSTITUTE(SUBSTITUTE(SUBSTITUTE('Ingest Template'!L39,"http:",""),"https:",""),"/","")</f>
        <v/>
      </c>
      <c r="Z39" s="5" t="str">
        <f t="array" ref="Z39">IF('Ingest Template'!A39="Standard",(IF(ISBLANK('Ingest Template'!M39),"", 'Ingest Template'!M39&amp;"|DAR")),(IF(ISBLANK('Ingest Template'!M39),"", 'Ingest Template'!M39&amp;"|Operations - Core Title")))</f>
        <v/>
      </c>
      <c r="AA39" s="5"/>
      <c r="AB39" s="5" t="str">
        <f>'Ingest Template'!F39</f>
        <v/>
      </c>
      <c r="AC39" s="5"/>
      <c r="AD39" s="5"/>
      <c r="AE39" s="5"/>
      <c r="AF39" s="8"/>
      <c r="AG39" s="5" t="str">
        <f t="array" ref="AG39">IF('Ingest Template'!A39="Standard",(CONCATENATE(IF(ISBLANK('Ingest Template'!N39),"", 'Ingest Template'!N39&amp;"|DAR"),CHAR(10), IF(ISBLANK('Ingest Template'!O39),"", 'Ingest Template'!O39&amp;"|DAR"),CHAR(10), IF(ISBLANK('Ingest Template'!P39),"", 'Ingest Template'!P39&amp;"|DAR"))),(CONCATENATE(IF(ISBLANK('Ingest Template'!N39),"", 'Ingest Template'!N39&amp;"|Operations - Core Title"),CHAR(10), IF(ISBLANK('Ingest Template'!O39),"", 'Ingest Template'!O39&amp;"|Operations - Core Title"),CHAR(10), IF(ISBLANK('Ingest Template'!P39),"", 'Ingest Template'!P39&amp;"|Operations - Core Title"))))</f>
        <v>#|Operations - Core Title
</v>
      </c>
      <c r="AH39" s="5"/>
      <c r="AI39" s="5"/>
      <c r="AJ39" s="5"/>
      <c r="AK39" s="5"/>
      <c r="AL39" s="5"/>
    </row>
    <row r="40">
      <c r="A40" s="5"/>
      <c r="B40" s="5" t="str">
        <f>'Ingest Template'!B40&amp;IF('Ingest Template'!A40 = "Standard", " - DAR","")</f>
        <v/>
      </c>
      <c r="C40" s="6" t="str">
        <f>'Ingest Template'!C40</f>
        <v/>
      </c>
      <c r="D40" s="7" t="str">
        <f>'Ingest Template'!E40</f>
        <v/>
      </c>
      <c r="E40" s="5"/>
      <c r="F40" s="5"/>
      <c r="G40" s="5"/>
      <c r="H40" s="7"/>
      <c r="I40" s="5"/>
      <c r="J40" s="7" t="str">
        <f>'Ingest Template'!Q40</f>
        <v/>
      </c>
      <c r="K40" s="5" t="str">
        <f>'Ingest Template'!R40</f>
        <v/>
      </c>
      <c r="L40" s="8" t="s">
        <v>38</v>
      </c>
      <c r="M40" s="9"/>
      <c r="N40" s="5"/>
      <c r="O40" s="5"/>
      <c r="P40" s="5"/>
      <c r="Q40" s="5"/>
      <c r="R40" s="5" t="str">
        <f>'Ingest Template'!D40</f>
        <v/>
      </c>
      <c r="S40" s="5" t="str">
        <f>'Ingest Template'!G40</f>
        <v/>
      </c>
      <c r="T40" s="5" t="str">
        <f>'Ingest Template'!H40</f>
        <v/>
      </c>
      <c r="U40" s="5" t="str">
        <f>LOWER(SUBSTITUTE(SUBSTITUTE(SUBSTITUTE(SUBSTITUTE(SUBSTITUTE('Ingest Template'!I40,"https:",""),"www.",""),"/",""),"?hl=en",""),"instagram.com",""))</f>
        <v/>
      </c>
      <c r="V40" s="10" t="str">
        <f>'Ingest Template'!J40</f>
        <v/>
      </c>
      <c r="W40" s="10" t="str">
        <f>'Ingest Template'!K40</f>
        <v/>
      </c>
      <c r="X40" s="5"/>
      <c r="Y40" s="5" t="str">
        <f>SUBSTITUTE(SUBSTITUTE(SUBSTITUTE('Ingest Template'!L40,"http:",""),"https:",""),"/","")</f>
        <v/>
      </c>
      <c r="Z40" s="5" t="str">
        <f t="array" ref="Z40">IF('Ingest Template'!A40="Standard",(IF(ISBLANK('Ingest Template'!M40),"", 'Ingest Template'!M40&amp;"|DAR")),(IF(ISBLANK('Ingest Template'!M40),"", 'Ingest Template'!M40&amp;"|Operations - Core Title")))</f>
        <v/>
      </c>
      <c r="AA40" s="5"/>
      <c r="AB40" s="5" t="str">
        <f>'Ingest Template'!F40</f>
        <v/>
      </c>
      <c r="AC40" s="5"/>
      <c r="AD40" s="5"/>
      <c r="AE40" s="5"/>
      <c r="AF40" s="8"/>
      <c r="AG40" s="5" t="str">
        <f t="array" ref="AG40">IF('Ingest Template'!A40="Standard",(CONCATENATE(IF(ISBLANK('Ingest Template'!N40),"", 'Ingest Template'!N40&amp;"|DAR"),CHAR(10), IF(ISBLANK('Ingest Template'!O40),"", 'Ingest Template'!O40&amp;"|DAR"),CHAR(10), IF(ISBLANK('Ingest Template'!P40),"", 'Ingest Template'!P40&amp;"|DAR"))),(CONCATENATE(IF(ISBLANK('Ingest Template'!N40),"", 'Ingest Template'!N40&amp;"|Operations - Core Title"),CHAR(10), IF(ISBLANK('Ingest Template'!O40),"", 'Ingest Template'!O40&amp;"|Operations - Core Title"),CHAR(10), IF(ISBLANK('Ingest Template'!P40),"", 'Ingest Template'!P40&amp;"|Operations - Core Title"))))</f>
        <v>#|Operations - Core Title
</v>
      </c>
      <c r="AH40" s="5"/>
      <c r="AI40" s="5"/>
      <c r="AJ40" s="5"/>
      <c r="AK40" s="5"/>
      <c r="AL40" s="5"/>
    </row>
    <row r="41">
      <c r="A41" s="5"/>
      <c r="B41" s="5" t="str">
        <f>'Ingest Template'!B41&amp;IF('Ingest Template'!A41 = "Standard", " - DAR","")</f>
        <v/>
      </c>
      <c r="C41" s="6" t="str">
        <f>'Ingest Template'!C41</f>
        <v/>
      </c>
      <c r="D41" s="7" t="str">
        <f>'Ingest Template'!E41</f>
        <v/>
      </c>
      <c r="E41" s="5"/>
      <c r="F41" s="5"/>
      <c r="G41" s="5"/>
      <c r="H41" s="7"/>
      <c r="I41" s="5"/>
      <c r="J41" s="7" t="str">
        <f>'Ingest Template'!Q41</f>
        <v/>
      </c>
      <c r="K41" s="5" t="str">
        <f>'Ingest Template'!R41</f>
        <v/>
      </c>
      <c r="L41" s="8" t="s">
        <v>38</v>
      </c>
      <c r="M41" s="9"/>
      <c r="N41" s="5"/>
      <c r="O41" s="5"/>
      <c r="P41" s="5"/>
      <c r="Q41" s="5"/>
      <c r="R41" s="5" t="str">
        <f>'Ingest Template'!D41</f>
        <v/>
      </c>
      <c r="S41" s="5" t="str">
        <f>'Ingest Template'!G41</f>
        <v/>
      </c>
      <c r="T41" s="5" t="str">
        <f>'Ingest Template'!H41</f>
        <v/>
      </c>
      <c r="U41" s="5" t="str">
        <f>LOWER(SUBSTITUTE(SUBSTITUTE(SUBSTITUTE(SUBSTITUTE(SUBSTITUTE('Ingest Template'!I41,"https:",""),"www.",""),"/",""),"?hl=en",""),"instagram.com",""))</f>
        <v/>
      </c>
      <c r="V41" s="10" t="str">
        <f>'Ingest Template'!J41</f>
        <v/>
      </c>
      <c r="W41" s="10" t="str">
        <f>'Ingest Template'!K41</f>
        <v/>
      </c>
      <c r="X41" s="5"/>
      <c r="Y41" s="5" t="str">
        <f>SUBSTITUTE(SUBSTITUTE(SUBSTITUTE('Ingest Template'!L41,"http:",""),"https:",""),"/","")</f>
        <v/>
      </c>
      <c r="Z41" s="5" t="str">
        <f t="array" ref="Z41">IF('Ingest Template'!A41="Standard",(IF(ISBLANK('Ingest Template'!M41),"", 'Ingest Template'!M41&amp;"|DAR")),(IF(ISBLANK('Ingest Template'!M41),"", 'Ingest Template'!M41&amp;"|Operations - Core Title")))</f>
        <v/>
      </c>
      <c r="AA41" s="5"/>
      <c r="AB41" s="5" t="str">
        <f>'Ingest Template'!F41</f>
        <v/>
      </c>
      <c r="AC41" s="5"/>
      <c r="AD41" s="5"/>
      <c r="AE41" s="5"/>
      <c r="AF41" s="8"/>
      <c r="AG41" s="5" t="str">
        <f t="array" ref="AG41">IF('Ingest Template'!A41="Standard",(CONCATENATE(IF(ISBLANK('Ingest Template'!N41),"", 'Ingest Template'!N41&amp;"|DAR"),CHAR(10), IF(ISBLANK('Ingest Template'!O41),"", 'Ingest Template'!O41&amp;"|DAR"),CHAR(10), IF(ISBLANK('Ingest Template'!P41),"", 'Ingest Template'!P41&amp;"|DAR"))),(CONCATENATE(IF(ISBLANK('Ingest Template'!N41),"", 'Ingest Template'!N41&amp;"|Operations - Core Title"),CHAR(10), IF(ISBLANK('Ingest Template'!O41),"", 'Ingest Template'!O41&amp;"|Operations - Core Title"),CHAR(10), IF(ISBLANK('Ingest Template'!P41),"", 'Ingest Template'!P41&amp;"|Operations - Core Title"))))</f>
        <v>#|Operations - Core Title
</v>
      </c>
      <c r="AH41" s="5"/>
      <c r="AI41" s="5"/>
      <c r="AJ41" s="5"/>
      <c r="AK41" s="5"/>
      <c r="AL41" s="5"/>
    </row>
    <row r="42">
      <c r="A42" s="5"/>
      <c r="B42" s="5" t="str">
        <f>'Ingest Template'!B42&amp;IF('Ingest Template'!A42 = "Standard", " - DAR","")</f>
        <v/>
      </c>
      <c r="C42" s="6" t="str">
        <f>'Ingest Template'!C42</f>
        <v/>
      </c>
      <c r="D42" s="7" t="str">
        <f>'Ingest Template'!E42</f>
        <v/>
      </c>
      <c r="E42" s="5"/>
      <c r="F42" s="5"/>
      <c r="G42" s="5"/>
      <c r="H42" s="7"/>
      <c r="I42" s="5"/>
      <c r="J42" s="7" t="str">
        <f>'Ingest Template'!Q42</f>
        <v/>
      </c>
      <c r="K42" s="5" t="str">
        <f>'Ingest Template'!R42</f>
        <v/>
      </c>
      <c r="L42" s="8" t="s">
        <v>38</v>
      </c>
      <c r="M42" s="9"/>
      <c r="N42" s="5"/>
      <c r="O42" s="5"/>
      <c r="P42" s="5"/>
      <c r="Q42" s="5"/>
      <c r="R42" s="5" t="str">
        <f>'Ingest Template'!D42</f>
        <v/>
      </c>
      <c r="S42" s="5" t="str">
        <f>'Ingest Template'!G42</f>
        <v/>
      </c>
      <c r="T42" s="5" t="str">
        <f>'Ingest Template'!H42</f>
        <v/>
      </c>
      <c r="U42" s="5" t="str">
        <f>LOWER(SUBSTITUTE(SUBSTITUTE(SUBSTITUTE(SUBSTITUTE(SUBSTITUTE('Ingest Template'!I42,"https:",""),"www.",""),"/",""),"?hl=en",""),"instagram.com",""))</f>
        <v/>
      </c>
      <c r="V42" s="10" t="str">
        <f>'Ingest Template'!J42</f>
        <v/>
      </c>
      <c r="W42" s="10" t="str">
        <f>'Ingest Template'!K42</f>
        <v/>
      </c>
      <c r="X42" s="5"/>
      <c r="Y42" s="5" t="str">
        <f>SUBSTITUTE(SUBSTITUTE(SUBSTITUTE('Ingest Template'!L42,"http:",""),"https:",""),"/","")</f>
        <v/>
      </c>
      <c r="Z42" s="5" t="str">
        <f t="array" ref="Z42">IF('Ingest Template'!A42="Standard",(IF(ISBLANK('Ingest Template'!M42),"", 'Ingest Template'!M42&amp;"|DAR")),(IF(ISBLANK('Ingest Template'!M42),"", 'Ingest Template'!M42&amp;"|Operations - Core Title")))</f>
        <v/>
      </c>
      <c r="AA42" s="5"/>
      <c r="AB42" s="5" t="str">
        <f>'Ingest Template'!F42</f>
        <v/>
      </c>
      <c r="AC42" s="5"/>
      <c r="AD42" s="5"/>
      <c r="AE42" s="5"/>
      <c r="AF42" s="8"/>
      <c r="AG42" s="5" t="str">
        <f t="array" ref="AG42">IF('Ingest Template'!A42="Standard",(CONCATENATE(IF(ISBLANK('Ingest Template'!N42),"", 'Ingest Template'!N42&amp;"|DAR"),CHAR(10), IF(ISBLANK('Ingest Template'!O42),"", 'Ingest Template'!O42&amp;"|DAR"),CHAR(10), IF(ISBLANK('Ingest Template'!P42),"", 'Ingest Template'!P42&amp;"|DAR"))),(CONCATENATE(IF(ISBLANK('Ingest Template'!N42),"", 'Ingest Template'!N42&amp;"|Operations - Core Title"),CHAR(10), IF(ISBLANK('Ingest Template'!O42),"", 'Ingest Template'!O42&amp;"|Operations - Core Title"),CHAR(10), IF(ISBLANK('Ingest Template'!P42),"", 'Ingest Template'!P42&amp;"|Operations - Core Title"))))</f>
        <v>#|Operations - Core Title
</v>
      </c>
      <c r="AH42" s="5"/>
      <c r="AI42" s="5"/>
      <c r="AJ42" s="5"/>
      <c r="AK42" s="5"/>
      <c r="AL42" s="5"/>
    </row>
    <row r="43">
      <c r="A43" s="5"/>
      <c r="B43" s="5" t="str">
        <f>'Ingest Template'!B43&amp;IF('Ingest Template'!A43 = "Standard", " - DAR","")</f>
        <v/>
      </c>
      <c r="C43" s="6" t="str">
        <f>'Ingest Template'!C43</f>
        <v/>
      </c>
      <c r="D43" s="7" t="str">
        <f>'Ingest Template'!E43</f>
        <v/>
      </c>
      <c r="E43" s="5"/>
      <c r="F43" s="5"/>
      <c r="G43" s="5"/>
      <c r="H43" s="7"/>
      <c r="I43" s="5"/>
      <c r="J43" s="7" t="str">
        <f>'Ingest Template'!Q43</f>
        <v/>
      </c>
      <c r="K43" s="5" t="str">
        <f>'Ingest Template'!R43</f>
        <v/>
      </c>
      <c r="L43" s="8" t="s">
        <v>38</v>
      </c>
      <c r="M43" s="9"/>
      <c r="N43" s="5"/>
      <c r="O43" s="5"/>
      <c r="P43" s="5"/>
      <c r="Q43" s="5"/>
      <c r="R43" s="5" t="str">
        <f>'Ingest Template'!D43</f>
        <v/>
      </c>
      <c r="S43" s="5" t="str">
        <f>'Ingest Template'!G43</f>
        <v/>
      </c>
      <c r="T43" s="5" t="str">
        <f>'Ingest Template'!H43</f>
        <v/>
      </c>
      <c r="U43" s="5" t="str">
        <f>LOWER(SUBSTITUTE(SUBSTITUTE(SUBSTITUTE(SUBSTITUTE(SUBSTITUTE('Ingest Template'!I43,"https:",""),"www.",""),"/",""),"?hl=en",""),"instagram.com",""))</f>
        <v/>
      </c>
      <c r="V43" s="10" t="str">
        <f>'Ingest Template'!J43</f>
        <v/>
      </c>
      <c r="W43" s="10" t="str">
        <f>'Ingest Template'!K43</f>
        <v/>
      </c>
      <c r="X43" s="5"/>
      <c r="Y43" s="5" t="str">
        <f>SUBSTITUTE(SUBSTITUTE(SUBSTITUTE('Ingest Template'!L43,"http:",""),"https:",""),"/","")</f>
        <v/>
      </c>
      <c r="Z43" s="5" t="str">
        <f t="array" ref="Z43">IF('Ingest Template'!A43="Standard",(IF(ISBLANK('Ingest Template'!M43),"", 'Ingest Template'!M43&amp;"|DAR")),(IF(ISBLANK('Ingest Template'!M43),"", 'Ingest Template'!M43&amp;"|Operations - Core Title")))</f>
        <v/>
      </c>
      <c r="AA43" s="5"/>
      <c r="AB43" s="5" t="str">
        <f>'Ingest Template'!F43</f>
        <v/>
      </c>
      <c r="AC43" s="5"/>
      <c r="AD43" s="5"/>
      <c r="AE43" s="5"/>
      <c r="AF43" s="8"/>
      <c r="AG43" s="5" t="str">
        <f t="array" ref="AG43">IF('Ingest Template'!A43="Standard",(CONCATENATE(IF(ISBLANK('Ingest Template'!N43),"", 'Ingest Template'!N43&amp;"|DAR"),CHAR(10), IF(ISBLANK('Ingest Template'!O43),"", 'Ingest Template'!O43&amp;"|DAR"),CHAR(10), IF(ISBLANK('Ingest Template'!P43),"", 'Ingest Template'!P43&amp;"|DAR"))),(CONCATENATE(IF(ISBLANK('Ingest Template'!N43),"", 'Ingest Template'!N43&amp;"|Operations - Core Title"),CHAR(10), IF(ISBLANK('Ingest Template'!O43),"", 'Ingest Template'!O43&amp;"|Operations - Core Title"),CHAR(10), IF(ISBLANK('Ingest Template'!P43),"", 'Ingest Template'!P43&amp;"|Operations - Core Title"))))</f>
        <v>#|Operations - Core Title
</v>
      </c>
      <c r="AH43" s="5"/>
      <c r="AI43" s="5"/>
      <c r="AJ43" s="5"/>
      <c r="AK43" s="5"/>
      <c r="AL43" s="5"/>
    </row>
    <row r="44">
      <c r="A44" s="5"/>
      <c r="B44" s="5" t="str">
        <f>'Ingest Template'!B44&amp;IF('Ingest Template'!A44 = "Standard", " - DAR","")</f>
        <v/>
      </c>
      <c r="C44" s="6" t="str">
        <f>'Ingest Template'!C44</f>
        <v/>
      </c>
      <c r="D44" s="7" t="str">
        <f>'Ingest Template'!E44</f>
        <v/>
      </c>
      <c r="E44" s="5"/>
      <c r="F44" s="5"/>
      <c r="G44" s="5"/>
      <c r="H44" s="7"/>
      <c r="I44" s="5"/>
      <c r="J44" s="7" t="str">
        <f>'Ingest Template'!Q44</f>
        <v/>
      </c>
      <c r="K44" s="5" t="str">
        <f>'Ingest Template'!R44</f>
        <v/>
      </c>
      <c r="L44" s="8" t="s">
        <v>38</v>
      </c>
      <c r="M44" s="9"/>
      <c r="N44" s="5"/>
      <c r="O44" s="5"/>
      <c r="P44" s="5"/>
      <c r="Q44" s="5"/>
      <c r="R44" s="5" t="str">
        <f>'Ingest Template'!D44</f>
        <v/>
      </c>
      <c r="S44" s="5" t="str">
        <f>'Ingest Template'!G44</f>
        <v/>
      </c>
      <c r="T44" s="5" t="str">
        <f>'Ingest Template'!H44</f>
        <v/>
      </c>
      <c r="U44" s="5" t="str">
        <f>LOWER(SUBSTITUTE(SUBSTITUTE(SUBSTITUTE(SUBSTITUTE(SUBSTITUTE('Ingest Template'!I44,"https:",""),"www.",""),"/",""),"?hl=en",""),"instagram.com",""))</f>
        <v/>
      </c>
      <c r="V44" s="10" t="str">
        <f>'Ingest Template'!J44</f>
        <v/>
      </c>
      <c r="W44" s="10" t="str">
        <f>'Ingest Template'!K44</f>
        <v/>
      </c>
      <c r="X44" s="5"/>
      <c r="Y44" s="5" t="str">
        <f>SUBSTITUTE(SUBSTITUTE(SUBSTITUTE('Ingest Template'!L44,"http:",""),"https:",""),"/","")</f>
        <v/>
      </c>
      <c r="Z44" s="5" t="str">
        <f t="array" ref="Z44">IF('Ingest Template'!A44="Standard",(IF(ISBLANK('Ingest Template'!M44),"", 'Ingest Template'!M44&amp;"|DAR")),(IF(ISBLANK('Ingest Template'!M44),"", 'Ingest Template'!M44&amp;"|Operations - Core Title")))</f>
        <v/>
      </c>
      <c r="AA44" s="5"/>
      <c r="AB44" s="5" t="str">
        <f>'Ingest Template'!F44</f>
        <v/>
      </c>
      <c r="AC44" s="5"/>
      <c r="AD44" s="5"/>
      <c r="AE44" s="5"/>
      <c r="AF44" s="8"/>
      <c r="AG44" s="5" t="str">
        <f t="array" ref="AG44">IF('Ingest Template'!A44="Standard",(CONCATENATE(IF(ISBLANK('Ingest Template'!N44),"", 'Ingest Template'!N44&amp;"|DAR"),CHAR(10), IF(ISBLANK('Ingest Template'!O44),"", 'Ingest Template'!O44&amp;"|DAR"),CHAR(10), IF(ISBLANK('Ingest Template'!P44),"", 'Ingest Template'!P44&amp;"|DAR"))),(CONCATENATE(IF(ISBLANK('Ingest Template'!N44),"", 'Ingest Template'!N44&amp;"|Operations - Core Title"),CHAR(10), IF(ISBLANK('Ingest Template'!O44),"", 'Ingest Template'!O44&amp;"|Operations - Core Title"),CHAR(10), IF(ISBLANK('Ingest Template'!P44),"", 'Ingest Template'!P44&amp;"|Operations - Core Title"))))</f>
        <v>#|Operations - Core Title
</v>
      </c>
      <c r="AH44" s="5"/>
      <c r="AI44" s="5"/>
      <c r="AJ44" s="5"/>
      <c r="AK44" s="5"/>
      <c r="AL44" s="5"/>
    </row>
    <row r="45">
      <c r="A45" s="5"/>
      <c r="B45" s="5" t="str">
        <f>'Ingest Template'!B45&amp;IF('Ingest Template'!A45 = "Standard", " - DAR","")</f>
        <v/>
      </c>
      <c r="C45" s="6" t="str">
        <f>'Ingest Template'!C45</f>
        <v/>
      </c>
      <c r="D45" s="7" t="str">
        <f>'Ingest Template'!E45</f>
        <v/>
      </c>
      <c r="E45" s="5"/>
      <c r="F45" s="5"/>
      <c r="G45" s="5"/>
      <c r="H45" s="7"/>
      <c r="I45" s="5"/>
      <c r="J45" s="7" t="str">
        <f>'Ingest Template'!Q45</f>
        <v/>
      </c>
      <c r="K45" s="5" t="str">
        <f>'Ingest Template'!R45</f>
        <v/>
      </c>
      <c r="L45" s="8" t="s">
        <v>38</v>
      </c>
      <c r="M45" s="9"/>
      <c r="N45" s="5"/>
      <c r="O45" s="5"/>
      <c r="P45" s="5"/>
      <c r="Q45" s="5"/>
      <c r="R45" s="5" t="str">
        <f>'Ingest Template'!D45</f>
        <v/>
      </c>
      <c r="S45" s="5" t="str">
        <f>'Ingest Template'!G45</f>
        <v/>
      </c>
      <c r="T45" s="5" t="str">
        <f>'Ingest Template'!H45</f>
        <v/>
      </c>
      <c r="U45" s="5" t="str">
        <f>LOWER(SUBSTITUTE(SUBSTITUTE(SUBSTITUTE(SUBSTITUTE(SUBSTITUTE('Ingest Template'!I45,"https:",""),"www.",""),"/",""),"?hl=en",""),"instagram.com",""))</f>
        <v/>
      </c>
      <c r="V45" s="10" t="str">
        <f>'Ingest Template'!J45</f>
        <v/>
      </c>
      <c r="W45" s="10" t="str">
        <f>'Ingest Template'!K45</f>
        <v/>
      </c>
      <c r="X45" s="5"/>
      <c r="Y45" s="5" t="str">
        <f>SUBSTITUTE(SUBSTITUTE(SUBSTITUTE('Ingest Template'!L45,"http:",""),"https:",""),"/","")</f>
        <v/>
      </c>
      <c r="Z45" s="5" t="str">
        <f t="array" ref="Z45">IF('Ingest Template'!A45="Standard",(IF(ISBLANK('Ingest Template'!M45),"", 'Ingest Template'!M45&amp;"|DAR")),(IF(ISBLANK('Ingest Template'!M45),"", 'Ingest Template'!M45&amp;"|Operations - Core Title")))</f>
        <v/>
      </c>
      <c r="AA45" s="5"/>
      <c r="AB45" s="5" t="str">
        <f>'Ingest Template'!F45</f>
        <v/>
      </c>
      <c r="AC45" s="5"/>
      <c r="AD45" s="5"/>
      <c r="AE45" s="5"/>
      <c r="AF45" s="8"/>
      <c r="AG45" s="5" t="str">
        <f t="array" ref="AG45">IF('Ingest Template'!A45="Standard",(CONCATENATE(IF(ISBLANK('Ingest Template'!N45),"", 'Ingest Template'!N45&amp;"|DAR"),CHAR(10), IF(ISBLANK('Ingest Template'!O45),"", 'Ingest Template'!O45&amp;"|DAR"),CHAR(10), IF(ISBLANK('Ingest Template'!P45),"", 'Ingest Template'!P45&amp;"|DAR"))),(CONCATENATE(IF(ISBLANK('Ingest Template'!N45),"", 'Ingest Template'!N45&amp;"|Operations - Core Title"),CHAR(10), IF(ISBLANK('Ingest Template'!O45),"", 'Ingest Template'!O45&amp;"|Operations - Core Title"),CHAR(10), IF(ISBLANK('Ingest Template'!P45),"", 'Ingest Template'!P45&amp;"|Operations - Core Title"))))</f>
        <v>#|Operations - Core Title
</v>
      </c>
      <c r="AH45" s="5"/>
      <c r="AI45" s="5"/>
      <c r="AJ45" s="5"/>
      <c r="AK45" s="5"/>
      <c r="AL45" s="5"/>
    </row>
    <row r="46">
      <c r="A46" s="5"/>
      <c r="B46" s="5" t="str">
        <f>'Ingest Template'!B46&amp;IF('Ingest Template'!A46 = "Standard", " - DAR","")</f>
        <v/>
      </c>
      <c r="C46" s="6" t="str">
        <f>'Ingest Template'!C46</f>
        <v/>
      </c>
      <c r="D46" s="7" t="str">
        <f>'Ingest Template'!E46</f>
        <v/>
      </c>
      <c r="E46" s="5"/>
      <c r="F46" s="5"/>
      <c r="G46" s="5"/>
      <c r="H46" s="7"/>
      <c r="I46" s="5"/>
      <c r="J46" s="7" t="str">
        <f>'Ingest Template'!Q46</f>
        <v/>
      </c>
      <c r="K46" s="5" t="str">
        <f>'Ingest Template'!R46</f>
        <v/>
      </c>
      <c r="L46" s="8" t="s">
        <v>38</v>
      </c>
      <c r="M46" s="9"/>
      <c r="N46" s="5"/>
      <c r="O46" s="5"/>
      <c r="P46" s="5"/>
      <c r="Q46" s="5"/>
      <c r="R46" s="5" t="str">
        <f>'Ingest Template'!D46</f>
        <v/>
      </c>
      <c r="S46" s="5" t="str">
        <f>'Ingest Template'!G46</f>
        <v/>
      </c>
      <c r="T46" s="5" t="str">
        <f>'Ingest Template'!H46</f>
        <v/>
      </c>
      <c r="U46" s="5" t="str">
        <f>LOWER(SUBSTITUTE(SUBSTITUTE(SUBSTITUTE(SUBSTITUTE(SUBSTITUTE('Ingest Template'!I46,"https:",""),"www.",""),"/",""),"?hl=en",""),"instagram.com",""))</f>
        <v/>
      </c>
      <c r="V46" s="10" t="str">
        <f>'Ingest Template'!J46</f>
        <v/>
      </c>
      <c r="W46" s="10" t="str">
        <f>'Ingest Template'!K46</f>
        <v/>
      </c>
      <c r="X46" s="5"/>
      <c r="Y46" s="5" t="str">
        <f>SUBSTITUTE(SUBSTITUTE(SUBSTITUTE('Ingest Template'!L46,"http:",""),"https:",""),"/","")</f>
        <v/>
      </c>
      <c r="Z46" s="5" t="str">
        <f t="array" ref="Z46">IF('Ingest Template'!A46="Standard",(IF(ISBLANK('Ingest Template'!M46),"", 'Ingest Template'!M46&amp;"|DAR")),(IF(ISBLANK('Ingest Template'!M46),"", 'Ingest Template'!M46&amp;"|Operations - Core Title")))</f>
        <v/>
      </c>
      <c r="AA46" s="5"/>
      <c r="AB46" s="5" t="str">
        <f>'Ingest Template'!F46</f>
        <v/>
      </c>
      <c r="AC46" s="5"/>
      <c r="AD46" s="5"/>
      <c r="AE46" s="5"/>
      <c r="AF46" s="8"/>
      <c r="AG46" s="5" t="str">
        <f t="array" ref="AG46">IF('Ingest Template'!A46="Standard",(CONCATENATE(IF(ISBLANK('Ingest Template'!N46),"", 'Ingest Template'!N46&amp;"|DAR"),CHAR(10), IF(ISBLANK('Ingest Template'!O46),"", 'Ingest Template'!O46&amp;"|DAR"),CHAR(10), IF(ISBLANK('Ingest Template'!P46),"", 'Ingest Template'!P46&amp;"|DAR"))),(CONCATENATE(IF(ISBLANK('Ingest Template'!N46),"", 'Ingest Template'!N46&amp;"|Operations - Core Title"),CHAR(10), IF(ISBLANK('Ingest Template'!O46),"", 'Ingest Template'!O46&amp;"|Operations - Core Title"),CHAR(10), IF(ISBLANK('Ingest Template'!P46),"", 'Ingest Template'!P46&amp;"|Operations - Core Title"))))</f>
        <v>#|Operations - Core Title
</v>
      </c>
      <c r="AH46" s="5"/>
      <c r="AI46" s="5"/>
      <c r="AJ46" s="5"/>
      <c r="AK46" s="5"/>
      <c r="AL46" s="5"/>
    </row>
    <row r="47">
      <c r="A47" s="5"/>
      <c r="B47" s="5" t="str">
        <f>'Ingest Template'!B47&amp;IF('Ingest Template'!A47 = "Standard", " - DAR","")</f>
        <v/>
      </c>
      <c r="C47" s="6" t="str">
        <f>'Ingest Template'!C47</f>
        <v/>
      </c>
      <c r="D47" s="7" t="str">
        <f>'Ingest Template'!E47</f>
        <v/>
      </c>
      <c r="E47" s="5"/>
      <c r="F47" s="5"/>
      <c r="G47" s="5"/>
      <c r="H47" s="7"/>
      <c r="I47" s="5"/>
      <c r="J47" s="7" t="str">
        <f>'Ingest Template'!Q47</f>
        <v/>
      </c>
      <c r="K47" s="5" t="str">
        <f>'Ingest Template'!R47</f>
        <v/>
      </c>
      <c r="L47" s="8" t="s">
        <v>38</v>
      </c>
      <c r="M47" s="9"/>
      <c r="N47" s="5"/>
      <c r="O47" s="5"/>
      <c r="P47" s="5"/>
      <c r="Q47" s="5"/>
      <c r="R47" s="5" t="str">
        <f>'Ingest Template'!D47</f>
        <v/>
      </c>
      <c r="S47" s="5" t="str">
        <f>'Ingest Template'!G47</f>
        <v/>
      </c>
      <c r="T47" s="5" t="str">
        <f>'Ingest Template'!H47</f>
        <v/>
      </c>
      <c r="U47" s="5" t="str">
        <f>LOWER(SUBSTITUTE(SUBSTITUTE(SUBSTITUTE(SUBSTITUTE(SUBSTITUTE('Ingest Template'!I47,"https:",""),"www.",""),"/",""),"?hl=en",""),"instagram.com",""))</f>
        <v/>
      </c>
      <c r="V47" s="10" t="str">
        <f>'Ingest Template'!J47</f>
        <v/>
      </c>
      <c r="W47" s="10" t="str">
        <f>'Ingest Template'!K47</f>
        <v/>
      </c>
      <c r="X47" s="5"/>
      <c r="Y47" s="5" t="str">
        <f>SUBSTITUTE(SUBSTITUTE(SUBSTITUTE('Ingest Template'!L47,"http:",""),"https:",""),"/","")</f>
        <v/>
      </c>
      <c r="Z47" s="5" t="str">
        <f t="array" ref="Z47">IF('Ingest Template'!A47="Standard",(IF(ISBLANK('Ingest Template'!M47),"", 'Ingest Template'!M47&amp;"|DAR")),(IF(ISBLANK('Ingest Template'!M47),"", 'Ingest Template'!M47&amp;"|Operations - Core Title")))</f>
        <v/>
      </c>
      <c r="AA47" s="5"/>
      <c r="AB47" s="5" t="str">
        <f>'Ingest Template'!F47</f>
        <v/>
      </c>
      <c r="AC47" s="5"/>
      <c r="AD47" s="5"/>
      <c r="AE47" s="5"/>
      <c r="AF47" s="8"/>
      <c r="AG47" s="5" t="str">
        <f t="array" ref="AG47">IF('Ingest Template'!A47="Standard",(CONCATENATE(IF(ISBLANK('Ingest Template'!N47),"", 'Ingest Template'!N47&amp;"|DAR"),CHAR(10), IF(ISBLANK('Ingest Template'!O47),"", 'Ingest Template'!O47&amp;"|DAR"),CHAR(10), IF(ISBLANK('Ingest Template'!P47),"", 'Ingest Template'!P47&amp;"|DAR"))),(CONCATENATE(IF(ISBLANK('Ingest Template'!N47),"", 'Ingest Template'!N47&amp;"|Operations - Core Title"),CHAR(10), IF(ISBLANK('Ingest Template'!O47),"", 'Ingest Template'!O47&amp;"|Operations - Core Title"),CHAR(10), IF(ISBLANK('Ingest Template'!P47),"", 'Ingest Template'!P47&amp;"|Operations - Core Title"))))</f>
        <v>#|Operations - Core Title
</v>
      </c>
      <c r="AH47" s="5"/>
      <c r="AI47" s="5"/>
      <c r="AJ47" s="5"/>
      <c r="AK47" s="5"/>
      <c r="AL47" s="5"/>
    </row>
    <row r="48">
      <c r="A48" s="5"/>
      <c r="B48" s="5" t="str">
        <f>'Ingest Template'!B48&amp;IF('Ingest Template'!A48 = "Standard", " - DAR","")</f>
        <v/>
      </c>
      <c r="C48" s="6" t="str">
        <f>'Ingest Template'!C48</f>
        <v/>
      </c>
      <c r="D48" s="7" t="str">
        <f>'Ingest Template'!E48</f>
        <v/>
      </c>
      <c r="E48" s="5"/>
      <c r="F48" s="5"/>
      <c r="G48" s="5"/>
      <c r="H48" s="7"/>
      <c r="I48" s="5"/>
      <c r="J48" s="7" t="str">
        <f>'Ingest Template'!Q48</f>
        <v/>
      </c>
      <c r="K48" s="5" t="str">
        <f>'Ingest Template'!R48</f>
        <v/>
      </c>
      <c r="L48" s="8" t="s">
        <v>38</v>
      </c>
      <c r="M48" s="9"/>
      <c r="N48" s="5"/>
      <c r="O48" s="5"/>
      <c r="P48" s="5"/>
      <c r="Q48" s="5"/>
      <c r="R48" s="5" t="str">
        <f>'Ingest Template'!D48</f>
        <v/>
      </c>
      <c r="S48" s="5" t="str">
        <f>'Ingest Template'!G48</f>
        <v/>
      </c>
      <c r="T48" s="5" t="str">
        <f>'Ingest Template'!H48</f>
        <v/>
      </c>
      <c r="U48" s="5" t="str">
        <f>LOWER(SUBSTITUTE(SUBSTITUTE(SUBSTITUTE(SUBSTITUTE(SUBSTITUTE('Ingest Template'!I48,"https:",""),"www.",""),"/",""),"?hl=en",""),"instagram.com",""))</f>
        <v/>
      </c>
      <c r="V48" s="10" t="str">
        <f>'Ingest Template'!J48</f>
        <v/>
      </c>
      <c r="W48" s="10" t="str">
        <f>'Ingest Template'!K48</f>
        <v/>
      </c>
      <c r="X48" s="5"/>
      <c r="Y48" s="5" t="str">
        <f>SUBSTITUTE(SUBSTITUTE(SUBSTITUTE('Ingest Template'!L48,"http:",""),"https:",""),"/","")</f>
        <v/>
      </c>
      <c r="Z48" s="5" t="str">
        <f t="array" ref="Z48">IF('Ingest Template'!A48="Standard",(IF(ISBLANK('Ingest Template'!M48),"", 'Ingest Template'!M48&amp;"|DAR")),(IF(ISBLANK('Ingest Template'!M48),"", 'Ingest Template'!M48&amp;"|Operations - Core Title")))</f>
        <v/>
      </c>
      <c r="AA48" s="5"/>
      <c r="AB48" s="5" t="str">
        <f>'Ingest Template'!F48</f>
        <v/>
      </c>
      <c r="AC48" s="5"/>
      <c r="AD48" s="5"/>
      <c r="AE48" s="5"/>
      <c r="AF48" s="8"/>
      <c r="AG48" s="5" t="str">
        <f t="array" ref="AG48">IF('Ingest Template'!A48="Standard",(CONCATENATE(IF(ISBLANK('Ingest Template'!N48),"", 'Ingest Template'!N48&amp;"|DAR"),CHAR(10), IF(ISBLANK('Ingest Template'!O48),"", 'Ingest Template'!O48&amp;"|DAR"),CHAR(10), IF(ISBLANK('Ingest Template'!P48),"", 'Ingest Template'!P48&amp;"|DAR"))),(CONCATENATE(IF(ISBLANK('Ingest Template'!N48),"", 'Ingest Template'!N48&amp;"|Operations - Core Title"),CHAR(10), IF(ISBLANK('Ingest Template'!O48),"", 'Ingest Template'!O48&amp;"|Operations - Core Title"),CHAR(10), IF(ISBLANK('Ingest Template'!P48),"", 'Ingest Template'!P48&amp;"|Operations - Core Title"))))</f>
        <v>#|Operations - Core Title
</v>
      </c>
      <c r="AH48" s="5"/>
      <c r="AI48" s="5"/>
      <c r="AJ48" s="5"/>
      <c r="AK48" s="5"/>
      <c r="AL48" s="5"/>
    </row>
    <row r="49">
      <c r="A49" s="5"/>
      <c r="B49" s="5" t="str">
        <f>'Ingest Template'!B49&amp;IF('Ingest Template'!A49 = "Standard", " - DAR","")</f>
        <v/>
      </c>
      <c r="C49" s="6" t="str">
        <f>'Ingest Template'!C49</f>
        <v/>
      </c>
      <c r="D49" s="7" t="str">
        <f>'Ingest Template'!E49</f>
        <v/>
      </c>
      <c r="E49" s="5"/>
      <c r="F49" s="5"/>
      <c r="G49" s="5"/>
      <c r="H49" s="7"/>
      <c r="I49" s="5"/>
      <c r="J49" s="7" t="str">
        <f>'Ingest Template'!Q49</f>
        <v/>
      </c>
      <c r="K49" s="5" t="str">
        <f>'Ingest Template'!R49</f>
        <v/>
      </c>
      <c r="L49" s="8" t="s">
        <v>38</v>
      </c>
      <c r="M49" s="9"/>
      <c r="N49" s="5"/>
      <c r="O49" s="5"/>
      <c r="P49" s="5"/>
      <c r="Q49" s="5"/>
      <c r="R49" s="5" t="str">
        <f>'Ingest Template'!D49</f>
        <v/>
      </c>
      <c r="S49" s="5" t="str">
        <f>'Ingest Template'!G49</f>
        <v/>
      </c>
      <c r="T49" s="5" t="str">
        <f>'Ingest Template'!H49</f>
        <v/>
      </c>
      <c r="U49" s="5" t="str">
        <f>LOWER(SUBSTITUTE(SUBSTITUTE(SUBSTITUTE(SUBSTITUTE(SUBSTITUTE('Ingest Template'!I49,"https:",""),"www.",""),"/",""),"?hl=en",""),"instagram.com",""))</f>
        <v/>
      </c>
      <c r="V49" s="10" t="str">
        <f>'Ingest Template'!J49</f>
        <v/>
      </c>
      <c r="W49" s="10" t="str">
        <f>'Ingest Template'!K49</f>
        <v/>
      </c>
      <c r="X49" s="5"/>
      <c r="Y49" s="5" t="str">
        <f>SUBSTITUTE(SUBSTITUTE(SUBSTITUTE('Ingest Template'!L49,"http:",""),"https:",""),"/","")</f>
        <v/>
      </c>
      <c r="Z49" s="5" t="str">
        <f t="array" ref="Z49">IF('Ingest Template'!A49="Standard",(IF(ISBLANK('Ingest Template'!M49),"", 'Ingest Template'!M49&amp;"|DAR")),(IF(ISBLANK('Ingest Template'!M49),"", 'Ingest Template'!M49&amp;"|Operations - Core Title")))</f>
        <v/>
      </c>
      <c r="AA49" s="5"/>
      <c r="AB49" s="5" t="str">
        <f>'Ingest Template'!F49</f>
        <v/>
      </c>
      <c r="AC49" s="5"/>
      <c r="AD49" s="5"/>
      <c r="AE49" s="5"/>
      <c r="AF49" s="8"/>
      <c r="AG49" s="5" t="str">
        <f t="array" ref="AG49">IF('Ingest Template'!A49="Standard",(CONCATENATE(IF(ISBLANK('Ingest Template'!N49),"", 'Ingest Template'!N49&amp;"|DAR"),CHAR(10), IF(ISBLANK('Ingest Template'!O49),"", 'Ingest Template'!O49&amp;"|DAR"),CHAR(10), IF(ISBLANK('Ingest Template'!P49),"", 'Ingest Template'!P49&amp;"|DAR"))),(CONCATENATE(IF(ISBLANK('Ingest Template'!N49),"", 'Ingest Template'!N49&amp;"|Operations - Core Title"),CHAR(10), IF(ISBLANK('Ingest Template'!O49),"", 'Ingest Template'!O49&amp;"|Operations - Core Title"),CHAR(10), IF(ISBLANK('Ingest Template'!P49),"", 'Ingest Template'!P49&amp;"|Operations - Core Title"))))</f>
        <v>#|Operations - Core Title
</v>
      </c>
      <c r="AH49" s="5"/>
      <c r="AI49" s="5"/>
      <c r="AJ49" s="5"/>
      <c r="AK49" s="5"/>
      <c r="AL49" s="5"/>
    </row>
    <row r="50">
      <c r="A50" s="5"/>
      <c r="B50" s="5" t="str">
        <f>'Ingest Template'!B50&amp;IF('Ingest Template'!A50 = "Standard", " - DAR","")</f>
        <v/>
      </c>
      <c r="C50" s="6" t="str">
        <f>'Ingest Template'!C50</f>
        <v/>
      </c>
      <c r="D50" s="7" t="str">
        <f>'Ingest Template'!E50</f>
        <v/>
      </c>
      <c r="E50" s="5"/>
      <c r="F50" s="5"/>
      <c r="G50" s="5"/>
      <c r="H50" s="7"/>
      <c r="I50" s="5"/>
      <c r="J50" s="7" t="str">
        <f>'Ingest Template'!Q50</f>
        <v/>
      </c>
      <c r="K50" s="5" t="str">
        <f>'Ingest Template'!R50</f>
        <v/>
      </c>
      <c r="L50" s="8" t="s">
        <v>38</v>
      </c>
      <c r="M50" s="9"/>
      <c r="N50" s="5"/>
      <c r="O50" s="5"/>
      <c r="P50" s="5"/>
      <c r="Q50" s="5"/>
      <c r="R50" s="5" t="str">
        <f>'Ingest Template'!D50</f>
        <v/>
      </c>
      <c r="S50" s="5" t="str">
        <f>'Ingest Template'!G50</f>
        <v/>
      </c>
      <c r="T50" s="5" t="str">
        <f>'Ingest Template'!H50</f>
        <v/>
      </c>
      <c r="U50" s="5" t="str">
        <f>LOWER(SUBSTITUTE(SUBSTITUTE(SUBSTITUTE(SUBSTITUTE(SUBSTITUTE('Ingest Template'!I50,"https:",""),"www.",""),"/",""),"?hl=en",""),"instagram.com",""))</f>
        <v/>
      </c>
      <c r="V50" s="10" t="str">
        <f>'Ingest Template'!J50</f>
        <v/>
      </c>
      <c r="W50" s="10" t="str">
        <f>'Ingest Template'!K50</f>
        <v/>
      </c>
      <c r="X50" s="5"/>
      <c r="Y50" s="5" t="str">
        <f>SUBSTITUTE(SUBSTITUTE(SUBSTITUTE('Ingest Template'!L50,"http:",""),"https:",""),"/","")</f>
        <v/>
      </c>
      <c r="Z50" s="5" t="str">
        <f t="array" ref="Z50">IF('Ingest Template'!A50="Standard",(IF(ISBLANK('Ingest Template'!M50),"", 'Ingest Template'!M50&amp;"|DAR")),(IF(ISBLANK('Ingest Template'!M50),"", 'Ingest Template'!M50&amp;"|Operations - Core Title")))</f>
        <v/>
      </c>
      <c r="AA50" s="5"/>
      <c r="AB50" s="5" t="str">
        <f>'Ingest Template'!F50</f>
        <v/>
      </c>
      <c r="AC50" s="5"/>
      <c r="AD50" s="5"/>
      <c r="AE50" s="5"/>
      <c r="AF50" s="8"/>
      <c r="AG50" s="5" t="str">
        <f t="array" ref="AG50">IF('Ingest Template'!A50="Standard",(CONCATENATE(IF(ISBLANK('Ingest Template'!N50),"", 'Ingest Template'!N50&amp;"|DAR"),CHAR(10), IF(ISBLANK('Ingest Template'!O50),"", 'Ingest Template'!O50&amp;"|DAR"),CHAR(10), IF(ISBLANK('Ingest Template'!P50),"", 'Ingest Template'!P50&amp;"|DAR"))),(CONCATENATE(IF(ISBLANK('Ingest Template'!N50),"", 'Ingest Template'!N50&amp;"|Operations - Core Title"),CHAR(10), IF(ISBLANK('Ingest Template'!O50),"", 'Ingest Template'!O50&amp;"|Operations - Core Title"),CHAR(10), IF(ISBLANK('Ingest Template'!P50),"", 'Ingest Template'!P50&amp;"|Operations - Core Title"))))</f>
        <v>#|Operations - Core Title
</v>
      </c>
      <c r="AH50" s="5"/>
      <c r="AI50" s="5"/>
      <c r="AJ50" s="5"/>
      <c r="AK50" s="5"/>
      <c r="AL50" s="5"/>
    </row>
    <row r="51">
      <c r="A51" s="5"/>
      <c r="B51" s="5" t="str">
        <f>'Ingest Template'!B51&amp;IF('Ingest Template'!A51 = "Standard", " - DAR","")</f>
        <v/>
      </c>
      <c r="C51" s="6" t="str">
        <f>'Ingest Template'!C51</f>
        <v/>
      </c>
      <c r="D51" s="7" t="str">
        <f>'Ingest Template'!E51</f>
        <v/>
      </c>
      <c r="E51" s="5"/>
      <c r="F51" s="5"/>
      <c r="G51" s="5"/>
      <c r="H51" s="7"/>
      <c r="I51" s="5"/>
      <c r="J51" s="7" t="str">
        <f>'Ingest Template'!Q51</f>
        <v/>
      </c>
      <c r="K51" s="5" t="str">
        <f>'Ingest Template'!R51</f>
        <v/>
      </c>
      <c r="L51" s="8" t="s">
        <v>38</v>
      </c>
      <c r="M51" s="9"/>
      <c r="N51" s="5"/>
      <c r="O51" s="5"/>
      <c r="P51" s="5"/>
      <c r="Q51" s="5"/>
      <c r="R51" s="5" t="str">
        <f>'Ingest Template'!D51</f>
        <v/>
      </c>
      <c r="S51" s="5" t="str">
        <f>'Ingest Template'!G51</f>
        <v/>
      </c>
      <c r="T51" s="5" t="str">
        <f>'Ingest Template'!H51</f>
        <v/>
      </c>
      <c r="U51" s="5" t="str">
        <f>LOWER(SUBSTITUTE(SUBSTITUTE(SUBSTITUTE(SUBSTITUTE(SUBSTITUTE('Ingest Template'!I51,"https:",""),"www.",""),"/",""),"?hl=en",""),"instagram.com",""))</f>
        <v/>
      </c>
      <c r="V51" s="10" t="str">
        <f>'Ingest Template'!J51</f>
        <v/>
      </c>
      <c r="W51" s="10" t="str">
        <f>'Ingest Template'!K51</f>
        <v/>
      </c>
      <c r="X51" s="5"/>
      <c r="Y51" s="5" t="str">
        <f>SUBSTITUTE(SUBSTITUTE(SUBSTITUTE('Ingest Template'!L51,"http:",""),"https:",""),"/","")</f>
        <v/>
      </c>
      <c r="Z51" s="5" t="str">
        <f t="array" ref="Z51">IF('Ingest Template'!A51="Standard",(IF(ISBLANK('Ingest Template'!M51),"", 'Ingest Template'!M51&amp;"|DAR")),(IF(ISBLANK('Ingest Template'!M51),"", 'Ingest Template'!M51&amp;"|Operations - Core Title")))</f>
        <v/>
      </c>
      <c r="AA51" s="5"/>
      <c r="AB51" s="5" t="str">
        <f>'Ingest Template'!F51</f>
        <v/>
      </c>
      <c r="AC51" s="5"/>
      <c r="AD51" s="5"/>
      <c r="AE51" s="5"/>
      <c r="AF51" s="8"/>
      <c r="AG51" s="5" t="str">
        <f t="array" ref="AG51">IF('Ingest Template'!A51="Standard",(CONCATENATE(IF(ISBLANK('Ingest Template'!N51),"", 'Ingest Template'!N51&amp;"|DAR"),CHAR(10), IF(ISBLANK('Ingest Template'!O51),"", 'Ingest Template'!O51&amp;"|DAR"),CHAR(10), IF(ISBLANK('Ingest Template'!P51),"", 'Ingest Template'!P51&amp;"|DAR"))),(CONCATENATE(IF(ISBLANK('Ingest Template'!N51),"", 'Ingest Template'!N51&amp;"|Operations - Core Title"),CHAR(10), IF(ISBLANK('Ingest Template'!O51),"", 'Ingest Template'!O51&amp;"|Operations - Core Title"),CHAR(10), IF(ISBLANK('Ingest Template'!P51),"", 'Ingest Template'!P51&amp;"|Operations - Core Title"))))</f>
        <v>#|Operations - Core Title
</v>
      </c>
      <c r="AH51" s="5"/>
      <c r="AI51" s="5"/>
      <c r="AJ51" s="5"/>
      <c r="AK51" s="5"/>
      <c r="AL51" s="5"/>
    </row>
    <row r="52">
      <c r="A52" s="5"/>
      <c r="B52" s="5" t="str">
        <f>'Ingest Template'!B52&amp;IF('Ingest Template'!A52 = "Standard", " - DAR","")</f>
        <v/>
      </c>
      <c r="C52" s="6" t="str">
        <f>'Ingest Template'!C52</f>
        <v/>
      </c>
      <c r="D52" s="7" t="str">
        <f>'Ingest Template'!E52</f>
        <v/>
      </c>
      <c r="E52" s="5"/>
      <c r="F52" s="5"/>
      <c r="G52" s="5"/>
      <c r="H52" s="7"/>
      <c r="I52" s="5"/>
      <c r="J52" s="7" t="str">
        <f>'Ingest Template'!Q52</f>
        <v/>
      </c>
      <c r="K52" s="5" t="str">
        <f>'Ingest Template'!R52</f>
        <v/>
      </c>
      <c r="L52" s="8" t="s">
        <v>38</v>
      </c>
      <c r="M52" s="9"/>
      <c r="N52" s="5"/>
      <c r="O52" s="5"/>
      <c r="P52" s="5"/>
      <c r="Q52" s="5"/>
      <c r="R52" s="5" t="str">
        <f>'Ingest Template'!D52</f>
        <v/>
      </c>
      <c r="S52" s="5" t="str">
        <f>'Ingest Template'!G52</f>
        <v/>
      </c>
      <c r="T52" s="5" t="str">
        <f>'Ingest Template'!H52</f>
        <v/>
      </c>
      <c r="U52" s="5" t="str">
        <f>LOWER(SUBSTITUTE(SUBSTITUTE(SUBSTITUTE(SUBSTITUTE(SUBSTITUTE('Ingest Template'!I52,"https:",""),"www.",""),"/",""),"?hl=en",""),"instagram.com",""))</f>
        <v/>
      </c>
      <c r="V52" s="10" t="str">
        <f>'Ingest Template'!J52</f>
        <v/>
      </c>
      <c r="W52" s="10" t="str">
        <f>'Ingest Template'!K52</f>
        <v/>
      </c>
      <c r="X52" s="5"/>
      <c r="Y52" s="5" t="str">
        <f>SUBSTITUTE(SUBSTITUTE(SUBSTITUTE('Ingest Template'!L52,"http:",""),"https:",""),"/","")</f>
        <v/>
      </c>
      <c r="Z52" s="5" t="str">
        <f t="array" ref="Z52">IF('Ingest Template'!A52="Standard",(IF(ISBLANK('Ingest Template'!M52),"", 'Ingest Template'!M52&amp;"|DAR")),(IF(ISBLANK('Ingest Template'!M52),"", 'Ingest Template'!M52&amp;"|Operations - Core Title")))</f>
        <v/>
      </c>
      <c r="AA52" s="5"/>
      <c r="AB52" s="5" t="str">
        <f>'Ingest Template'!F52</f>
        <v/>
      </c>
      <c r="AC52" s="5"/>
      <c r="AD52" s="5"/>
      <c r="AE52" s="5"/>
      <c r="AF52" s="8"/>
      <c r="AG52" s="5" t="str">
        <f t="array" ref="AG52">IF('Ingest Template'!A52="Standard",(CONCATENATE(IF(ISBLANK('Ingest Template'!N52),"", 'Ingest Template'!N52&amp;"|DAR"),CHAR(10), IF(ISBLANK('Ingest Template'!O52),"", 'Ingest Template'!O52&amp;"|DAR"),CHAR(10), IF(ISBLANK('Ingest Template'!P52),"", 'Ingest Template'!P52&amp;"|DAR"))),(CONCATENATE(IF(ISBLANK('Ingest Template'!N52),"", 'Ingest Template'!N52&amp;"|Operations - Core Title"),CHAR(10), IF(ISBLANK('Ingest Template'!O52),"", 'Ingest Template'!O52&amp;"|Operations - Core Title"),CHAR(10), IF(ISBLANK('Ingest Template'!P52),"", 'Ingest Template'!P52&amp;"|Operations - Core Title"))))</f>
        <v>#|Operations - Core Title
</v>
      </c>
      <c r="AH52" s="5"/>
      <c r="AI52" s="5"/>
      <c r="AJ52" s="5"/>
      <c r="AK52" s="5"/>
      <c r="AL52" s="5"/>
    </row>
    <row r="53">
      <c r="A53" s="5"/>
      <c r="B53" s="5" t="str">
        <f>'Ingest Template'!B53&amp;IF('Ingest Template'!A53 = "Standard", " - DAR","")</f>
        <v/>
      </c>
      <c r="C53" s="6" t="str">
        <f>'Ingest Template'!C53</f>
        <v/>
      </c>
      <c r="D53" s="7" t="str">
        <f>'Ingest Template'!E53</f>
        <v/>
      </c>
      <c r="E53" s="5"/>
      <c r="F53" s="5"/>
      <c r="G53" s="5"/>
      <c r="H53" s="7"/>
      <c r="I53" s="5"/>
      <c r="J53" s="7" t="str">
        <f>'Ingest Template'!Q53</f>
        <v/>
      </c>
      <c r="K53" s="5" t="str">
        <f>'Ingest Template'!R53</f>
        <v/>
      </c>
      <c r="L53" s="8" t="s">
        <v>38</v>
      </c>
      <c r="M53" s="9"/>
      <c r="N53" s="5"/>
      <c r="O53" s="5"/>
      <c r="P53" s="5"/>
      <c r="Q53" s="5"/>
      <c r="R53" s="5" t="str">
        <f>'Ingest Template'!D53</f>
        <v/>
      </c>
      <c r="S53" s="5" t="str">
        <f>'Ingest Template'!G53</f>
        <v/>
      </c>
      <c r="T53" s="5" t="str">
        <f>'Ingest Template'!H53</f>
        <v/>
      </c>
      <c r="U53" s="5" t="str">
        <f>LOWER(SUBSTITUTE(SUBSTITUTE(SUBSTITUTE(SUBSTITUTE(SUBSTITUTE('Ingest Template'!I53,"https:",""),"www.",""),"/",""),"?hl=en",""),"instagram.com",""))</f>
        <v/>
      </c>
      <c r="V53" s="10" t="str">
        <f>'Ingest Template'!J53</f>
        <v/>
      </c>
      <c r="W53" s="10" t="str">
        <f>'Ingest Template'!K53</f>
        <v/>
      </c>
      <c r="X53" s="5"/>
      <c r="Y53" s="5" t="str">
        <f>SUBSTITUTE(SUBSTITUTE(SUBSTITUTE('Ingest Template'!L53,"http:",""),"https:",""),"/","")</f>
        <v/>
      </c>
      <c r="Z53" s="5" t="str">
        <f t="array" ref="Z53">IF('Ingest Template'!A53="Standard",(IF(ISBLANK('Ingest Template'!M53),"", 'Ingest Template'!M53&amp;"|DAR")),(IF(ISBLANK('Ingest Template'!M53),"", 'Ingest Template'!M53&amp;"|Operations - Core Title")))</f>
        <v/>
      </c>
      <c r="AA53" s="5"/>
      <c r="AB53" s="5" t="str">
        <f>'Ingest Template'!F53</f>
        <v/>
      </c>
      <c r="AC53" s="5"/>
      <c r="AD53" s="5"/>
      <c r="AE53" s="5"/>
      <c r="AF53" s="8"/>
      <c r="AG53" s="5" t="str">
        <f t="array" ref="AG53">IF('Ingest Template'!A53="Standard",(CONCATENATE(IF(ISBLANK('Ingest Template'!N53),"", 'Ingest Template'!N53&amp;"|DAR"),CHAR(10), IF(ISBLANK('Ingest Template'!O53),"", 'Ingest Template'!O53&amp;"|DAR"),CHAR(10), IF(ISBLANK('Ingest Template'!P53),"", 'Ingest Template'!P53&amp;"|DAR"))),(CONCATENATE(IF(ISBLANK('Ingest Template'!N53),"", 'Ingest Template'!N53&amp;"|Operations - Core Title"),CHAR(10), IF(ISBLANK('Ingest Template'!O53),"", 'Ingest Template'!O53&amp;"|Operations - Core Title"),CHAR(10), IF(ISBLANK('Ingest Template'!P53),"", 'Ingest Template'!P53&amp;"|Operations - Core Title"))))</f>
        <v>#|Operations - Core Title
</v>
      </c>
      <c r="AH53" s="5"/>
      <c r="AI53" s="5"/>
      <c r="AJ53" s="5"/>
      <c r="AK53" s="5"/>
      <c r="AL53" s="5"/>
    </row>
    <row r="54">
      <c r="A54" s="5"/>
      <c r="B54" s="5" t="str">
        <f>'Ingest Template'!B54&amp;IF('Ingest Template'!A54 = "Standard", " - DAR","")</f>
        <v/>
      </c>
      <c r="C54" s="6" t="str">
        <f>'Ingest Template'!C54</f>
        <v/>
      </c>
      <c r="D54" s="7" t="str">
        <f>'Ingest Template'!E54</f>
        <v/>
      </c>
      <c r="E54" s="5"/>
      <c r="F54" s="5"/>
      <c r="G54" s="5"/>
      <c r="H54" s="7"/>
      <c r="I54" s="5"/>
      <c r="J54" s="7" t="str">
        <f>'Ingest Template'!Q54</f>
        <v/>
      </c>
      <c r="K54" s="5" t="str">
        <f>'Ingest Template'!R54</f>
        <v/>
      </c>
      <c r="L54" s="8" t="s">
        <v>38</v>
      </c>
      <c r="M54" s="9"/>
      <c r="N54" s="5"/>
      <c r="O54" s="5"/>
      <c r="P54" s="5"/>
      <c r="Q54" s="5"/>
      <c r="R54" s="5" t="str">
        <f>'Ingest Template'!D54</f>
        <v/>
      </c>
      <c r="S54" s="5" t="str">
        <f>'Ingest Template'!G54</f>
        <v/>
      </c>
      <c r="T54" s="5" t="str">
        <f>'Ingest Template'!H54</f>
        <v/>
      </c>
      <c r="U54" s="5" t="str">
        <f>LOWER(SUBSTITUTE(SUBSTITUTE(SUBSTITUTE(SUBSTITUTE(SUBSTITUTE('Ingest Template'!I54,"https:",""),"www.",""),"/",""),"?hl=en",""),"instagram.com",""))</f>
        <v/>
      </c>
      <c r="V54" s="10" t="str">
        <f>'Ingest Template'!J54</f>
        <v/>
      </c>
      <c r="W54" s="10" t="str">
        <f>'Ingest Template'!K54</f>
        <v/>
      </c>
      <c r="X54" s="5"/>
      <c r="Y54" s="5" t="str">
        <f>SUBSTITUTE(SUBSTITUTE(SUBSTITUTE('Ingest Template'!L54,"http:",""),"https:",""),"/","")</f>
        <v/>
      </c>
      <c r="Z54" s="5" t="str">
        <f t="array" ref="Z54">IF('Ingest Template'!A54="Standard",(IF(ISBLANK('Ingest Template'!M54),"", 'Ingest Template'!M54&amp;"|DAR")),(IF(ISBLANK('Ingest Template'!M54),"", 'Ingest Template'!M54&amp;"|Operations - Core Title")))</f>
        <v/>
      </c>
      <c r="AA54" s="5"/>
      <c r="AB54" s="5" t="str">
        <f>'Ingest Template'!F54</f>
        <v/>
      </c>
      <c r="AC54" s="5"/>
      <c r="AD54" s="5"/>
      <c r="AE54" s="5"/>
      <c r="AF54" s="8"/>
      <c r="AG54" s="5" t="str">
        <f t="array" ref="AG54">IF('Ingest Template'!A54="Standard",(CONCATENATE(IF(ISBLANK('Ingest Template'!N54),"", 'Ingest Template'!N54&amp;"|DAR"),CHAR(10), IF(ISBLANK('Ingest Template'!O54),"", 'Ingest Template'!O54&amp;"|DAR"),CHAR(10), IF(ISBLANK('Ingest Template'!P54),"", 'Ingest Template'!P54&amp;"|DAR"))),(CONCATENATE(IF(ISBLANK('Ingest Template'!N54),"", 'Ingest Template'!N54&amp;"|Operations - Core Title"),CHAR(10), IF(ISBLANK('Ingest Template'!O54),"", 'Ingest Template'!O54&amp;"|Operations - Core Title"),CHAR(10), IF(ISBLANK('Ingest Template'!P54),"", 'Ingest Template'!P54&amp;"|Operations - Core Title"))))</f>
        <v>#|Operations - Core Title
</v>
      </c>
      <c r="AH54" s="5"/>
      <c r="AI54" s="5"/>
      <c r="AJ54" s="5"/>
      <c r="AK54" s="5"/>
      <c r="AL54" s="5"/>
    </row>
    <row r="55">
      <c r="A55" s="5"/>
      <c r="B55" s="5" t="str">
        <f>'Ingest Template'!B55&amp;IF('Ingest Template'!A55 = "Standard", " - DAR","")</f>
        <v/>
      </c>
      <c r="C55" s="6" t="str">
        <f>'Ingest Template'!C55</f>
        <v/>
      </c>
      <c r="D55" s="7" t="str">
        <f>'Ingest Template'!E55</f>
        <v/>
      </c>
      <c r="E55" s="5"/>
      <c r="F55" s="5"/>
      <c r="G55" s="5"/>
      <c r="H55" s="7"/>
      <c r="I55" s="5"/>
      <c r="J55" s="7" t="str">
        <f>'Ingest Template'!Q55</f>
        <v/>
      </c>
      <c r="K55" s="5" t="str">
        <f>'Ingest Template'!R55</f>
        <v/>
      </c>
      <c r="L55" s="8" t="s">
        <v>38</v>
      </c>
      <c r="M55" s="9"/>
      <c r="N55" s="5"/>
      <c r="O55" s="5"/>
      <c r="P55" s="5"/>
      <c r="Q55" s="5"/>
      <c r="R55" s="5" t="str">
        <f>'Ingest Template'!D55</f>
        <v/>
      </c>
      <c r="S55" s="5" t="str">
        <f>'Ingest Template'!G55</f>
        <v/>
      </c>
      <c r="T55" s="5" t="str">
        <f>'Ingest Template'!H55</f>
        <v/>
      </c>
      <c r="U55" s="5" t="str">
        <f>LOWER(SUBSTITUTE(SUBSTITUTE(SUBSTITUTE(SUBSTITUTE(SUBSTITUTE('Ingest Template'!I55,"https:",""),"www.",""),"/",""),"?hl=en",""),"instagram.com",""))</f>
        <v/>
      </c>
      <c r="V55" s="10" t="str">
        <f>'Ingest Template'!J55</f>
        <v/>
      </c>
      <c r="W55" s="10" t="str">
        <f>'Ingest Template'!K55</f>
        <v/>
      </c>
      <c r="X55" s="5"/>
      <c r="Y55" s="5" t="str">
        <f>SUBSTITUTE(SUBSTITUTE(SUBSTITUTE('Ingest Template'!L55,"http:",""),"https:",""),"/","")</f>
        <v/>
      </c>
      <c r="Z55" s="5" t="str">
        <f t="array" ref="Z55">IF('Ingest Template'!A55="Standard",(IF(ISBLANK('Ingest Template'!M55),"", 'Ingest Template'!M55&amp;"|DAR")),(IF(ISBLANK('Ingest Template'!M55),"", 'Ingest Template'!M55&amp;"|Operations - Core Title")))</f>
        <v/>
      </c>
      <c r="AA55" s="5"/>
      <c r="AB55" s="5" t="str">
        <f>'Ingest Template'!F55</f>
        <v/>
      </c>
      <c r="AC55" s="5"/>
      <c r="AD55" s="5"/>
      <c r="AE55" s="5"/>
      <c r="AF55" s="8"/>
      <c r="AG55" s="5" t="str">
        <f t="array" ref="AG55">IF('Ingest Template'!A55="Standard",(CONCATENATE(IF(ISBLANK('Ingest Template'!N55),"", 'Ingest Template'!N55&amp;"|DAR"),CHAR(10), IF(ISBLANK('Ingest Template'!O55),"", 'Ingest Template'!O55&amp;"|DAR"),CHAR(10), IF(ISBLANK('Ingest Template'!P55),"", 'Ingest Template'!P55&amp;"|DAR"))),(CONCATENATE(IF(ISBLANK('Ingest Template'!N55),"", 'Ingest Template'!N55&amp;"|Operations - Core Title"),CHAR(10), IF(ISBLANK('Ingest Template'!O55),"", 'Ingest Template'!O55&amp;"|Operations - Core Title"),CHAR(10), IF(ISBLANK('Ingest Template'!P55),"", 'Ingest Template'!P55&amp;"|Operations - Core Title"))))</f>
        <v>#|Operations - Core Title
</v>
      </c>
      <c r="AH55" s="5"/>
      <c r="AI55" s="5"/>
      <c r="AJ55" s="5"/>
      <c r="AK55" s="5"/>
      <c r="AL55" s="5"/>
    </row>
    <row r="56">
      <c r="A56" s="5"/>
      <c r="B56" s="5" t="str">
        <f>'Ingest Template'!B56&amp;IF('Ingest Template'!A56 = "Standard", " - DAR","")</f>
        <v/>
      </c>
      <c r="C56" s="6" t="str">
        <f>'Ingest Template'!C56</f>
        <v/>
      </c>
      <c r="D56" s="7" t="str">
        <f>'Ingest Template'!E56</f>
        <v/>
      </c>
      <c r="E56" s="5"/>
      <c r="F56" s="5"/>
      <c r="G56" s="5"/>
      <c r="H56" s="7"/>
      <c r="I56" s="5"/>
      <c r="J56" s="7" t="str">
        <f>'Ingest Template'!Q56</f>
        <v/>
      </c>
      <c r="K56" s="5" t="str">
        <f>'Ingest Template'!R56</f>
        <v/>
      </c>
      <c r="L56" s="8" t="s">
        <v>38</v>
      </c>
      <c r="M56" s="9"/>
      <c r="N56" s="5"/>
      <c r="O56" s="5"/>
      <c r="P56" s="5"/>
      <c r="Q56" s="5"/>
      <c r="R56" s="5" t="str">
        <f>'Ingest Template'!D56</f>
        <v/>
      </c>
      <c r="S56" s="5" t="str">
        <f>'Ingest Template'!G56</f>
        <v/>
      </c>
      <c r="T56" s="5" t="str">
        <f>'Ingest Template'!H56</f>
        <v/>
      </c>
      <c r="U56" s="5" t="str">
        <f>LOWER(SUBSTITUTE(SUBSTITUTE(SUBSTITUTE(SUBSTITUTE(SUBSTITUTE('Ingest Template'!I56,"https:",""),"www.",""),"/",""),"?hl=en",""),"instagram.com",""))</f>
        <v/>
      </c>
      <c r="V56" s="10" t="str">
        <f>'Ingest Template'!J56</f>
        <v/>
      </c>
      <c r="W56" s="10" t="str">
        <f>'Ingest Template'!K56</f>
        <v/>
      </c>
      <c r="X56" s="5"/>
      <c r="Y56" s="5" t="str">
        <f>SUBSTITUTE(SUBSTITUTE(SUBSTITUTE('Ingest Template'!L56,"http:",""),"https:",""),"/","")</f>
        <v/>
      </c>
      <c r="Z56" s="5" t="str">
        <f t="array" ref="Z56">IF('Ingest Template'!A56="Standard",(IF(ISBLANK('Ingest Template'!M56),"", 'Ingest Template'!M56&amp;"|DAR")),(IF(ISBLANK('Ingest Template'!M56),"", 'Ingest Template'!M56&amp;"|Operations - Core Title")))</f>
        <v/>
      </c>
      <c r="AA56" s="5"/>
      <c r="AB56" s="5" t="str">
        <f>'Ingest Template'!F56</f>
        <v/>
      </c>
      <c r="AC56" s="5"/>
      <c r="AD56" s="5"/>
      <c r="AE56" s="5"/>
      <c r="AF56" s="8"/>
      <c r="AG56" s="5" t="str">
        <f t="array" ref="AG56">IF('Ingest Template'!A56="Standard",(CONCATENATE(IF(ISBLANK('Ingest Template'!N56),"", 'Ingest Template'!N56&amp;"|DAR"),CHAR(10), IF(ISBLANK('Ingest Template'!O56),"", 'Ingest Template'!O56&amp;"|DAR"),CHAR(10), IF(ISBLANK('Ingest Template'!P56),"", 'Ingest Template'!P56&amp;"|DAR"))),(CONCATENATE(IF(ISBLANK('Ingest Template'!N56),"", 'Ingest Template'!N56&amp;"|Operations - Core Title"),CHAR(10), IF(ISBLANK('Ingest Template'!O56),"", 'Ingest Template'!O56&amp;"|Operations - Core Title"),CHAR(10), IF(ISBLANK('Ingest Template'!P56),"", 'Ingest Template'!P56&amp;"|Operations - Core Title"))))</f>
        <v>#|Operations - Core Title
</v>
      </c>
      <c r="AH56" s="5"/>
      <c r="AI56" s="5"/>
      <c r="AJ56" s="5"/>
      <c r="AK56" s="5"/>
      <c r="AL56" s="5"/>
    </row>
    <row r="57">
      <c r="A57" s="5"/>
      <c r="B57" s="5" t="str">
        <f>'Ingest Template'!B57&amp;IF('Ingest Template'!A57 = "Standard", " - DAR","")</f>
        <v/>
      </c>
      <c r="C57" s="6" t="str">
        <f>'Ingest Template'!C57</f>
        <v/>
      </c>
      <c r="D57" s="7" t="str">
        <f>'Ingest Template'!E57</f>
        <v/>
      </c>
      <c r="E57" s="5"/>
      <c r="F57" s="5"/>
      <c r="G57" s="5"/>
      <c r="H57" s="7"/>
      <c r="I57" s="5"/>
      <c r="J57" s="7" t="str">
        <f>'Ingest Template'!Q57</f>
        <v/>
      </c>
      <c r="K57" s="5" t="str">
        <f>'Ingest Template'!R57</f>
        <v/>
      </c>
      <c r="L57" s="8" t="s">
        <v>38</v>
      </c>
      <c r="M57" s="9"/>
      <c r="N57" s="5"/>
      <c r="O57" s="5"/>
      <c r="P57" s="5"/>
      <c r="Q57" s="5"/>
      <c r="R57" s="5" t="str">
        <f>'Ingest Template'!D57</f>
        <v/>
      </c>
      <c r="S57" s="5" t="str">
        <f>'Ingest Template'!G57</f>
        <v/>
      </c>
      <c r="T57" s="5" t="str">
        <f>'Ingest Template'!H57</f>
        <v/>
      </c>
      <c r="U57" s="5" t="str">
        <f>LOWER(SUBSTITUTE(SUBSTITUTE(SUBSTITUTE(SUBSTITUTE(SUBSTITUTE('Ingest Template'!I57,"https:",""),"www.",""),"/",""),"?hl=en",""),"instagram.com",""))</f>
        <v/>
      </c>
      <c r="V57" s="10" t="str">
        <f>'Ingest Template'!J57</f>
        <v/>
      </c>
      <c r="W57" s="10" t="str">
        <f>'Ingest Template'!K57</f>
        <v/>
      </c>
      <c r="X57" s="5"/>
      <c r="Y57" s="5" t="str">
        <f>SUBSTITUTE(SUBSTITUTE(SUBSTITUTE('Ingest Template'!L57,"http:",""),"https:",""),"/","")</f>
        <v/>
      </c>
      <c r="Z57" s="5" t="str">
        <f t="array" ref="Z57">IF('Ingest Template'!A57="Standard",(IF(ISBLANK('Ingest Template'!M57),"", 'Ingest Template'!M57&amp;"|DAR")),(IF(ISBLANK('Ingest Template'!M57),"", 'Ingest Template'!M57&amp;"|Operations - Core Title")))</f>
        <v/>
      </c>
      <c r="AA57" s="5"/>
      <c r="AB57" s="5" t="str">
        <f>'Ingest Template'!F57</f>
        <v/>
      </c>
      <c r="AC57" s="5"/>
      <c r="AD57" s="5"/>
      <c r="AE57" s="5"/>
      <c r="AF57" s="8"/>
      <c r="AG57" s="5" t="str">
        <f t="array" ref="AG57">IF('Ingest Template'!A57="Standard",(CONCATENATE(IF(ISBLANK('Ingest Template'!N57),"", 'Ingest Template'!N57&amp;"|DAR"),CHAR(10), IF(ISBLANK('Ingest Template'!O57),"", 'Ingest Template'!O57&amp;"|DAR"),CHAR(10), IF(ISBLANK('Ingest Template'!P57),"", 'Ingest Template'!P57&amp;"|DAR"))),(CONCATENATE(IF(ISBLANK('Ingest Template'!N57),"", 'Ingest Template'!N57&amp;"|Operations - Core Title"),CHAR(10), IF(ISBLANK('Ingest Template'!O57),"", 'Ingest Template'!O57&amp;"|Operations - Core Title"),CHAR(10), IF(ISBLANK('Ingest Template'!P57),"", 'Ingest Template'!P57&amp;"|Operations - Core Title"))))</f>
        <v>#|Operations - Core Title
</v>
      </c>
      <c r="AH57" s="5"/>
      <c r="AI57" s="5"/>
      <c r="AJ57" s="5"/>
      <c r="AK57" s="5"/>
      <c r="AL57" s="5"/>
    </row>
    <row r="58">
      <c r="A58" s="5"/>
      <c r="B58" s="5" t="str">
        <f>'Ingest Template'!B58&amp;IF('Ingest Template'!A58 = "Standard", " - DAR","")</f>
        <v/>
      </c>
      <c r="C58" s="6" t="str">
        <f>'Ingest Template'!C58</f>
        <v/>
      </c>
      <c r="D58" s="7" t="str">
        <f>'Ingest Template'!E58</f>
        <v/>
      </c>
      <c r="E58" s="5"/>
      <c r="F58" s="5"/>
      <c r="G58" s="5"/>
      <c r="H58" s="7"/>
      <c r="I58" s="5"/>
      <c r="J58" s="7" t="str">
        <f>'Ingest Template'!Q58</f>
        <v/>
      </c>
      <c r="K58" s="5" t="str">
        <f>'Ingest Template'!R58</f>
        <v/>
      </c>
      <c r="L58" s="8" t="s">
        <v>38</v>
      </c>
      <c r="M58" s="9"/>
      <c r="N58" s="5"/>
      <c r="O58" s="5"/>
      <c r="P58" s="5"/>
      <c r="Q58" s="5"/>
      <c r="R58" s="5" t="str">
        <f>'Ingest Template'!D58</f>
        <v/>
      </c>
      <c r="S58" s="5" t="str">
        <f>'Ingest Template'!G58</f>
        <v/>
      </c>
      <c r="T58" s="5" t="str">
        <f>'Ingest Template'!H58</f>
        <v/>
      </c>
      <c r="U58" s="5" t="str">
        <f>LOWER(SUBSTITUTE(SUBSTITUTE(SUBSTITUTE(SUBSTITUTE(SUBSTITUTE('Ingest Template'!I58,"https:",""),"www.",""),"/",""),"?hl=en",""),"instagram.com",""))</f>
        <v/>
      </c>
      <c r="V58" s="10" t="str">
        <f>'Ingest Template'!J58</f>
        <v/>
      </c>
      <c r="W58" s="10" t="str">
        <f>'Ingest Template'!K58</f>
        <v/>
      </c>
      <c r="X58" s="5"/>
      <c r="Y58" s="5" t="str">
        <f>SUBSTITUTE(SUBSTITUTE(SUBSTITUTE('Ingest Template'!L58,"http:",""),"https:",""),"/","")</f>
        <v/>
      </c>
      <c r="Z58" s="5" t="str">
        <f t="array" ref="Z58">IF('Ingest Template'!A58="Standard",(IF(ISBLANK('Ingest Template'!M58),"", 'Ingest Template'!M58&amp;"|DAR")),(IF(ISBLANK('Ingest Template'!M58),"", 'Ingest Template'!M58&amp;"|Operations - Core Title")))</f>
        <v/>
      </c>
      <c r="AA58" s="5"/>
      <c r="AB58" s="5" t="str">
        <f>'Ingest Template'!F58</f>
        <v/>
      </c>
      <c r="AC58" s="5"/>
      <c r="AD58" s="5"/>
      <c r="AE58" s="5"/>
      <c r="AF58" s="8"/>
      <c r="AG58" s="5" t="str">
        <f t="array" ref="AG58">IF('Ingest Template'!A58="Standard",(CONCATENATE(IF(ISBLANK('Ingest Template'!N58),"", 'Ingest Template'!N58&amp;"|DAR"),CHAR(10), IF(ISBLANK('Ingest Template'!O58),"", 'Ingest Template'!O58&amp;"|DAR"),CHAR(10), IF(ISBLANK('Ingest Template'!P58),"", 'Ingest Template'!P58&amp;"|DAR"))),(CONCATENATE(IF(ISBLANK('Ingest Template'!N58),"", 'Ingest Template'!N58&amp;"|Operations - Core Title"),CHAR(10), IF(ISBLANK('Ingest Template'!O58),"", 'Ingest Template'!O58&amp;"|Operations - Core Title"),CHAR(10), IF(ISBLANK('Ingest Template'!P58),"", 'Ingest Template'!P58&amp;"|Operations - Core Title"))))</f>
        <v>#|Operations - Core Title
</v>
      </c>
      <c r="AH58" s="5"/>
      <c r="AI58" s="5"/>
      <c r="AJ58" s="5"/>
      <c r="AK58" s="5"/>
      <c r="AL58" s="5"/>
    </row>
    <row r="59">
      <c r="A59" s="5"/>
      <c r="B59" s="5" t="str">
        <f>'Ingest Template'!B59&amp;IF('Ingest Template'!A59 = "Standard", " - DAR","")</f>
        <v/>
      </c>
      <c r="C59" s="6" t="str">
        <f>'Ingest Template'!C59</f>
        <v/>
      </c>
      <c r="D59" s="7" t="str">
        <f>'Ingest Template'!E59</f>
        <v/>
      </c>
      <c r="E59" s="5"/>
      <c r="F59" s="5"/>
      <c r="G59" s="5"/>
      <c r="H59" s="7"/>
      <c r="I59" s="5"/>
      <c r="J59" s="7" t="str">
        <f>'Ingest Template'!Q59</f>
        <v/>
      </c>
      <c r="K59" s="5" t="str">
        <f>'Ingest Template'!R59</f>
        <v/>
      </c>
      <c r="L59" s="8" t="s">
        <v>38</v>
      </c>
      <c r="M59" s="9"/>
      <c r="N59" s="5"/>
      <c r="O59" s="5"/>
      <c r="P59" s="5"/>
      <c r="Q59" s="5"/>
      <c r="R59" s="5" t="str">
        <f>'Ingest Template'!D59</f>
        <v/>
      </c>
      <c r="S59" s="5" t="str">
        <f>'Ingest Template'!G59</f>
        <v/>
      </c>
      <c r="T59" s="5" t="str">
        <f>'Ingest Template'!H59</f>
        <v/>
      </c>
      <c r="U59" s="5" t="str">
        <f>LOWER(SUBSTITUTE(SUBSTITUTE(SUBSTITUTE(SUBSTITUTE(SUBSTITUTE('Ingest Template'!I59,"https:",""),"www.",""),"/",""),"?hl=en",""),"instagram.com",""))</f>
        <v/>
      </c>
      <c r="V59" s="10" t="str">
        <f>'Ingest Template'!J59</f>
        <v/>
      </c>
      <c r="W59" s="10" t="str">
        <f>'Ingest Template'!K59</f>
        <v/>
      </c>
      <c r="X59" s="5"/>
      <c r="Y59" s="5" t="str">
        <f>SUBSTITUTE(SUBSTITUTE(SUBSTITUTE('Ingest Template'!L59,"http:",""),"https:",""),"/","")</f>
        <v/>
      </c>
      <c r="Z59" s="5" t="str">
        <f t="array" ref="Z59">IF('Ingest Template'!A59="Standard",(IF(ISBLANK('Ingest Template'!M59),"", 'Ingest Template'!M59&amp;"|DAR")),(IF(ISBLANK('Ingest Template'!M59),"", 'Ingest Template'!M59&amp;"|Operations - Core Title")))</f>
        <v/>
      </c>
      <c r="AA59" s="5"/>
      <c r="AB59" s="5" t="str">
        <f>'Ingest Template'!F59</f>
        <v/>
      </c>
      <c r="AC59" s="5"/>
      <c r="AD59" s="5"/>
      <c r="AE59" s="5"/>
      <c r="AF59" s="8"/>
      <c r="AG59" s="5" t="str">
        <f t="array" ref="AG59">IF('Ingest Template'!A59="Standard",(CONCATENATE(IF(ISBLANK('Ingest Template'!N59),"", 'Ingest Template'!N59&amp;"|DAR"),CHAR(10), IF(ISBLANK('Ingest Template'!O59),"", 'Ingest Template'!O59&amp;"|DAR"),CHAR(10), IF(ISBLANK('Ingest Template'!P59),"", 'Ingest Template'!P59&amp;"|DAR"))),(CONCATENATE(IF(ISBLANK('Ingest Template'!N59),"", 'Ingest Template'!N59&amp;"|Operations - Core Title"),CHAR(10), IF(ISBLANK('Ingest Template'!O59),"", 'Ingest Template'!O59&amp;"|Operations - Core Title"),CHAR(10), IF(ISBLANK('Ingest Template'!P59),"", 'Ingest Template'!P59&amp;"|Operations - Core Title"))))</f>
        <v>#|Operations - Core Title
</v>
      </c>
      <c r="AH59" s="5"/>
      <c r="AI59" s="5"/>
      <c r="AJ59" s="5"/>
      <c r="AK59" s="5"/>
      <c r="AL59" s="5"/>
    </row>
    <row r="60">
      <c r="A60" s="5"/>
      <c r="B60" s="5" t="str">
        <f>'Ingest Template'!B60&amp;IF('Ingest Template'!A60 = "Standard", " - DAR","")</f>
        <v/>
      </c>
      <c r="C60" s="6" t="str">
        <f>'Ingest Template'!C60</f>
        <v/>
      </c>
      <c r="D60" s="7" t="str">
        <f>'Ingest Template'!E60</f>
        <v/>
      </c>
      <c r="E60" s="5"/>
      <c r="F60" s="5"/>
      <c r="G60" s="5"/>
      <c r="H60" s="7"/>
      <c r="I60" s="5"/>
      <c r="J60" s="7" t="str">
        <f>'Ingest Template'!Q60</f>
        <v/>
      </c>
      <c r="K60" s="5" t="str">
        <f>'Ingest Template'!R60</f>
        <v/>
      </c>
      <c r="L60" s="8" t="s">
        <v>38</v>
      </c>
      <c r="M60" s="9"/>
      <c r="N60" s="5"/>
      <c r="O60" s="5"/>
      <c r="P60" s="5"/>
      <c r="Q60" s="5"/>
      <c r="R60" s="5" t="str">
        <f>'Ingest Template'!D60</f>
        <v/>
      </c>
      <c r="S60" s="5" t="str">
        <f>'Ingest Template'!G60</f>
        <v/>
      </c>
      <c r="T60" s="5" t="str">
        <f>'Ingest Template'!H60</f>
        <v/>
      </c>
      <c r="U60" s="5" t="str">
        <f>LOWER(SUBSTITUTE(SUBSTITUTE(SUBSTITUTE(SUBSTITUTE(SUBSTITUTE('Ingest Template'!I60,"https:",""),"www.",""),"/",""),"?hl=en",""),"instagram.com",""))</f>
        <v/>
      </c>
      <c r="V60" s="10" t="str">
        <f>'Ingest Template'!J60</f>
        <v/>
      </c>
      <c r="W60" s="10" t="str">
        <f>'Ingest Template'!K60</f>
        <v/>
      </c>
      <c r="X60" s="5"/>
      <c r="Y60" s="5" t="str">
        <f>SUBSTITUTE(SUBSTITUTE(SUBSTITUTE('Ingest Template'!L60,"http:",""),"https:",""),"/","")</f>
        <v/>
      </c>
      <c r="Z60" s="5" t="str">
        <f t="array" ref="Z60">IF('Ingest Template'!A60="Standard",(IF(ISBLANK('Ingest Template'!M60),"", 'Ingest Template'!M60&amp;"|DAR")),(IF(ISBLANK('Ingest Template'!M60),"", 'Ingest Template'!M60&amp;"|Operations - Core Title")))</f>
        <v/>
      </c>
      <c r="AA60" s="5"/>
      <c r="AB60" s="5" t="str">
        <f>'Ingest Template'!F60</f>
        <v/>
      </c>
      <c r="AC60" s="5"/>
      <c r="AD60" s="5"/>
      <c r="AE60" s="5"/>
      <c r="AF60" s="8"/>
      <c r="AG60" s="5" t="str">
        <f t="array" ref="AG60">IF('Ingest Template'!A60="Standard",(CONCATENATE(IF(ISBLANK('Ingest Template'!N60),"", 'Ingest Template'!N60&amp;"|DAR"),CHAR(10), IF(ISBLANK('Ingest Template'!O60),"", 'Ingest Template'!O60&amp;"|DAR"),CHAR(10), IF(ISBLANK('Ingest Template'!P60),"", 'Ingest Template'!P60&amp;"|DAR"))),(CONCATENATE(IF(ISBLANK('Ingest Template'!N60),"", 'Ingest Template'!N60&amp;"|Operations - Core Title"),CHAR(10), IF(ISBLANK('Ingest Template'!O60),"", 'Ingest Template'!O60&amp;"|Operations - Core Title"),CHAR(10), IF(ISBLANK('Ingest Template'!P60),"", 'Ingest Template'!P60&amp;"|Operations - Core Title"))))</f>
        <v>#|Operations - Core Title
</v>
      </c>
      <c r="AH60" s="5"/>
      <c r="AI60" s="5"/>
      <c r="AJ60" s="5"/>
      <c r="AK60" s="5"/>
      <c r="AL60" s="5"/>
    </row>
    <row r="61">
      <c r="A61" s="5"/>
      <c r="B61" s="5" t="str">
        <f>'Ingest Template'!B61&amp;IF('Ingest Template'!A61 = "Standard", " - DAR","")</f>
        <v/>
      </c>
      <c r="C61" s="6" t="str">
        <f>'Ingest Template'!C61</f>
        <v/>
      </c>
      <c r="D61" s="7" t="str">
        <f>'Ingest Template'!E61</f>
        <v/>
      </c>
      <c r="E61" s="5"/>
      <c r="F61" s="5"/>
      <c r="G61" s="5"/>
      <c r="H61" s="7"/>
      <c r="I61" s="5"/>
      <c r="J61" s="7" t="str">
        <f>'Ingest Template'!Q61</f>
        <v/>
      </c>
      <c r="K61" s="5" t="str">
        <f>'Ingest Template'!R61</f>
        <v/>
      </c>
      <c r="L61" s="8" t="s">
        <v>38</v>
      </c>
      <c r="M61" s="9"/>
      <c r="N61" s="5"/>
      <c r="O61" s="5"/>
      <c r="P61" s="5"/>
      <c r="Q61" s="5"/>
      <c r="R61" s="5" t="str">
        <f>'Ingest Template'!D61</f>
        <v/>
      </c>
      <c r="S61" s="5" t="str">
        <f>'Ingest Template'!G61</f>
        <v/>
      </c>
      <c r="T61" s="5" t="str">
        <f>'Ingest Template'!H61</f>
        <v/>
      </c>
      <c r="U61" s="5" t="str">
        <f>LOWER(SUBSTITUTE(SUBSTITUTE(SUBSTITUTE(SUBSTITUTE(SUBSTITUTE('Ingest Template'!I61,"https:",""),"www.",""),"/",""),"?hl=en",""),"instagram.com",""))</f>
        <v/>
      </c>
      <c r="V61" s="10" t="str">
        <f>'Ingest Template'!J61</f>
        <v/>
      </c>
      <c r="W61" s="10" t="str">
        <f>'Ingest Template'!K61</f>
        <v/>
      </c>
      <c r="X61" s="5"/>
      <c r="Y61" s="5" t="str">
        <f>SUBSTITUTE(SUBSTITUTE(SUBSTITUTE('Ingest Template'!L61,"http:",""),"https:",""),"/","")</f>
        <v/>
      </c>
      <c r="Z61" s="5" t="str">
        <f t="array" ref="Z61">IF('Ingest Template'!A61="Standard",(IF(ISBLANK('Ingest Template'!M61),"", 'Ingest Template'!M61&amp;"|DAR")),(IF(ISBLANK('Ingest Template'!M61),"", 'Ingest Template'!M61&amp;"|Operations - Core Title")))</f>
        <v/>
      </c>
      <c r="AA61" s="5"/>
      <c r="AB61" s="5" t="str">
        <f>'Ingest Template'!F61</f>
        <v/>
      </c>
      <c r="AC61" s="5"/>
      <c r="AD61" s="5"/>
      <c r="AE61" s="5"/>
      <c r="AF61" s="8"/>
      <c r="AG61" s="5" t="str">
        <f t="array" ref="AG61">IF('Ingest Template'!A61="Standard",(CONCATENATE(IF(ISBLANK('Ingest Template'!N61),"", 'Ingest Template'!N61&amp;"|DAR"),CHAR(10), IF(ISBLANK('Ingest Template'!O61),"", 'Ingest Template'!O61&amp;"|DAR"),CHAR(10), IF(ISBLANK('Ingest Template'!P61),"", 'Ingest Template'!P61&amp;"|DAR"))),(CONCATENATE(IF(ISBLANK('Ingest Template'!N61),"", 'Ingest Template'!N61&amp;"|Operations - Core Title"),CHAR(10), IF(ISBLANK('Ingest Template'!O61),"", 'Ingest Template'!O61&amp;"|Operations - Core Title"),CHAR(10), IF(ISBLANK('Ingest Template'!P61),"", 'Ingest Template'!P61&amp;"|Operations - Core Title"))))</f>
        <v>#|Operations - Core Title
</v>
      </c>
      <c r="AH61" s="5"/>
      <c r="AI61" s="5"/>
      <c r="AJ61" s="5"/>
      <c r="AK61" s="5"/>
      <c r="AL61" s="5"/>
    </row>
    <row r="62">
      <c r="A62" s="5"/>
      <c r="B62" s="5" t="str">
        <f>'Ingest Template'!B62&amp;IF('Ingest Template'!A62 = "Standard", " - DAR","")</f>
        <v/>
      </c>
      <c r="C62" s="6" t="str">
        <f>'Ingest Template'!C62</f>
        <v/>
      </c>
      <c r="D62" s="7" t="str">
        <f>'Ingest Template'!E62</f>
        <v/>
      </c>
      <c r="E62" s="5"/>
      <c r="F62" s="5"/>
      <c r="G62" s="5"/>
      <c r="H62" s="7"/>
      <c r="I62" s="5"/>
      <c r="J62" s="7" t="str">
        <f>'Ingest Template'!Q62</f>
        <v/>
      </c>
      <c r="K62" s="5" t="str">
        <f>'Ingest Template'!R62</f>
        <v/>
      </c>
      <c r="L62" s="8" t="s">
        <v>38</v>
      </c>
      <c r="M62" s="9"/>
      <c r="N62" s="5"/>
      <c r="O62" s="5"/>
      <c r="P62" s="5"/>
      <c r="Q62" s="5"/>
      <c r="R62" s="5" t="str">
        <f>'Ingest Template'!D62</f>
        <v/>
      </c>
      <c r="S62" s="5" t="str">
        <f>'Ingest Template'!G62</f>
        <v/>
      </c>
      <c r="T62" s="5" t="str">
        <f>'Ingest Template'!H62</f>
        <v/>
      </c>
      <c r="U62" s="5" t="str">
        <f>LOWER(SUBSTITUTE(SUBSTITUTE(SUBSTITUTE(SUBSTITUTE(SUBSTITUTE('Ingest Template'!I62,"https:",""),"www.",""),"/",""),"?hl=en",""),"instagram.com",""))</f>
        <v/>
      </c>
      <c r="V62" s="10" t="str">
        <f>'Ingest Template'!J62</f>
        <v/>
      </c>
      <c r="W62" s="10" t="str">
        <f>'Ingest Template'!K62</f>
        <v/>
      </c>
      <c r="X62" s="5"/>
      <c r="Y62" s="5" t="str">
        <f>SUBSTITUTE(SUBSTITUTE(SUBSTITUTE('Ingest Template'!L62,"http:",""),"https:",""),"/","")</f>
        <v/>
      </c>
      <c r="Z62" s="5" t="str">
        <f t="array" ref="Z62">IF('Ingest Template'!A62="Standard",(IF(ISBLANK('Ingest Template'!M62),"", 'Ingest Template'!M62&amp;"|DAR")),(IF(ISBLANK('Ingest Template'!M62),"", 'Ingest Template'!M62&amp;"|Operations - Core Title")))</f>
        <v/>
      </c>
      <c r="AA62" s="5"/>
      <c r="AB62" s="5" t="str">
        <f>'Ingest Template'!F62</f>
        <v/>
      </c>
      <c r="AC62" s="5"/>
      <c r="AD62" s="5"/>
      <c r="AE62" s="5"/>
      <c r="AF62" s="8"/>
      <c r="AG62" s="5" t="str">
        <f t="array" ref="AG62">IF('Ingest Template'!A62="Standard",(CONCATENATE(IF(ISBLANK('Ingest Template'!N62),"", 'Ingest Template'!N62&amp;"|DAR"),CHAR(10), IF(ISBLANK('Ingest Template'!O62),"", 'Ingest Template'!O62&amp;"|DAR"),CHAR(10), IF(ISBLANK('Ingest Template'!P62),"", 'Ingest Template'!P62&amp;"|DAR"))),(CONCATENATE(IF(ISBLANK('Ingest Template'!N62),"", 'Ingest Template'!N62&amp;"|Operations - Core Title"),CHAR(10), IF(ISBLANK('Ingest Template'!O62),"", 'Ingest Template'!O62&amp;"|Operations - Core Title"),CHAR(10), IF(ISBLANK('Ingest Template'!P62),"", 'Ingest Template'!P62&amp;"|Operations - Core Title"))))</f>
        <v>#|Operations - Core Title
</v>
      </c>
      <c r="AH62" s="5"/>
      <c r="AI62" s="5"/>
      <c r="AJ62" s="5"/>
      <c r="AK62" s="5"/>
      <c r="AL62" s="5"/>
    </row>
    <row r="63">
      <c r="A63" s="5"/>
      <c r="B63" s="5" t="str">
        <f>'Ingest Template'!B63&amp;IF('Ingest Template'!A63 = "Standard", " - DAR","")</f>
        <v/>
      </c>
      <c r="C63" s="6" t="str">
        <f>'Ingest Template'!C63</f>
        <v/>
      </c>
      <c r="D63" s="7" t="str">
        <f>'Ingest Template'!E63</f>
        <v/>
      </c>
      <c r="E63" s="5"/>
      <c r="F63" s="5"/>
      <c r="G63" s="5"/>
      <c r="H63" s="7"/>
      <c r="I63" s="5"/>
      <c r="J63" s="7" t="str">
        <f>'Ingest Template'!Q63</f>
        <v/>
      </c>
      <c r="K63" s="5" t="str">
        <f>'Ingest Template'!R63</f>
        <v/>
      </c>
      <c r="L63" s="8" t="s">
        <v>38</v>
      </c>
      <c r="M63" s="9"/>
      <c r="N63" s="5"/>
      <c r="O63" s="5"/>
      <c r="P63" s="5"/>
      <c r="Q63" s="5"/>
      <c r="R63" s="5" t="str">
        <f>'Ingest Template'!D63</f>
        <v/>
      </c>
      <c r="S63" s="5" t="str">
        <f>'Ingest Template'!G63</f>
        <v/>
      </c>
      <c r="T63" s="5" t="str">
        <f>'Ingest Template'!H63</f>
        <v/>
      </c>
      <c r="U63" s="5" t="str">
        <f>LOWER(SUBSTITUTE(SUBSTITUTE(SUBSTITUTE(SUBSTITUTE(SUBSTITUTE('Ingest Template'!I63,"https:",""),"www.",""),"/",""),"?hl=en",""),"instagram.com",""))</f>
        <v/>
      </c>
      <c r="V63" s="10" t="str">
        <f>'Ingest Template'!J63</f>
        <v/>
      </c>
      <c r="W63" s="10" t="str">
        <f>'Ingest Template'!K63</f>
        <v/>
      </c>
      <c r="X63" s="5"/>
      <c r="Y63" s="5" t="str">
        <f>SUBSTITUTE(SUBSTITUTE(SUBSTITUTE('Ingest Template'!L63,"http:",""),"https:",""),"/","")</f>
        <v/>
      </c>
      <c r="Z63" s="5" t="str">
        <f t="array" ref="Z63">IF('Ingest Template'!A63="Standard",(IF(ISBLANK('Ingest Template'!M63),"", 'Ingest Template'!M63&amp;"|DAR")),(IF(ISBLANK('Ingest Template'!M63),"", 'Ingest Template'!M63&amp;"|Operations - Core Title")))</f>
        <v/>
      </c>
      <c r="AA63" s="5"/>
      <c r="AB63" s="5" t="str">
        <f>'Ingest Template'!F63</f>
        <v/>
      </c>
      <c r="AC63" s="5"/>
      <c r="AD63" s="5"/>
      <c r="AE63" s="5"/>
      <c r="AF63" s="8"/>
      <c r="AG63" s="5" t="str">
        <f t="array" ref="AG63">IF('Ingest Template'!A63="Standard",(CONCATENATE(IF(ISBLANK('Ingest Template'!N63),"", 'Ingest Template'!N63&amp;"|DAR"),CHAR(10), IF(ISBLANK('Ingest Template'!O63),"", 'Ingest Template'!O63&amp;"|DAR"),CHAR(10), IF(ISBLANK('Ingest Template'!P63),"", 'Ingest Template'!P63&amp;"|DAR"))),(CONCATENATE(IF(ISBLANK('Ingest Template'!N63),"", 'Ingest Template'!N63&amp;"|Operations - Core Title"),CHAR(10), IF(ISBLANK('Ingest Template'!O63),"", 'Ingest Template'!O63&amp;"|Operations - Core Title"),CHAR(10), IF(ISBLANK('Ingest Template'!P63),"", 'Ingest Template'!P63&amp;"|Operations - Core Title"))))</f>
        <v>#|Operations - Core Title
</v>
      </c>
      <c r="AH63" s="5"/>
      <c r="AI63" s="5"/>
      <c r="AJ63" s="5"/>
      <c r="AK63" s="5"/>
      <c r="AL63" s="5"/>
    </row>
    <row r="64">
      <c r="A64" s="5"/>
      <c r="B64" s="5" t="str">
        <f>'Ingest Template'!B64&amp;IF('Ingest Template'!A64 = "Standard", " - DAR","")</f>
        <v/>
      </c>
      <c r="C64" s="6" t="str">
        <f>'Ingest Template'!C64</f>
        <v/>
      </c>
      <c r="D64" s="7" t="str">
        <f>'Ingest Template'!E64</f>
        <v/>
      </c>
      <c r="E64" s="5"/>
      <c r="F64" s="5"/>
      <c r="G64" s="5"/>
      <c r="H64" s="7"/>
      <c r="I64" s="5"/>
      <c r="J64" s="7" t="str">
        <f>'Ingest Template'!Q64</f>
        <v/>
      </c>
      <c r="K64" s="5" t="str">
        <f>'Ingest Template'!R64</f>
        <v/>
      </c>
      <c r="L64" s="8" t="s">
        <v>38</v>
      </c>
      <c r="M64" s="9"/>
      <c r="N64" s="5"/>
      <c r="O64" s="5"/>
      <c r="P64" s="5"/>
      <c r="Q64" s="5"/>
      <c r="R64" s="5" t="str">
        <f>'Ingest Template'!D64</f>
        <v/>
      </c>
      <c r="S64" s="5" t="str">
        <f>'Ingest Template'!G64</f>
        <v/>
      </c>
      <c r="T64" s="5" t="str">
        <f>'Ingest Template'!H64</f>
        <v/>
      </c>
      <c r="U64" s="5" t="str">
        <f>LOWER(SUBSTITUTE(SUBSTITUTE(SUBSTITUTE(SUBSTITUTE(SUBSTITUTE('Ingest Template'!I64,"https:",""),"www.",""),"/",""),"?hl=en",""),"instagram.com",""))</f>
        <v/>
      </c>
      <c r="V64" s="10" t="str">
        <f>'Ingest Template'!J64</f>
        <v/>
      </c>
      <c r="W64" s="10" t="str">
        <f>'Ingest Template'!K64</f>
        <v/>
      </c>
      <c r="X64" s="5"/>
      <c r="Y64" s="5" t="str">
        <f>SUBSTITUTE(SUBSTITUTE(SUBSTITUTE('Ingest Template'!L64,"http:",""),"https:",""),"/","")</f>
        <v/>
      </c>
      <c r="Z64" s="5" t="str">
        <f t="array" ref="Z64">IF('Ingest Template'!A64="Standard",(IF(ISBLANK('Ingest Template'!M64),"", 'Ingest Template'!M64&amp;"|DAR")),(IF(ISBLANK('Ingest Template'!M64),"", 'Ingest Template'!M64&amp;"|Operations - Core Title")))</f>
        <v/>
      </c>
      <c r="AA64" s="5"/>
      <c r="AB64" s="5" t="str">
        <f>'Ingest Template'!F64</f>
        <v/>
      </c>
      <c r="AC64" s="5"/>
      <c r="AD64" s="5"/>
      <c r="AE64" s="5"/>
      <c r="AF64" s="8"/>
      <c r="AG64" s="5" t="str">
        <f t="array" ref="AG64">IF('Ingest Template'!A64="Standard",(CONCATENATE(IF(ISBLANK('Ingest Template'!N64),"", 'Ingest Template'!N64&amp;"|DAR"),CHAR(10), IF(ISBLANK('Ingest Template'!O64),"", 'Ingest Template'!O64&amp;"|DAR"),CHAR(10), IF(ISBLANK('Ingest Template'!P64),"", 'Ingest Template'!P64&amp;"|DAR"))),(CONCATENATE(IF(ISBLANK('Ingest Template'!N64),"", 'Ingest Template'!N64&amp;"|Operations - Core Title"),CHAR(10), IF(ISBLANK('Ingest Template'!O64),"", 'Ingest Template'!O64&amp;"|Operations - Core Title"),CHAR(10), IF(ISBLANK('Ingest Template'!P64),"", 'Ingest Template'!P64&amp;"|Operations - Core Title"))))</f>
        <v>#|Operations - Core Title
</v>
      </c>
      <c r="AH64" s="5"/>
      <c r="AI64" s="5"/>
      <c r="AJ64" s="5"/>
      <c r="AK64" s="5"/>
      <c r="AL64" s="5"/>
    </row>
    <row r="65">
      <c r="A65" s="5"/>
      <c r="B65" s="5" t="str">
        <f>'Ingest Template'!B65&amp;IF('Ingest Template'!A65 = "Standard", " - DAR","")</f>
        <v/>
      </c>
      <c r="C65" s="6" t="str">
        <f>'Ingest Template'!C65</f>
        <v/>
      </c>
      <c r="D65" s="7" t="str">
        <f>'Ingest Template'!E65</f>
        <v/>
      </c>
      <c r="E65" s="5"/>
      <c r="F65" s="5"/>
      <c r="G65" s="5"/>
      <c r="H65" s="7"/>
      <c r="I65" s="5"/>
      <c r="J65" s="7" t="str">
        <f>'Ingest Template'!Q65</f>
        <v/>
      </c>
      <c r="K65" s="5" t="str">
        <f>'Ingest Template'!R65</f>
        <v/>
      </c>
      <c r="L65" s="8" t="s">
        <v>38</v>
      </c>
      <c r="M65" s="9"/>
      <c r="N65" s="5"/>
      <c r="O65" s="5"/>
      <c r="P65" s="5"/>
      <c r="Q65" s="5"/>
      <c r="R65" s="5" t="str">
        <f>'Ingest Template'!D65</f>
        <v/>
      </c>
      <c r="S65" s="5" t="str">
        <f>'Ingest Template'!G65</f>
        <v/>
      </c>
      <c r="T65" s="5" t="str">
        <f>'Ingest Template'!H65</f>
        <v/>
      </c>
      <c r="U65" s="5" t="str">
        <f>LOWER(SUBSTITUTE(SUBSTITUTE(SUBSTITUTE(SUBSTITUTE(SUBSTITUTE('Ingest Template'!I65,"https:",""),"www.",""),"/",""),"?hl=en",""),"instagram.com",""))</f>
        <v/>
      </c>
      <c r="V65" s="10" t="str">
        <f>'Ingest Template'!J65</f>
        <v/>
      </c>
      <c r="W65" s="10" t="str">
        <f>'Ingest Template'!K65</f>
        <v/>
      </c>
      <c r="X65" s="5"/>
      <c r="Y65" s="5" t="str">
        <f>SUBSTITUTE(SUBSTITUTE(SUBSTITUTE('Ingest Template'!L65,"http:",""),"https:",""),"/","")</f>
        <v/>
      </c>
      <c r="Z65" s="5" t="str">
        <f t="array" ref="Z65">IF('Ingest Template'!A65="Standard",(IF(ISBLANK('Ingest Template'!M65),"", 'Ingest Template'!M65&amp;"|DAR")),(IF(ISBLANK('Ingest Template'!M65),"", 'Ingest Template'!M65&amp;"|Operations - Core Title")))</f>
        <v/>
      </c>
      <c r="AA65" s="5"/>
      <c r="AB65" s="5" t="str">
        <f>'Ingest Template'!F65</f>
        <v/>
      </c>
      <c r="AC65" s="5"/>
      <c r="AD65" s="5"/>
      <c r="AE65" s="5"/>
      <c r="AF65" s="8"/>
      <c r="AG65" s="5" t="str">
        <f t="array" ref="AG65">IF('Ingest Template'!A65="Standard",(CONCATENATE(IF(ISBLANK('Ingest Template'!N65),"", 'Ingest Template'!N65&amp;"|DAR"),CHAR(10), IF(ISBLANK('Ingest Template'!O65),"", 'Ingest Template'!O65&amp;"|DAR"),CHAR(10), IF(ISBLANK('Ingest Template'!P65),"", 'Ingest Template'!P65&amp;"|DAR"))),(CONCATENATE(IF(ISBLANK('Ingest Template'!N65),"", 'Ingest Template'!N65&amp;"|Operations - Core Title"),CHAR(10), IF(ISBLANK('Ingest Template'!O65),"", 'Ingest Template'!O65&amp;"|Operations - Core Title"),CHAR(10), IF(ISBLANK('Ingest Template'!P65),"", 'Ingest Template'!P65&amp;"|Operations - Core Title"))))</f>
        <v>#|Operations - Core Title
</v>
      </c>
      <c r="AH65" s="5"/>
      <c r="AI65" s="5"/>
      <c r="AJ65" s="5"/>
      <c r="AK65" s="5"/>
      <c r="AL65" s="5"/>
    </row>
    <row r="66">
      <c r="A66" s="5"/>
      <c r="B66" s="5" t="str">
        <f>'Ingest Template'!B66&amp;IF('Ingest Template'!A66 = "Standard", " - DAR","")</f>
        <v/>
      </c>
      <c r="C66" s="6" t="str">
        <f>'Ingest Template'!C66</f>
        <v/>
      </c>
      <c r="D66" s="7" t="str">
        <f>'Ingest Template'!E66</f>
        <v/>
      </c>
      <c r="E66" s="5"/>
      <c r="F66" s="5"/>
      <c r="G66" s="5"/>
      <c r="H66" s="7"/>
      <c r="I66" s="5"/>
      <c r="J66" s="7" t="str">
        <f>'Ingest Template'!Q66</f>
        <v/>
      </c>
      <c r="K66" s="5" t="str">
        <f>'Ingest Template'!R66</f>
        <v/>
      </c>
      <c r="L66" s="8" t="s">
        <v>38</v>
      </c>
      <c r="M66" s="9"/>
      <c r="N66" s="5"/>
      <c r="O66" s="5"/>
      <c r="P66" s="5"/>
      <c r="Q66" s="5"/>
      <c r="R66" s="5" t="str">
        <f>'Ingest Template'!D66</f>
        <v/>
      </c>
      <c r="S66" s="5" t="str">
        <f>'Ingest Template'!G66</f>
        <v/>
      </c>
      <c r="T66" s="5" t="str">
        <f>'Ingest Template'!H66</f>
        <v/>
      </c>
      <c r="U66" s="5" t="str">
        <f>LOWER(SUBSTITUTE(SUBSTITUTE(SUBSTITUTE(SUBSTITUTE(SUBSTITUTE('Ingest Template'!I66,"https:",""),"www.",""),"/",""),"?hl=en",""),"instagram.com",""))</f>
        <v/>
      </c>
      <c r="V66" s="10" t="str">
        <f>'Ingest Template'!J66</f>
        <v/>
      </c>
      <c r="W66" s="10" t="str">
        <f>'Ingest Template'!K66</f>
        <v/>
      </c>
      <c r="X66" s="5"/>
      <c r="Y66" s="5" t="str">
        <f>SUBSTITUTE(SUBSTITUTE(SUBSTITUTE('Ingest Template'!L66,"http:",""),"https:",""),"/","")</f>
        <v/>
      </c>
      <c r="Z66" s="5" t="str">
        <f t="array" ref="Z66">IF('Ingest Template'!A66="Standard",(IF(ISBLANK('Ingest Template'!M66),"", 'Ingest Template'!M66&amp;"|DAR")),(IF(ISBLANK('Ingest Template'!M66),"", 'Ingest Template'!M66&amp;"|Operations - Core Title")))</f>
        <v/>
      </c>
      <c r="AA66" s="5"/>
      <c r="AB66" s="5" t="str">
        <f>'Ingest Template'!F66</f>
        <v/>
      </c>
      <c r="AC66" s="5"/>
      <c r="AD66" s="5"/>
      <c r="AE66" s="5"/>
      <c r="AF66" s="8"/>
      <c r="AG66" s="5" t="str">
        <f t="array" ref="AG66">IF('Ingest Template'!A66="Standard",(CONCATENATE(IF(ISBLANK('Ingest Template'!N66),"", 'Ingest Template'!N66&amp;"|DAR"),CHAR(10), IF(ISBLANK('Ingest Template'!O66),"", 'Ingest Template'!O66&amp;"|DAR"),CHAR(10), IF(ISBLANK('Ingest Template'!P66),"", 'Ingest Template'!P66&amp;"|DAR"))),(CONCATENATE(IF(ISBLANK('Ingest Template'!N66),"", 'Ingest Template'!N66&amp;"|Operations - Core Title"),CHAR(10), IF(ISBLANK('Ingest Template'!O66),"", 'Ingest Template'!O66&amp;"|Operations - Core Title"),CHAR(10), IF(ISBLANK('Ingest Template'!P66),"", 'Ingest Template'!P66&amp;"|Operations - Core Title"))))</f>
        <v>#|Operations - Core Title
</v>
      </c>
      <c r="AH66" s="5"/>
      <c r="AI66" s="5"/>
      <c r="AJ66" s="5"/>
      <c r="AK66" s="5"/>
      <c r="AL66" s="5"/>
    </row>
    <row r="67">
      <c r="A67" s="5"/>
      <c r="B67" s="5" t="str">
        <f>'Ingest Template'!B67&amp;IF('Ingest Template'!A67 = "Standard", " - DAR","")</f>
        <v/>
      </c>
      <c r="C67" s="6" t="str">
        <f>'Ingest Template'!C67</f>
        <v/>
      </c>
      <c r="D67" s="7" t="str">
        <f>'Ingest Template'!E67</f>
        <v/>
      </c>
      <c r="E67" s="5"/>
      <c r="F67" s="5"/>
      <c r="G67" s="5"/>
      <c r="H67" s="7"/>
      <c r="I67" s="5"/>
      <c r="J67" s="7" t="str">
        <f>'Ingest Template'!Q67</f>
        <v/>
      </c>
      <c r="K67" s="5" t="str">
        <f>'Ingest Template'!R67</f>
        <v/>
      </c>
      <c r="L67" s="8" t="s">
        <v>38</v>
      </c>
      <c r="M67" s="9"/>
      <c r="N67" s="5"/>
      <c r="O67" s="5"/>
      <c r="P67" s="5"/>
      <c r="Q67" s="5"/>
      <c r="R67" s="5" t="str">
        <f>'Ingest Template'!D67</f>
        <v/>
      </c>
      <c r="S67" s="5" t="str">
        <f>'Ingest Template'!G67</f>
        <v/>
      </c>
      <c r="T67" s="5" t="str">
        <f>'Ingest Template'!H67</f>
        <v/>
      </c>
      <c r="U67" s="5" t="str">
        <f>LOWER(SUBSTITUTE(SUBSTITUTE(SUBSTITUTE(SUBSTITUTE(SUBSTITUTE('Ingest Template'!I67,"https:",""),"www.",""),"/",""),"?hl=en",""),"instagram.com",""))</f>
        <v/>
      </c>
      <c r="V67" s="10" t="str">
        <f>'Ingest Template'!J67</f>
        <v/>
      </c>
      <c r="W67" s="10" t="str">
        <f>'Ingest Template'!K67</f>
        <v/>
      </c>
      <c r="X67" s="5"/>
      <c r="Y67" s="5" t="str">
        <f>SUBSTITUTE(SUBSTITUTE(SUBSTITUTE('Ingest Template'!L67,"http:",""),"https:",""),"/","")</f>
        <v/>
      </c>
      <c r="Z67" s="5" t="str">
        <f t="array" ref="Z67">IF('Ingest Template'!A67="Standard",(IF(ISBLANK('Ingest Template'!M67),"", 'Ingest Template'!M67&amp;"|DAR")),(IF(ISBLANK('Ingest Template'!M67),"", 'Ingest Template'!M67&amp;"|Operations - Core Title")))</f>
        <v/>
      </c>
      <c r="AA67" s="5"/>
      <c r="AB67" s="5" t="str">
        <f>'Ingest Template'!F67</f>
        <v/>
      </c>
      <c r="AC67" s="5"/>
      <c r="AD67" s="5"/>
      <c r="AE67" s="5"/>
      <c r="AF67" s="8"/>
      <c r="AG67" s="5" t="str">
        <f t="array" ref="AG67">IF('Ingest Template'!A67="Standard",(CONCATENATE(IF(ISBLANK('Ingest Template'!N67),"", 'Ingest Template'!N67&amp;"|DAR"),CHAR(10), IF(ISBLANK('Ingest Template'!O67),"", 'Ingest Template'!O67&amp;"|DAR"),CHAR(10), IF(ISBLANK('Ingest Template'!P67),"", 'Ingest Template'!P67&amp;"|DAR"))),(CONCATENATE(IF(ISBLANK('Ingest Template'!N67),"", 'Ingest Template'!N67&amp;"|Operations - Core Title"),CHAR(10), IF(ISBLANK('Ingest Template'!O67),"", 'Ingest Template'!O67&amp;"|Operations - Core Title"),CHAR(10), IF(ISBLANK('Ingest Template'!P67),"", 'Ingest Template'!P67&amp;"|Operations - Core Title"))))</f>
        <v>#|Operations - Core Title
</v>
      </c>
      <c r="AH67" s="5"/>
      <c r="AI67" s="5"/>
      <c r="AJ67" s="5"/>
      <c r="AK67" s="5"/>
      <c r="AL67" s="5"/>
    </row>
    <row r="68">
      <c r="A68" s="5"/>
      <c r="B68" s="5" t="str">
        <f>'Ingest Template'!B68&amp;IF('Ingest Template'!A68 = "Standard", " - DAR","")</f>
        <v/>
      </c>
      <c r="C68" s="6" t="str">
        <f>'Ingest Template'!C68</f>
        <v/>
      </c>
      <c r="D68" s="7" t="str">
        <f>'Ingest Template'!E68</f>
        <v/>
      </c>
      <c r="E68" s="5"/>
      <c r="F68" s="5"/>
      <c r="G68" s="5"/>
      <c r="H68" s="7"/>
      <c r="I68" s="5"/>
      <c r="J68" s="7" t="str">
        <f>'Ingest Template'!Q68</f>
        <v/>
      </c>
      <c r="K68" s="5" t="str">
        <f>'Ingest Template'!R68</f>
        <v/>
      </c>
      <c r="L68" s="8" t="s">
        <v>38</v>
      </c>
      <c r="M68" s="9"/>
      <c r="N68" s="5"/>
      <c r="O68" s="5"/>
      <c r="P68" s="5"/>
      <c r="Q68" s="5"/>
      <c r="R68" s="5" t="str">
        <f>'Ingest Template'!D68</f>
        <v/>
      </c>
      <c r="S68" s="5" t="str">
        <f>'Ingest Template'!G68</f>
        <v/>
      </c>
      <c r="T68" s="5" t="str">
        <f>'Ingest Template'!H68</f>
        <v/>
      </c>
      <c r="U68" s="5" t="str">
        <f>LOWER(SUBSTITUTE(SUBSTITUTE(SUBSTITUTE(SUBSTITUTE(SUBSTITUTE('Ingest Template'!I68,"https:",""),"www.",""),"/",""),"?hl=en",""),"instagram.com",""))</f>
        <v/>
      </c>
      <c r="V68" s="10" t="str">
        <f>'Ingest Template'!J68</f>
        <v/>
      </c>
      <c r="W68" s="10" t="str">
        <f>'Ingest Template'!K68</f>
        <v/>
      </c>
      <c r="X68" s="5"/>
      <c r="Y68" s="5" t="str">
        <f>SUBSTITUTE(SUBSTITUTE(SUBSTITUTE('Ingest Template'!L68,"http:",""),"https:",""),"/","")</f>
        <v/>
      </c>
      <c r="Z68" s="5" t="str">
        <f t="array" ref="Z68">IF('Ingest Template'!A68="Standard",(IF(ISBLANK('Ingest Template'!M68),"", 'Ingest Template'!M68&amp;"|DAR")),(IF(ISBLANK('Ingest Template'!M68),"", 'Ingest Template'!M68&amp;"|Operations - Core Title")))</f>
        <v/>
      </c>
      <c r="AA68" s="5"/>
      <c r="AB68" s="5" t="str">
        <f>'Ingest Template'!F68</f>
        <v/>
      </c>
      <c r="AC68" s="5"/>
      <c r="AD68" s="5"/>
      <c r="AE68" s="5"/>
      <c r="AF68" s="8"/>
      <c r="AG68" s="5" t="str">
        <f t="array" ref="AG68">IF('Ingest Template'!A68="Standard",(CONCATENATE(IF(ISBLANK('Ingest Template'!N68),"", 'Ingest Template'!N68&amp;"|DAR"),CHAR(10), IF(ISBLANK('Ingest Template'!O68),"", 'Ingest Template'!O68&amp;"|DAR"),CHAR(10), IF(ISBLANK('Ingest Template'!P68),"", 'Ingest Template'!P68&amp;"|DAR"))),(CONCATENATE(IF(ISBLANK('Ingest Template'!N68),"", 'Ingest Template'!N68&amp;"|Operations - Core Title"),CHAR(10), IF(ISBLANK('Ingest Template'!O68),"", 'Ingest Template'!O68&amp;"|Operations - Core Title"),CHAR(10), IF(ISBLANK('Ingest Template'!P68),"", 'Ingest Template'!P68&amp;"|Operations - Core Title"))))</f>
        <v>#|Operations - Core Title
</v>
      </c>
      <c r="AH68" s="5"/>
      <c r="AI68" s="5"/>
      <c r="AJ68" s="5"/>
      <c r="AK68" s="5"/>
      <c r="AL68" s="5"/>
    </row>
    <row r="69">
      <c r="A69" s="5"/>
      <c r="B69" s="5" t="str">
        <f>'Ingest Template'!B69&amp;IF('Ingest Template'!A69 = "Standard", " - DAR","")</f>
        <v/>
      </c>
      <c r="C69" s="6" t="str">
        <f>'Ingest Template'!C69</f>
        <v/>
      </c>
      <c r="D69" s="7" t="str">
        <f>'Ingest Template'!E69</f>
        <v/>
      </c>
      <c r="E69" s="5"/>
      <c r="F69" s="5"/>
      <c r="G69" s="5"/>
      <c r="H69" s="7"/>
      <c r="I69" s="5"/>
      <c r="J69" s="7" t="str">
        <f>'Ingest Template'!Q69</f>
        <v/>
      </c>
      <c r="K69" s="5" t="str">
        <f>'Ingest Template'!R69</f>
        <v/>
      </c>
      <c r="L69" s="8" t="s">
        <v>38</v>
      </c>
      <c r="M69" s="9"/>
      <c r="N69" s="5"/>
      <c r="O69" s="5"/>
      <c r="P69" s="5"/>
      <c r="Q69" s="5"/>
      <c r="R69" s="5" t="str">
        <f>'Ingest Template'!D69</f>
        <v/>
      </c>
      <c r="S69" s="5" t="str">
        <f>'Ingest Template'!G69</f>
        <v/>
      </c>
      <c r="T69" s="5" t="str">
        <f>'Ingest Template'!H69</f>
        <v/>
      </c>
      <c r="U69" s="5" t="str">
        <f>LOWER(SUBSTITUTE(SUBSTITUTE(SUBSTITUTE(SUBSTITUTE(SUBSTITUTE('Ingest Template'!I69,"https:",""),"www.",""),"/",""),"?hl=en",""),"instagram.com",""))</f>
        <v/>
      </c>
      <c r="V69" s="10" t="str">
        <f>'Ingest Template'!J69</f>
        <v/>
      </c>
      <c r="W69" s="10" t="str">
        <f>'Ingest Template'!K69</f>
        <v/>
      </c>
      <c r="X69" s="5"/>
      <c r="Y69" s="5" t="str">
        <f>SUBSTITUTE(SUBSTITUTE(SUBSTITUTE('Ingest Template'!L69,"http:",""),"https:",""),"/","")</f>
        <v/>
      </c>
      <c r="Z69" s="5" t="str">
        <f t="array" ref="Z69">IF('Ingest Template'!A69="Standard",(IF(ISBLANK('Ingest Template'!M69),"", 'Ingest Template'!M69&amp;"|DAR")),(IF(ISBLANK('Ingest Template'!M69),"", 'Ingest Template'!M69&amp;"|Operations - Core Title")))</f>
        <v/>
      </c>
      <c r="AA69" s="5"/>
      <c r="AB69" s="5" t="str">
        <f>'Ingest Template'!F69</f>
        <v/>
      </c>
      <c r="AC69" s="5"/>
      <c r="AD69" s="5"/>
      <c r="AE69" s="5"/>
      <c r="AF69" s="8"/>
      <c r="AG69" s="5" t="str">
        <f t="array" ref="AG69">IF('Ingest Template'!A69="Standard",(CONCATENATE(IF(ISBLANK('Ingest Template'!N69),"", 'Ingest Template'!N69&amp;"|DAR"),CHAR(10), IF(ISBLANK('Ingest Template'!O69),"", 'Ingest Template'!O69&amp;"|DAR"),CHAR(10), IF(ISBLANK('Ingest Template'!P69),"", 'Ingest Template'!P69&amp;"|DAR"))),(CONCATENATE(IF(ISBLANK('Ingest Template'!N69),"", 'Ingest Template'!N69&amp;"|Operations - Core Title"),CHAR(10), IF(ISBLANK('Ingest Template'!O69),"", 'Ingest Template'!O69&amp;"|Operations - Core Title"),CHAR(10), IF(ISBLANK('Ingest Template'!P69),"", 'Ingest Template'!P69&amp;"|Operations - Core Title"))))</f>
        <v>#|Operations - Core Title
</v>
      </c>
      <c r="AH69" s="5"/>
      <c r="AI69" s="5"/>
      <c r="AJ69" s="5"/>
      <c r="AK69" s="5"/>
      <c r="AL69" s="5"/>
    </row>
    <row r="70">
      <c r="A70" s="5"/>
      <c r="B70" s="5" t="str">
        <f>'Ingest Template'!B70&amp;IF('Ingest Template'!A70 = "Standard", " - DAR","")</f>
        <v/>
      </c>
      <c r="C70" s="6" t="str">
        <f>'Ingest Template'!C70</f>
        <v/>
      </c>
      <c r="D70" s="7" t="str">
        <f>'Ingest Template'!E70</f>
        <v/>
      </c>
      <c r="E70" s="5"/>
      <c r="F70" s="5"/>
      <c r="G70" s="5"/>
      <c r="H70" s="7"/>
      <c r="I70" s="5"/>
      <c r="J70" s="7" t="str">
        <f>'Ingest Template'!Q70</f>
        <v/>
      </c>
      <c r="K70" s="5" t="str">
        <f>'Ingest Template'!R70</f>
        <v/>
      </c>
      <c r="L70" s="8" t="s">
        <v>38</v>
      </c>
      <c r="M70" s="9"/>
      <c r="N70" s="5"/>
      <c r="O70" s="5"/>
      <c r="P70" s="5"/>
      <c r="Q70" s="5"/>
      <c r="R70" s="5" t="str">
        <f>'Ingest Template'!D70</f>
        <v/>
      </c>
      <c r="S70" s="5" t="str">
        <f>'Ingest Template'!G70</f>
        <v/>
      </c>
      <c r="T70" s="5" t="str">
        <f>'Ingest Template'!H70</f>
        <v/>
      </c>
      <c r="U70" s="5" t="str">
        <f>LOWER(SUBSTITUTE(SUBSTITUTE(SUBSTITUTE(SUBSTITUTE(SUBSTITUTE('Ingest Template'!I70,"https:",""),"www.",""),"/",""),"?hl=en",""),"instagram.com",""))</f>
        <v/>
      </c>
      <c r="V70" s="10" t="str">
        <f>'Ingest Template'!J70</f>
        <v/>
      </c>
      <c r="W70" s="10" t="str">
        <f>'Ingest Template'!K70</f>
        <v/>
      </c>
      <c r="X70" s="5"/>
      <c r="Y70" s="5" t="str">
        <f>SUBSTITUTE(SUBSTITUTE(SUBSTITUTE('Ingest Template'!L70,"http:",""),"https:",""),"/","")</f>
        <v/>
      </c>
      <c r="Z70" s="5" t="str">
        <f t="array" ref="Z70">IF('Ingest Template'!A70="Standard",(IF(ISBLANK('Ingest Template'!M70),"", 'Ingest Template'!M70&amp;"|DAR")),(IF(ISBLANK('Ingest Template'!M70),"", 'Ingest Template'!M70&amp;"|Operations - Core Title")))</f>
        <v/>
      </c>
      <c r="AA70" s="5"/>
      <c r="AB70" s="5" t="str">
        <f>'Ingest Template'!F70</f>
        <v/>
      </c>
      <c r="AC70" s="5"/>
      <c r="AD70" s="5"/>
      <c r="AE70" s="5"/>
      <c r="AF70" s="8"/>
      <c r="AG70" s="5" t="str">
        <f t="array" ref="AG70">IF('Ingest Template'!A70="Standard",(CONCATENATE(IF(ISBLANK('Ingest Template'!N70),"", 'Ingest Template'!N70&amp;"|DAR"),CHAR(10), IF(ISBLANK('Ingest Template'!O70),"", 'Ingest Template'!O70&amp;"|DAR"),CHAR(10), IF(ISBLANK('Ingest Template'!P70),"", 'Ingest Template'!P70&amp;"|DAR"))),(CONCATENATE(IF(ISBLANK('Ingest Template'!N70),"", 'Ingest Template'!N70&amp;"|Operations - Core Title"),CHAR(10), IF(ISBLANK('Ingest Template'!O70),"", 'Ingest Template'!O70&amp;"|Operations - Core Title"),CHAR(10), IF(ISBLANK('Ingest Template'!P70),"", 'Ingest Template'!P70&amp;"|Operations - Core Title"))))</f>
        <v>#|Operations - Core Title
</v>
      </c>
      <c r="AH70" s="5"/>
      <c r="AI70" s="5"/>
      <c r="AJ70" s="5"/>
      <c r="AK70" s="5"/>
      <c r="AL70" s="5"/>
    </row>
    <row r="71">
      <c r="A71" s="5"/>
      <c r="B71" s="5" t="str">
        <f>'Ingest Template'!B71&amp;IF('Ingest Template'!A71 = "Standard", " - DAR","")</f>
        <v/>
      </c>
      <c r="C71" s="6" t="str">
        <f>'Ingest Template'!C71</f>
        <v/>
      </c>
      <c r="D71" s="7" t="str">
        <f>'Ingest Template'!E71</f>
        <v/>
      </c>
      <c r="E71" s="5"/>
      <c r="F71" s="5"/>
      <c r="G71" s="5"/>
      <c r="H71" s="7"/>
      <c r="I71" s="5"/>
      <c r="J71" s="7" t="str">
        <f>'Ingest Template'!Q71</f>
        <v/>
      </c>
      <c r="K71" s="5" t="str">
        <f>'Ingest Template'!R71</f>
        <v/>
      </c>
      <c r="L71" s="8" t="s">
        <v>38</v>
      </c>
      <c r="M71" s="9"/>
      <c r="N71" s="5"/>
      <c r="O71" s="5"/>
      <c r="P71" s="5"/>
      <c r="Q71" s="5"/>
      <c r="R71" s="5" t="str">
        <f>'Ingest Template'!D71</f>
        <v/>
      </c>
      <c r="S71" s="5" t="str">
        <f>'Ingest Template'!G71</f>
        <v/>
      </c>
      <c r="T71" s="5" t="str">
        <f>'Ingest Template'!H71</f>
        <v/>
      </c>
      <c r="U71" s="5" t="str">
        <f>LOWER(SUBSTITUTE(SUBSTITUTE(SUBSTITUTE(SUBSTITUTE(SUBSTITUTE('Ingest Template'!I71,"https:",""),"www.",""),"/",""),"?hl=en",""),"instagram.com",""))</f>
        <v/>
      </c>
      <c r="V71" s="10" t="str">
        <f>'Ingest Template'!J71</f>
        <v/>
      </c>
      <c r="W71" s="10" t="str">
        <f>'Ingest Template'!K71</f>
        <v/>
      </c>
      <c r="X71" s="5"/>
      <c r="Y71" s="5" t="str">
        <f>SUBSTITUTE(SUBSTITUTE(SUBSTITUTE('Ingest Template'!L71,"http:",""),"https:",""),"/","")</f>
        <v/>
      </c>
      <c r="Z71" s="5" t="str">
        <f t="array" ref="Z71">IF('Ingest Template'!A71="Standard",(IF(ISBLANK('Ingest Template'!M71),"", 'Ingest Template'!M71&amp;"|DAR")),(IF(ISBLANK('Ingest Template'!M71),"", 'Ingest Template'!M71&amp;"|Operations - Core Title")))</f>
        <v/>
      </c>
      <c r="AA71" s="5"/>
      <c r="AB71" s="5" t="str">
        <f>'Ingest Template'!F71</f>
        <v/>
      </c>
      <c r="AC71" s="5"/>
      <c r="AD71" s="5"/>
      <c r="AE71" s="5"/>
      <c r="AF71" s="8"/>
      <c r="AG71" s="5" t="str">
        <f t="array" ref="AG71">IF('Ingest Template'!A71="Standard",(CONCATENATE(IF(ISBLANK('Ingest Template'!N71),"", 'Ingest Template'!N71&amp;"|DAR"),CHAR(10), IF(ISBLANK('Ingest Template'!O71),"", 'Ingest Template'!O71&amp;"|DAR"),CHAR(10), IF(ISBLANK('Ingest Template'!P71),"", 'Ingest Template'!P71&amp;"|DAR"))),(CONCATENATE(IF(ISBLANK('Ingest Template'!N71),"", 'Ingest Template'!N71&amp;"|Operations - Core Title"),CHAR(10), IF(ISBLANK('Ingest Template'!O71),"", 'Ingest Template'!O71&amp;"|Operations - Core Title"),CHAR(10), IF(ISBLANK('Ingest Template'!P71),"", 'Ingest Template'!P71&amp;"|Operations - Core Title"))))</f>
        <v>#|Operations - Core Title
</v>
      </c>
      <c r="AH71" s="5"/>
      <c r="AI71" s="5"/>
      <c r="AJ71" s="5"/>
      <c r="AK71" s="5"/>
      <c r="AL71" s="5"/>
    </row>
    <row r="72">
      <c r="A72" s="5"/>
      <c r="B72" s="5" t="str">
        <f>'Ingest Template'!B72&amp;IF('Ingest Template'!A72 = "Standard", " - DAR","")</f>
        <v/>
      </c>
      <c r="C72" s="6" t="str">
        <f>'Ingest Template'!C72</f>
        <v/>
      </c>
      <c r="D72" s="7" t="str">
        <f>'Ingest Template'!E72</f>
        <v/>
      </c>
      <c r="E72" s="5"/>
      <c r="F72" s="5"/>
      <c r="G72" s="5"/>
      <c r="H72" s="7"/>
      <c r="I72" s="5"/>
      <c r="J72" s="7" t="str">
        <f>'Ingest Template'!Q72</f>
        <v/>
      </c>
      <c r="K72" s="5" t="str">
        <f>'Ingest Template'!R72</f>
        <v/>
      </c>
      <c r="L72" s="8" t="s">
        <v>38</v>
      </c>
      <c r="M72" s="9"/>
      <c r="N72" s="5"/>
      <c r="O72" s="5"/>
      <c r="P72" s="5"/>
      <c r="Q72" s="5"/>
      <c r="R72" s="5" t="str">
        <f>'Ingest Template'!D72</f>
        <v/>
      </c>
      <c r="S72" s="5" t="str">
        <f>'Ingest Template'!G72</f>
        <v/>
      </c>
      <c r="T72" s="5" t="str">
        <f>'Ingest Template'!H72</f>
        <v/>
      </c>
      <c r="U72" s="5" t="str">
        <f>LOWER(SUBSTITUTE(SUBSTITUTE(SUBSTITUTE(SUBSTITUTE(SUBSTITUTE('Ingest Template'!I72,"https:",""),"www.",""),"/",""),"?hl=en",""),"instagram.com",""))</f>
        <v/>
      </c>
      <c r="V72" s="10" t="str">
        <f>'Ingest Template'!J72</f>
        <v/>
      </c>
      <c r="W72" s="10" t="str">
        <f>'Ingest Template'!K72</f>
        <v/>
      </c>
      <c r="X72" s="5"/>
      <c r="Y72" s="5" t="str">
        <f>SUBSTITUTE(SUBSTITUTE(SUBSTITUTE('Ingest Template'!L72,"http:",""),"https:",""),"/","")</f>
        <v/>
      </c>
      <c r="Z72" s="5" t="str">
        <f t="array" ref="Z72">IF('Ingest Template'!A72="Standard",(IF(ISBLANK('Ingest Template'!M72),"", 'Ingest Template'!M72&amp;"|DAR")),(IF(ISBLANK('Ingest Template'!M72),"", 'Ingest Template'!M72&amp;"|Operations - Core Title")))</f>
        <v/>
      </c>
      <c r="AA72" s="5"/>
      <c r="AB72" s="5" t="str">
        <f>'Ingest Template'!F72</f>
        <v/>
      </c>
      <c r="AC72" s="5"/>
      <c r="AD72" s="5"/>
      <c r="AE72" s="5"/>
      <c r="AF72" s="8"/>
      <c r="AG72" s="5" t="str">
        <f t="array" ref="AG72">IF('Ingest Template'!A72="Standard",(CONCATENATE(IF(ISBLANK('Ingest Template'!N72),"", 'Ingest Template'!N72&amp;"|DAR"),CHAR(10), IF(ISBLANK('Ingest Template'!O72),"", 'Ingest Template'!O72&amp;"|DAR"),CHAR(10), IF(ISBLANK('Ingest Template'!P72),"", 'Ingest Template'!P72&amp;"|DAR"))),(CONCATENATE(IF(ISBLANK('Ingest Template'!N72),"", 'Ingest Template'!N72&amp;"|Operations - Core Title"),CHAR(10), IF(ISBLANK('Ingest Template'!O72),"", 'Ingest Template'!O72&amp;"|Operations - Core Title"),CHAR(10), IF(ISBLANK('Ingest Template'!P72),"", 'Ingest Template'!P72&amp;"|Operations - Core Title"))))</f>
        <v>#|Operations - Core Title
</v>
      </c>
      <c r="AH72" s="5"/>
      <c r="AI72" s="5"/>
      <c r="AJ72" s="5"/>
      <c r="AK72" s="5"/>
      <c r="AL72" s="5"/>
    </row>
    <row r="73">
      <c r="A73" s="5"/>
      <c r="B73" s="5" t="str">
        <f>'Ingest Template'!B73&amp;IF('Ingest Template'!A73 = "Standard", " - DAR","")</f>
        <v/>
      </c>
      <c r="C73" s="6" t="str">
        <f>'Ingest Template'!C73</f>
        <v/>
      </c>
      <c r="D73" s="7" t="str">
        <f>'Ingest Template'!E73</f>
        <v/>
      </c>
      <c r="E73" s="5"/>
      <c r="F73" s="5"/>
      <c r="G73" s="5"/>
      <c r="H73" s="7"/>
      <c r="I73" s="5"/>
      <c r="J73" s="7" t="str">
        <f>'Ingest Template'!Q73</f>
        <v/>
      </c>
      <c r="K73" s="5" t="str">
        <f>'Ingest Template'!R73</f>
        <v/>
      </c>
      <c r="L73" s="8" t="s">
        <v>38</v>
      </c>
      <c r="M73" s="9"/>
      <c r="N73" s="5"/>
      <c r="O73" s="5"/>
      <c r="P73" s="5"/>
      <c r="Q73" s="5"/>
      <c r="R73" s="5" t="str">
        <f>'Ingest Template'!D73</f>
        <v/>
      </c>
      <c r="S73" s="5" t="str">
        <f>'Ingest Template'!G73</f>
        <v/>
      </c>
      <c r="T73" s="5" t="str">
        <f>'Ingest Template'!H73</f>
        <v/>
      </c>
      <c r="U73" s="5" t="str">
        <f>LOWER(SUBSTITUTE(SUBSTITUTE(SUBSTITUTE(SUBSTITUTE(SUBSTITUTE('Ingest Template'!I73,"https:",""),"www.",""),"/",""),"?hl=en",""),"instagram.com",""))</f>
        <v/>
      </c>
      <c r="V73" s="10" t="str">
        <f>'Ingest Template'!J73</f>
        <v/>
      </c>
      <c r="W73" s="10" t="str">
        <f>'Ingest Template'!K73</f>
        <v/>
      </c>
      <c r="X73" s="5"/>
      <c r="Y73" s="5" t="str">
        <f>SUBSTITUTE(SUBSTITUTE(SUBSTITUTE('Ingest Template'!L73,"http:",""),"https:",""),"/","")</f>
        <v/>
      </c>
      <c r="Z73" s="5" t="str">
        <f t="array" ref="Z73">IF('Ingest Template'!A73="Standard",(IF(ISBLANK('Ingest Template'!M73),"", 'Ingest Template'!M73&amp;"|DAR")),(IF(ISBLANK('Ingest Template'!M73),"", 'Ingest Template'!M73&amp;"|Operations - Core Title")))</f>
        <v/>
      </c>
      <c r="AA73" s="5"/>
      <c r="AB73" s="5" t="str">
        <f>'Ingest Template'!F73</f>
        <v/>
      </c>
      <c r="AC73" s="5"/>
      <c r="AD73" s="5"/>
      <c r="AE73" s="5"/>
      <c r="AF73" s="8"/>
      <c r="AG73" s="5" t="str">
        <f t="array" ref="AG73">IF('Ingest Template'!A73="Standard",(CONCATENATE(IF(ISBLANK('Ingest Template'!N73),"", 'Ingest Template'!N73&amp;"|DAR"),CHAR(10), IF(ISBLANK('Ingest Template'!O73),"", 'Ingest Template'!O73&amp;"|DAR"),CHAR(10), IF(ISBLANK('Ingest Template'!P73),"", 'Ingest Template'!P73&amp;"|DAR"))),(CONCATENATE(IF(ISBLANK('Ingest Template'!N73),"", 'Ingest Template'!N73&amp;"|Operations - Core Title"),CHAR(10), IF(ISBLANK('Ingest Template'!O73),"", 'Ingest Template'!O73&amp;"|Operations - Core Title"),CHAR(10), IF(ISBLANK('Ingest Template'!P73),"", 'Ingest Template'!P73&amp;"|Operations - Core Title"))))</f>
        <v>#|Operations - Core Title
</v>
      </c>
      <c r="AH73" s="5"/>
      <c r="AI73" s="5"/>
      <c r="AJ73" s="5"/>
      <c r="AK73" s="5"/>
      <c r="AL73" s="5"/>
    </row>
    <row r="74">
      <c r="A74" s="5"/>
      <c r="B74" s="5" t="str">
        <f>'Ingest Template'!B74&amp;IF('Ingest Template'!A74 = "Standard", " - DAR","")</f>
        <v/>
      </c>
      <c r="C74" s="6" t="str">
        <f>'Ingest Template'!C74</f>
        <v/>
      </c>
      <c r="D74" s="7" t="str">
        <f>'Ingest Template'!E74</f>
        <v/>
      </c>
      <c r="E74" s="5"/>
      <c r="F74" s="5"/>
      <c r="G74" s="5"/>
      <c r="H74" s="7"/>
      <c r="I74" s="5"/>
      <c r="J74" s="7" t="str">
        <f>'Ingest Template'!Q74</f>
        <v/>
      </c>
      <c r="K74" s="5" t="str">
        <f>'Ingest Template'!R74</f>
        <v/>
      </c>
      <c r="L74" s="8" t="s">
        <v>38</v>
      </c>
      <c r="M74" s="9"/>
      <c r="N74" s="5"/>
      <c r="O74" s="5"/>
      <c r="P74" s="5"/>
      <c r="Q74" s="5"/>
      <c r="R74" s="5" t="str">
        <f>'Ingest Template'!D74</f>
        <v/>
      </c>
      <c r="S74" s="5" t="str">
        <f>'Ingest Template'!G74</f>
        <v/>
      </c>
      <c r="T74" s="5" t="str">
        <f>'Ingest Template'!H74</f>
        <v/>
      </c>
      <c r="U74" s="5" t="str">
        <f>LOWER(SUBSTITUTE(SUBSTITUTE(SUBSTITUTE(SUBSTITUTE(SUBSTITUTE('Ingest Template'!I74,"https:",""),"www.",""),"/",""),"?hl=en",""),"instagram.com",""))</f>
        <v/>
      </c>
      <c r="V74" s="10" t="str">
        <f>'Ingest Template'!J74</f>
        <v/>
      </c>
      <c r="W74" s="10" t="str">
        <f>'Ingest Template'!K74</f>
        <v/>
      </c>
      <c r="X74" s="5"/>
      <c r="Y74" s="5" t="str">
        <f>SUBSTITUTE(SUBSTITUTE(SUBSTITUTE('Ingest Template'!L74,"http:",""),"https:",""),"/","")</f>
        <v/>
      </c>
      <c r="Z74" s="5" t="str">
        <f t="array" ref="Z74">IF('Ingest Template'!A74="Standard",(IF(ISBLANK('Ingest Template'!M74),"", 'Ingest Template'!M74&amp;"|DAR")),(IF(ISBLANK('Ingest Template'!M74),"", 'Ingest Template'!M74&amp;"|Operations - Core Title")))</f>
        <v/>
      </c>
      <c r="AA74" s="5"/>
      <c r="AB74" s="5" t="str">
        <f>'Ingest Template'!F74</f>
        <v/>
      </c>
      <c r="AC74" s="5"/>
      <c r="AD74" s="5"/>
      <c r="AE74" s="5"/>
      <c r="AF74" s="8"/>
      <c r="AG74" s="5" t="str">
        <f t="array" ref="AG74">IF('Ingest Template'!A74="Standard",(CONCATENATE(IF(ISBLANK('Ingest Template'!N74),"", 'Ingest Template'!N74&amp;"|DAR"),CHAR(10), IF(ISBLANK('Ingest Template'!O74),"", 'Ingest Template'!O74&amp;"|DAR"),CHAR(10), IF(ISBLANK('Ingest Template'!P74),"", 'Ingest Template'!P74&amp;"|DAR"))),(CONCATENATE(IF(ISBLANK('Ingest Template'!N74),"", 'Ingest Template'!N74&amp;"|Operations - Core Title"),CHAR(10), IF(ISBLANK('Ingest Template'!O74),"", 'Ingest Template'!O74&amp;"|Operations - Core Title"),CHAR(10), IF(ISBLANK('Ingest Template'!P74),"", 'Ingest Template'!P74&amp;"|Operations - Core Title"))))</f>
        <v>#|Operations - Core Title
</v>
      </c>
      <c r="AH74" s="5"/>
      <c r="AI74" s="5"/>
      <c r="AJ74" s="5"/>
      <c r="AK74" s="5"/>
      <c r="AL74" s="5"/>
    </row>
    <row r="75">
      <c r="A75" s="5"/>
      <c r="B75" s="5" t="str">
        <f>'Ingest Template'!B75&amp;IF('Ingest Template'!A75 = "Standard", " - DAR","")</f>
        <v/>
      </c>
      <c r="C75" s="6" t="str">
        <f>'Ingest Template'!C75</f>
        <v/>
      </c>
      <c r="D75" s="7" t="str">
        <f>'Ingest Template'!E75</f>
        <v/>
      </c>
      <c r="E75" s="5"/>
      <c r="F75" s="5"/>
      <c r="G75" s="5"/>
      <c r="H75" s="7"/>
      <c r="I75" s="5"/>
      <c r="J75" s="7" t="str">
        <f>'Ingest Template'!Q75</f>
        <v/>
      </c>
      <c r="K75" s="5" t="str">
        <f>'Ingest Template'!R75</f>
        <v/>
      </c>
      <c r="L75" s="8" t="s">
        <v>38</v>
      </c>
      <c r="M75" s="9"/>
      <c r="N75" s="5"/>
      <c r="O75" s="5"/>
      <c r="P75" s="5"/>
      <c r="Q75" s="5"/>
      <c r="R75" s="5" t="str">
        <f>'Ingest Template'!D75</f>
        <v/>
      </c>
      <c r="S75" s="5" t="str">
        <f>'Ingest Template'!G75</f>
        <v/>
      </c>
      <c r="T75" s="5" t="str">
        <f>'Ingest Template'!H75</f>
        <v/>
      </c>
      <c r="U75" s="5" t="str">
        <f>LOWER(SUBSTITUTE(SUBSTITUTE(SUBSTITUTE(SUBSTITUTE(SUBSTITUTE('Ingest Template'!I75,"https:",""),"www.",""),"/",""),"?hl=en",""),"instagram.com",""))</f>
        <v/>
      </c>
      <c r="V75" s="10" t="str">
        <f>'Ingest Template'!J75</f>
        <v/>
      </c>
      <c r="W75" s="10" t="str">
        <f>'Ingest Template'!K75</f>
        <v/>
      </c>
      <c r="X75" s="5"/>
      <c r="Y75" s="5" t="str">
        <f>SUBSTITUTE(SUBSTITUTE(SUBSTITUTE('Ingest Template'!L75,"http:",""),"https:",""),"/","")</f>
        <v/>
      </c>
      <c r="Z75" s="5" t="str">
        <f t="array" ref="Z75">IF('Ingest Template'!A75="Standard",(IF(ISBLANK('Ingest Template'!M75),"", 'Ingest Template'!M75&amp;"|DAR")),(IF(ISBLANK('Ingest Template'!M75),"", 'Ingest Template'!M75&amp;"|Operations - Core Title")))</f>
        <v/>
      </c>
      <c r="AA75" s="5"/>
      <c r="AB75" s="5" t="str">
        <f>'Ingest Template'!F75</f>
        <v/>
      </c>
      <c r="AC75" s="5"/>
      <c r="AD75" s="5"/>
      <c r="AE75" s="5"/>
      <c r="AF75" s="8"/>
      <c r="AG75" s="5" t="str">
        <f t="array" ref="AG75">IF('Ingest Template'!A75="Standard",(CONCATENATE(IF(ISBLANK('Ingest Template'!N75),"", 'Ingest Template'!N75&amp;"|DAR"),CHAR(10), IF(ISBLANK('Ingest Template'!O75),"", 'Ingest Template'!O75&amp;"|DAR"),CHAR(10), IF(ISBLANK('Ingest Template'!P75),"", 'Ingest Template'!P75&amp;"|DAR"))),(CONCATENATE(IF(ISBLANK('Ingest Template'!N75),"", 'Ingest Template'!N75&amp;"|Operations - Core Title"),CHAR(10), IF(ISBLANK('Ingest Template'!O75),"", 'Ingest Template'!O75&amp;"|Operations - Core Title"),CHAR(10), IF(ISBLANK('Ingest Template'!P75),"", 'Ingest Template'!P75&amp;"|Operations - Core Title"))))</f>
        <v>#|Operations - Core Title
</v>
      </c>
      <c r="AH75" s="5"/>
      <c r="AI75" s="5"/>
      <c r="AJ75" s="5"/>
      <c r="AK75" s="5"/>
      <c r="AL75" s="5"/>
    </row>
    <row r="76">
      <c r="A76" s="5"/>
      <c r="B76" s="5" t="str">
        <f>'Ingest Template'!B76&amp;IF('Ingest Template'!A76 = "Standard", " - DAR","")</f>
        <v/>
      </c>
      <c r="C76" s="6" t="str">
        <f>'Ingest Template'!C76</f>
        <v/>
      </c>
      <c r="D76" s="7" t="str">
        <f>'Ingest Template'!E76</f>
        <v/>
      </c>
      <c r="E76" s="5"/>
      <c r="F76" s="5"/>
      <c r="G76" s="5"/>
      <c r="H76" s="7"/>
      <c r="I76" s="5"/>
      <c r="J76" s="7" t="str">
        <f>'Ingest Template'!Q76</f>
        <v/>
      </c>
      <c r="K76" s="5" t="str">
        <f>'Ingest Template'!R76</f>
        <v/>
      </c>
      <c r="L76" s="8" t="s">
        <v>38</v>
      </c>
      <c r="M76" s="9"/>
      <c r="N76" s="5"/>
      <c r="O76" s="5"/>
      <c r="P76" s="5"/>
      <c r="Q76" s="5"/>
      <c r="R76" s="5" t="str">
        <f>'Ingest Template'!D76</f>
        <v/>
      </c>
      <c r="S76" s="5" t="str">
        <f>'Ingest Template'!G76</f>
        <v/>
      </c>
      <c r="T76" s="5" t="str">
        <f>'Ingest Template'!H76</f>
        <v/>
      </c>
      <c r="U76" s="5" t="str">
        <f>LOWER(SUBSTITUTE(SUBSTITUTE(SUBSTITUTE(SUBSTITUTE(SUBSTITUTE('Ingest Template'!I76,"https:",""),"www.",""),"/",""),"?hl=en",""),"instagram.com",""))</f>
        <v/>
      </c>
      <c r="V76" s="10" t="str">
        <f>'Ingest Template'!J76</f>
        <v/>
      </c>
      <c r="W76" s="10" t="str">
        <f>'Ingest Template'!K76</f>
        <v/>
      </c>
      <c r="X76" s="5"/>
      <c r="Y76" s="5" t="str">
        <f>SUBSTITUTE(SUBSTITUTE(SUBSTITUTE('Ingest Template'!L76,"http:",""),"https:",""),"/","")</f>
        <v/>
      </c>
      <c r="Z76" s="5" t="str">
        <f t="array" ref="Z76">IF('Ingest Template'!A76="Standard",(IF(ISBLANK('Ingest Template'!M76),"", 'Ingest Template'!M76&amp;"|DAR")),(IF(ISBLANK('Ingest Template'!M76),"", 'Ingest Template'!M76&amp;"|Operations - Core Title")))</f>
        <v/>
      </c>
      <c r="AA76" s="5"/>
      <c r="AB76" s="5" t="str">
        <f>'Ingest Template'!F76</f>
        <v/>
      </c>
      <c r="AC76" s="5"/>
      <c r="AD76" s="5"/>
      <c r="AE76" s="5"/>
      <c r="AF76" s="8"/>
      <c r="AG76" s="5" t="str">
        <f t="array" ref="AG76">IF('Ingest Template'!A76="Standard",(CONCATENATE(IF(ISBLANK('Ingest Template'!N76),"", 'Ingest Template'!N76&amp;"|DAR"),CHAR(10), IF(ISBLANK('Ingest Template'!O76),"", 'Ingest Template'!O76&amp;"|DAR"),CHAR(10), IF(ISBLANK('Ingest Template'!P76),"", 'Ingest Template'!P76&amp;"|DAR"))),(CONCATENATE(IF(ISBLANK('Ingest Template'!N76),"", 'Ingest Template'!N76&amp;"|Operations - Core Title"),CHAR(10), IF(ISBLANK('Ingest Template'!O76),"", 'Ingest Template'!O76&amp;"|Operations - Core Title"),CHAR(10), IF(ISBLANK('Ingest Template'!P76),"", 'Ingest Template'!P76&amp;"|Operations - Core Title"))))</f>
        <v>#|Operations - Core Title
</v>
      </c>
      <c r="AH76" s="5"/>
      <c r="AI76" s="5"/>
      <c r="AJ76" s="5"/>
      <c r="AK76" s="5"/>
      <c r="AL76" s="5"/>
    </row>
    <row r="77">
      <c r="A77" s="5"/>
      <c r="B77" s="5" t="str">
        <f>'Ingest Template'!B77&amp;IF('Ingest Template'!A77 = "Standard", " - DAR","")</f>
        <v/>
      </c>
      <c r="C77" s="6" t="str">
        <f>'Ingest Template'!C77</f>
        <v/>
      </c>
      <c r="D77" s="7" t="str">
        <f>'Ingest Template'!E77</f>
        <v/>
      </c>
      <c r="E77" s="5"/>
      <c r="F77" s="5"/>
      <c r="G77" s="5"/>
      <c r="H77" s="7"/>
      <c r="I77" s="5"/>
      <c r="J77" s="7" t="str">
        <f>'Ingest Template'!Q77</f>
        <v/>
      </c>
      <c r="K77" s="5" t="str">
        <f>'Ingest Template'!R77</f>
        <v/>
      </c>
      <c r="L77" s="8" t="s">
        <v>38</v>
      </c>
      <c r="M77" s="9"/>
      <c r="N77" s="5"/>
      <c r="O77" s="5"/>
      <c r="P77" s="5"/>
      <c r="Q77" s="5"/>
      <c r="R77" s="5" t="str">
        <f>'Ingest Template'!D77</f>
        <v/>
      </c>
      <c r="S77" s="5" t="str">
        <f>'Ingest Template'!G77</f>
        <v/>
      </c>
      <c r="T77" s="5" t="str">
        <f>'Ingest Template'!H77</f>
        <v/>
      </c>
      <c r="U77" s="5" t="str">
        <f>LOWER(SUBSTITUTE(SUBSTITUTE(SUBSTITUTE(SUBSTITUTE(SUBSTITUTE('Ingest Template'!I77,"https:",""),"www.",""),"/",""),"?hl=en",""),"instagram.com",""))</f>
        <v/>
      </c>
      <c r="V77" s="10" t="str">
        <f>'Ingest Template'!J77</f>
        <v/>
      </c>
      <c r="W77" s="10" t="str">
        <f>'Ingest Template'!K77</f>
        <v/>
      </c>
      <c r="X77" s="5"/>
      <c r="Y77" s="5" t="str">
        <f>SUBSTITUTE(SUBSTITUTE(SUBSTITUTE('Ingest Template'!L77,"http:",""),"https:",""),"/","")</f>
        <v/>
      </c>
      <c r="Z77" s="5" t="str">
        <f t="array" ref="Z77">IF('Ingest Template'!A77="Standard",(IF(ISBLANK('Ingest Template'!M77),"", 'Ingest Template'!M77&amp;"|DAR")),(IF(ISBLANK('Ingest Template'!M77),"", 'Ingest Template'!M77&amp;"|Operations - Core Title")))</f>
        <v/>
      </c>
      <c r="AA77" s="5"/>
      <c r="AB77" s="5" t="str">
        <f>'Ingest Template'!F77</f>
        <v/>
      </c>
      <c r="AC77" s="5"/>
      <c r="AD77" s="5"/>
      <c r="AE77" s="5"/>
      <c r="AF77" s="8"/>
      <c r="AG77" s="5" t="str">
        <f t="array" ref="AG77">IF('Ingest Template'!A77="Standard",(CONCATENATE(IF(ISBLANK('Ingest Template'!N77),"", 'Ingest Template'!N77&amp;"|DAR"),CHAR(10), IF(ISBLANK('Ingest Template'!O77),"", 'Ingest Template'!O77&amp;"|DAR"),CHAR(10), IF(ISBLANK('Ingest Template'!P77),"", 'Ingest Template'!P77&amp;"|DAR"))),(CONCATENATE(IF(ISBLANK('Ingest Template'!N77),"", 'Ingest Template'!N77&amp;"|Operations - Core Title"),CHAR(10), IF(ISBLANK('Ingest Template'!O77),"", 'Ingest Template'!O77&amp;"|Operations - Core Title"),CHAR(10), IF(ISBLANK('Ingest Template'!P77),"", 'Ingest Template'!P77&amp;"|Operations - Core Title"))))</f>
        <v>#|Operations - Core Title
</v>
      </c>
      <c r="AH77" s="5"/>
      <c r="AI77" s="5"/>
      <c r="AJ77" s="5"/>
      <c r="AK77" s="5"/>
      <c r="AL77" s="5"/>
    </row>
    <row r="78">
      <c r="A78" s="5"/>
      <c r="B78" s="5" t="str">
        <f>'Ingest Template'!B78&amp;IF('Ingest Template'!A78 = "Standard", " - DAR","")</f>
        <v/>
      </c>
      <c r="C78" s="6" t="str">
        <f>'Ingest Template'!C78</f>
        <v/>
      </c>
      <c r="D78" s="7" t="str">
        <f>'Ingest Template'!E78</f>
        <v/>
      </c>
      <c r="E78" s="5"/>
      <c r="F78" s="5"/>
      <c r="G78" s="5"/>
      <c r="H78" s="7"/>
      <c r="I78" s="5"/>
      <c r="J78" s="7" t="str">
        <f>'Ingest Template'!Q78</f>
        <v/>
      </c>
      <c r="K78" s="5" t="str">
        <f>'Ingest Template'!R78</f>
        <v/>
      </c>
      <c r="L78" s="8" t="s">
        <v>38</v>
      </c>
      <c r="M78" s="9"/>
      <c r="N78" s="5"/>
      <c r="O78" s="5"/>
      <c r="P78" s="5"/>
      <c r="Q78" s="5"/>
      <c r="R78" s="5" t="str">
        <f>'Ingest Template'!D78</f>
        <v/>
      </c>
      <c r="S78" s="5" t="str">
        <f>'Ingest Template'!G78</f>
        <v/>
      </c>
      <c r="T78" s="5" t="str">
        <f>'Ingest Template'!H78</f>
        <v/>
      </c>
      <c r="U78" s="5" t="str">
        <f>LOWER(SUBSTITUTE(SUBSTITUTE(SUBSTITUTE(SUBSTITUTE(SUBSTITUTE('Ingest Template'!I78,"https:",""),"www.",""),"/",""),"?hl=en",""),"instagram.com",""))</f>
        <v/>
      </c>
      <c r="V78" s="10" t="str">
        <f>'Ingest Template'!J78</f>
        <v/>
      </c>
      <c r="W78" s="10" t="str">
        <f>'Ingest Template'!K78</f>
        <v/>
      </c>
      <c r="X78" s="5"/>
      <c r="Y78" s="5" t="str">
        <f>SUBSTITUTE(SUBSTITUTE(SUBSTITUTE('Ingest Template'!L78,"http:",""),"https:",""),"/","")</f>
        <v/>
      </c>
      <c r="Z78" s="5" t="str">
        <f t="array" ref="Z78">IF('Ingest Template'!A78="Standard",(IF(ISBLANK('Ingest Template'!M78),"", 'Ingest Template'!M78&amp;"|DAR")),(IF(ISBLANK('Ingest Template'!M78),"", 'Ingest Template'!M78&amp;"|Operations - Core Title")))</f>
        <v/>
      </c>
      <c r="AA78" s="5"/>
      <c r="AB78" s="5" t="str">
        <f>'Ingest Template'!F78</f>
        <v/>
      </c>
      <c r="AC78" s="5"/>
      <c r="AD78" s="5"/>
      <c r="AE78" s="5"/>
      <c r="AF78" s="8"/>
      <c r="AG78" s="5" t="str">
        <f t="array" ref="AG78">IF('Ingest Template'!A78="Standard",(CONCATENATE(IF(ISBLANK('Ingest Template'!N78),"", 'Ingest Template'!N78&amp;"|DAR"),CHAR(10), IF(ISBLANK('Ingest Template'!O78),"", 'Ingest Template'!O78&amp;"|DAR"),CHAR(10), IF(ISBLANK('Ingest Template'!P78),"", 'Ingest Template'!P78&amp;"|DAR"))),(CONCATENATE(IF(ISBLANK('Ingest Template'!N78),"", 'Ingest Template'!N78&amp;"|Operations - Core Title"),CHAR(10), IF(ISBLANK('Ingest Template'!O78),"", 'Ingest Template'!O78&amp;"|Operations - Core Title"),CHAR(10), IF(ISBLANK('Ingest Template'!P78),"", 'Ingest Template'!P78&amp;"|Operations - Core Title"))))</f>
        <v>#|Operations - Core Title
</v>
      </c>
      <c r="AH78" s="5"/>
      <c r="AI78" s="5"/>
      <c r="AJ78" s="5"/>
      <c r="AK78" s="5"/>
      <c r="AL78" s="5"/>
    </row>
    <row r="79">
      <c r="A79" s="5"/>
      <c r="B79" s="5" t="str">
        <f>'Ingest Template'!B79&amp;IF('Ingest Template'!A79 = "Standard", " - DAR","")</f>
        <v/>
      </c>
      <c r="C79" s="6" t="str">
        <f>'Ingest Template'!C79</f>
        <v/>
      </c>
      <c r="D79" s="7" t="str">
        <f>'Ingest Template'!E79</f>
        <v/>
      </c>
      <c r="E79" s="5"/>
      <c r="F79" s="5"/>
      <c r="G79" s="5"/>
      <c r="H79" s="7"/>
      <c r="I79" s="5"/>
      <c r="J79" s="7" t="str">
        <f>'Ingest Template'!Q79</f>
        <v/>
      </c>
      <c r="K79" s="5" t="str">
        <f>'Ingest Template'!R79</f>
        <v/>
      </c>
      <c r="L79" s="8" t="s">
        <v>38</v>
      </c>
      <c r="M79" s="9"/>
      <c r="N79" s="5"/>
      <c r="O79" s="5"/>
      <c r="P79" s="5"/>
      <c r="Q79" s="5"/>
      <c r="R79" s="5" t="str">
        <f>'Ingest Template'!D79</f>
        <v/>
      </c>
      <c r="S79" s="5" t="str">
        <f>'Ingest Template'!G79</f>
        <v/>
      </c>
      <c r="T79" s="5" t="str">
        <f>'Ingest Template'!H79</f>
        <v/>
      </c>
      <c r="U79" s="5" t="str">
        <f>LOWER(SUBSTITUTE(SUBSTITUTE(SUBSTITUTE(SUBSTITUTE(SUBSTITUTE('Ingest Template'!I79,"https:",""),"www.",""),"/",""),"?hl=en",""),"instagram.com",""))</f>
        <v/>
      </c>
      <c r="V79" s="10" t="str">
        <f>'Ingest Template'!J79</f>
        <v/>
      </c>
      <c r="W79" s="10" t="str">
        <f>'Ingest Template'!K79</f>
        <v/>
      </c>
      <c r="X79" s="5"/>
      <c r="Y79" s="5" t="str">
        <f>SUBSTITUTE(SUBSTITUTE(SUBSTITUTE('Ingest Template'!L79,"http:",""),"https:",""),"/","")</f>
        <v/>
      </c>
      <c r="Z79" s="5" t="str">
        <f t="array" ref="Z79">IF('Ingest Template'!A79="Standard",(IF(ISBLANK('Ingest Template'!M79),"", 'Ingest Template'!M79&amp;"|DAR")),(IF(ISBLANK('Ingest Template'!M79),"", 'Ingest Template'!M79&amp;"|Operations - Core Title")))</f>
        <v/>
      </c>
      <c r="AA79" s="5"/>
      <c r="AB79" s="5" t="str">
        <f>'Ingest Template'!F79</f>
        <v/>
      </c>
      <c r="AC79" s="5"/>
      <c r="AD79" s="5"/>
      <c r="AE79" s="5"/>
      <c r="AF79" s="8"/>
      <c r="AG79" s="5" t="str">
        <f t="array" ref="AG79">IF('Ingest Template'!A79="Standard",(CONCATENATE(IF(ISBLANK('Ingest Template'!N79),"", 'Ingest Template'!N79&amp;"|DAR"),CHAR(10), IF(ISBLANK('Ingest Template'!O79),"", 'Ingest Template'!O79&amp;"|DAR"),CHAR(10), IF(ISBLANK('Ingest Template'!P79),"", 'Ingest Template'!P79&amp;"|DAR"))),(CONCATENATE(IF(ISBLANK('Ingest Template'!N79),"", 'Ingest Template'!N79&amp;"|Operations - Core Title"),CHAR(10), IF(ISBLANK('Ingest Template'!O79),"", 'Ingest Template'!O79&amp;"|Operations - Core Title"),CHAR(10), IF(ISBLANK('Ingest Template'!P79),"", 'Ingest Template'!P79&amp;"|Operations - Core Title"))))</f>
        <v>#|Operations - Core Title
</v>
      </c>
      <c r="AH79" s="5"/>
      <c r="AI79" s="5"/>
      <c r="AJ79" s="5"/>
      <c r="AK79" s="5"/>
      <c r="AL79" s="5"/>
    </row>
    <row r="80">
      <c r="A80" s="5"/>
      <c r="B80" s="5" t="str">
        <f>'Ingest Template'!B80&amp;IF('Ingest Template'!A80 = "Standard", " - DAR","")</f>
        <v/>
      </c>
      <c r="C80" s="6" t="str">
        <f>'Ingest Template'!C80</f>
        <v/>
      </c>
      <c r="D80" s="7" t="str">
        <f>'Ingest Template'!E80</f>
        <v/>
      </c>
      <c r="E80" s="5"/>
      <c r="F80" s="5"/>
      <c r="G80" s="5"/>
      <c r="H80" s="7"/>
      <c r="I80" s="5"/>
      <c r="J80" s="7" t="str">
        <f>'Ingest Template'!Q80</f>
        <v/>
      </c>
      <c r="K80" s="5" t="str">
        <f>'Ingest Template'!R80</f>
        <v/>
      </c>
      <c r="L80" s="8" t="s">
        <v>38</v>
      </c>
      <c r="M80" s="9"/>
      <c r="N80" s="5"/>
      <c r="O80" s="5"/>
      <c r="P80" s="5"/>
      <c r="Q80" s="5"/>
      <c r="R80" s="5" t="str">
        <f>'Ingest Template'!D80</f>
        <v/>
      </c>
      <c r="S80" s="5" t="str">
        <f>'Ingest Template'!G80</f>
        <v/>
      </c>
      <c r="T80" s="5" t="str">
        <f>'Ingest Template'!H80</f>
        <v/>
      </c>
      <c r="U80" s="5" t="str">
        <f>LOWER(SUBSTITUTE(SUBSTITUTE(SUBSTITUTE(SUBSTITUTE(SUBSTITUTE('Ingest Template'!I80,"https:",""),"www.",""),"/",""),"?hl=en",""),"instagram.com",""))</f>
        <v/>
      </c>
      <c r="V80" s="10" t="str">
        <f>'Ingest Template'!J80</f>
        <v/>
      </c>
      <c r="W80" s="10" t="str">
        <f>'Ingest Template'!K80</f>
        <v/>
      </c>
      <c r="X80" s="5"/>
      <c r="Y80" s="5" t="str">
        <f>SUBSTITUTE(SUBSTITUTE(SUBSTITUTE('Ingest Template'!L80,"http:",""),"https:",""),"/","")</f>
        <v/>
      </c>
      <c r="Z80" s="5" t="str">
        <f t="array" ref="Z80">IF('Ingest Template'!A80="Standard",(IF(ISBLANK('Ingest Template'!M80),"", 'Ingest Template'!M80&amp;"|DAR")),(IF(ISBLANK('Ingest Template'!M80),"", 'Ingest Template'!M80&amp;"|Operations - Core Title")))</f>
        <v/>
      </c>
      <c r="AA80" s="5"/>
      <c r="AB80" s="5" t="str">
        <f>'Ingest Template'!F80</f>
        <v/>
      </c>
      <c r="AC80" s="5"/>
      <c r="AD80" s="5"/>
      <c r="AE80" s="5"/>
      <c r="AF80" s="8"/>
      <c r="AG80" s="5" t="str">
        <f t="array" ref="AG80">IF('Ingest Template'!A80="Standard",(CONCATENATE(IF(ISBLANK('Ingest Template'!N80),"", 'Ingest Template'!N80&amp;"|DAR"),CHAR(10), IF(ISBLANK('Ingest Template'!O80),"", 'Ingest Template'!O80&amp;"|DAR"),CHAR(10), IF(ISBLANK('Ingest Template'!P80),"", 'Ingest Template'!P80&amp;"|DAR"))),(CONCATENATE(IF(ISBLANK('Ingest Template'!N80),"", 'Ingest Template'!N80&amp;"|Operations - Core Title"),CHAR(10), IF(ISBLANK('Ingest Template'!O80),"", 'Ingest Template'!O80&amp;"|Operations - Core Title"),CHAR(10), IF(ISBLANK('Ingest Template'!P80),"", 'Ingest Template'!P80&amp;"|Operations - Core Title"))))</f>
        <v>#|Operations - Core Title
</v>
      </c>
      <c r="AH80" s="5"/>
      <c r="AI80" s="5"/>
      <c r="AJ80" s="5"/>
      <c r="AK80" s="5"/>
      <c r="AL80" s="5"/>
    </row>
    <row r="81">
      <c r="A81" s="5"/>
      <c r="B81" s="5" t="str">
        <f>'Ingest Template'!B81&amp;IF('Ingest Template'!A81 = "Standard", " - DAR","")</f>
        <v/>
      </c>
      <c r="C81" s="6" t="str">
        <f>'Ingest Template'!C81</f>
        <v/>
      </c>
      <c r="D81" s="7" t="str">
        <f>'Ingest Template'!E81</f>
        <v/>
      </c>
      <c r="E81" s="5"/>
      <c r="F81" s="5"/>
      <c r="G81" s="5"/>
      <c r="H81" s="7"/>
      <c r="I81" s="5"/>
      <c r="J81" s="7" t="str">
        <f>'Ingest Template'!Q81</f>
        <v/>
      </c>
      <c r="K81" s="5" t="str">
        <f>'Ingest Template'!R81</f>
        <v/>
      </c>
      <c r="L81" s="8" t="s">
        <v>38</v>
      </c>
      <c r="M81" s="9"/>
      <c r="N81" s="5"/>
      <c r="O81" s="5"/>
      <c r="P81" s="5"/>
      <c r="Q81" s="5"/>
      <c r="R81" s="5" t="str">
        <f>'Ingest Template'!D81</f>
        <v/>
      </c>
      <c r="S81" s="5" t="str">
        <f>'Ingest Template'!G81</f>
        <v/>
      </c>
      <c r="T81" s="5" t="str">
        <f>'Ingest Template'!H81</f>
        <v/>
      </c>
      <c r="U81" s="5" t="str">
        <f>LOWER(SUBSTITUTE(SUBSTITUTE(SUBSTITUTE(SUBSTITUTE(SUBSTITUTE('Ingest Template'!I81,"https:",""),"www.",""),"/",""),"?hl=en",""),"instagram.com",""))</f>
        <v/>
      </c>
      <c r="V81" s="10" t="str">
        <f>'Ingest Template'!J81</f>
        <v/>
      </c>
      <c r="W81" s="10" t="str">
        <f>'Ingest Template'!K81</f>
        <v/>
      </c>
      <c r="X81" s="5"/>
      <c r="Y81" s="5" t="str">
        <f>SUBSTITUTE(SUBSTITUTE(SUBSTITUTE('Ingest Template'!L81,"http:",""),"https:",""),"/","")</f>
        <v/>
      </c>
      <c r="Z81" s="5" t="str">
        <f t="array" ref="Z81">IF('Ingest Template'!A81="Standard",(IF(ISBLANK('Ingest Template'!M81),"", 'Ingest Template'!M81&amp;"|DAR")),(IF(ISBLANK('Ingest Template'!M81),"", 'Ingest Template'!M81&amp;"|Operations - Core Title")))</f>
        <v/>
      </c>
      <c r="AA81" s="5"/>
      <c r="AB81" s="5" t="str">
        <f>'Ingest Template'!F81</f>
        <v/>
      </c>
      <c r="AC81" s="5"/>
      <c r="AD81" s="5"/>
      <c r="AE81" s="5"/>
      <c r="AF81" s="8"/>
      <c r="AG81" s="5" t="str">
        <f t="array" ref="AG81">IF('Ingest Template'!A81="Standard",(CONCATENATE(IF(ISBLANK('Ingest Template'!N81),"", 'Ingest Template'!N81&amp;"|DAR"),CHAR(10), IF(ISBLANK('Ingest Template'!O81),"", 'Ingest Template'!O81&amp;"|DAR"),CHAR(10), IF(ISBLANK('Ingest Template'!P81),"", 'Ingest Template'!P81&amp;"|DAR"))),(CONCATENATE(IF(ISBLANK('Ingest Template'!N81),"", 'Ingest Template'!N81&amp;"|Operations - Core Title"),CHAR(10), IF(ISBLANK('Ingest Template'!O81),"", 'Ingest Template'!O81&amp;"|Operations - Core Title"),CHAR(10), IF(ISBLANK('Ingest Template'!P81),"", 'Ingest Template'!P81&amp;"|Operations - Core Title"))))</f>
        <v>#|Operations - Core Title
</v>
      </c>
      <c r="AH81" s="5"/>
      <c r="AI81" s="5"/>
      <c r="AJ81" s="5"/>
      <c r="AK81" s="5"/>
      <c r="AL81" s="5"/>
    </row>
    <row r="82">
      <c r="A82" s="5"/>
      <c r="B82" s="5" t="str">
        <f>'Ingest Template'!B82&amp;IF('Ingest Template'!A82 = "Standard", " - DAR","")</f>
        <v/>
      </c>
      <c r="C82" s="6" t="str">
        <f>'Ingest Template'!C82</f>
        <v/>
      </c>
      <c r="D82" s="7" t="str">
        <f>'Ingest Template'!E82</f>
        <v/>
      </c>
      <c r="E82" s="5"/>
      <c r="F82" s="5"/>
      <c r="G82" s="5"/>
      <c r="H82" s="7"/>
      <c r="I82" s="5"/>
      <c r="J82" s="7" t="str">
        <f>'Ingest Template'!Q82</f>
        <v/>
      </c>
      <c r="K82" s="5" t="str">
        <f>'Ingest Template'!R82</f>
        <v/>
      </c>
      <c r="L82" s="8" t="s">
        <v>38</v>
      </c>
      <c r="M82" s="9"/>
      <c r="N82" s="5"/>
      <c r="O82" s="5"/>
      <c r="P82" s="5"/>
      <c r="Q82" s="5"/>
      <c r="R82" s="5" t="str">
        <f>'Ingest Template'!D82</f>
        <v/>
      </c>
      <c r="S82" s="5" t="str">
        <f>'Ingest Template'!G82</f>
        <v/>
      </c>
      <c r="T82" s="5" t="str">
        <f>'Ingest Template'!H82</f>
        <v/>
      </c>
      <c r="U82" s="5" t="str">
        <f>LOWER(SUBSTITUTE(SUBSTITUTE(SUBSTITUTE(SUBSTITUTE(SUBSTITUTE('Ingest Template'!I82,"https:",""),"www.",""),"/",""),"?hl=en",""),"instagram.com",""))</f>
        <v/>
      </c>
      <c r="V82" s="10" t="str">
        <f>'Ingest Template'!J82</f>
        <v/>
      </c>
      <c r="W82" s="10" t="str">
        <f>'Ingest Template'!K82</f>
        <v/>
      </c>
      <c r="X82" s="5"/>
      <c r="Y82" s="5" t="str">
        <f>SUBSTITUTE(SUBSTITUTE(SUBSTITUTE('Ingest Template'!L82,"http:",""),"https:",""),"/","")</f>
        <v/>
      </c>
      <c r="Z82" s="5" t="str">
        <f t="array" ref="Z82">IF('Ingest Template'!A82="Standard",(IF(ISBLANK('Ingest Template'!M82),"", 'Ingest Template'!M82&amp;"|DAR")),(IF(ISBLANK('Ingest Template'!M82),"", 'Ingest Template'!M82&amp;"|Operations - Core Title")))</f>
        <v/>
      </c>
      <c r="AA82" s="5"/>
      <c r="AB82" s="5" t="str">
        <f>'Ingest Template'!F82</f>
        <v/>
      </c>
      <c r="AC82" s="5"/>
      <c r="AD82" s="5"/>
      <c r="AE82" s="5"/>
      <c r="AF82" s="8"/>
      <c r="AG82" s="5" t="str">
        <f t="array" ref="AG82">IF('Ingest Template'!A82="Standard",(CONCATENATE(IF(ISBLANK('Ingest Template'!N82),"", 'Ingest Template'!N82&amp;"|DAR"),CHAR(10), IF(ISBLANK('Ingest Template'!O82),"", 'Ingest Template'!O82&amp;"|DAR"),CHAR(10), IF(ISBLANK('Ingest Template'!P82),"", 'Ingest Template'!P82&amp;"|DAR"))),(CONCATENATE(IF(ISBLANK('Ingest Template'!N82),"", 'Ingest Template'!N82&amp;"|Operations - Core Title"),CHAR(10), IF(ISBLANK('Ingest Template'!O82),"", 'Ingest Template'!O82&amp;"|Operations - Core Title"),CHAR(10), IF(ISBLANK('Ingest Template'!P82),"", 'Ingest Template'!P82&amp;"|Operations - Core Title"))))</f>
        <v>#|Operations - Core Title
</v>
      </c>
      <c r="AH82" s="5"/>
      <c r="AI82" s="5"/>
      <c r="AJ82" s="5"/>
      <c r="AK82" s="5"/>
      <c r="AL82" s="5"/>
    </row>
    <row r="83">
      <c r="A83" s="5"/>
      <c r="B83" s="5" t="str">
        <f>'Ingest Template'!B83&amp;IF('Ingest Template'!A83 = "Standard", " - DAR","")</f>
        <v/>
      </c>
      <c r="C83" s="6" t="str">
        <f>'Ingest Template'!C83</f>
        <v/>
      </c>
      <c r="D83" s="7" t="str">
        <f>'Ingest Template'!E83</f>
        <v/>
      </c>
      <c r="E83" s="5"/>
      <c r="F83" s="5"/>
      <c r="G83" s="5"/>
      <c r="H83" s="7"/>
      <c r="I83" s="5"/>
      <c r="J83" s="7" t="str">
        <f>'Ingest Template'!Q83</f>
        <v/>
      </c>
      <c r="K83" s="5" t="str">
        <f>'Ingest Template'!R83</f>
        <v/>
      </c>
      <c r="L83" s="8" t="s">
        <v>38</v>
      </c>
      <c r="M83" s="9"/>
      <c r="N83" s="5"/>
      <c r="O83" s="5"/>
      <c r="P83" s="5"/>
      <c r="Q83" s="5"/>
      <c r="R83" s="5" t="str">
        <f>'Ingest Template'!D83</f>
        <v/>
      </c>
      <c r="S83" s="5" t="str">
        <f>'Ingest Template'!G83</f>
        <v/>
      </c>
      <c r="T83" s="5" t="str">
        <f>'Ingest Template'!H83</f>
        <v/>
      </c>
      <c r="U83" s="5" t="str">
        <f>LOWER(SUBSTITUTE(SUBSTITUTE(SUBSTITUTE(SUBSTITUTE(SUBSTITUTE('Ingest Template'!I83,"https:",""),"www.",""),"/",""),"?hl=en",""),"instagram.com",""))</f>
        <v/>
      </c>
      <c r="V83" s="10" t="str">
        <f>'Ingest Template'!J83</f>
        <v/>
      </c>
      <c r="W83" s="10" t="str">
        <f>'Ingest Template'!K83</f>
        <v/>
      </c>
      <c r="X83" s="5"/>
      <c r="Y83" s="5" t="str">
        <f>SUBSTITUTE(SUBSTITUTE(SUBSTITUTE('Ingest Template'!L83,"http:",""),"https:",""),"/","")</f>
        <v/>
      </c>
      <c r="Z83" s="5" t="str">
        <f t="array" ref="Z83">IF('Ingest Template'!A83="Standard",(IF(ISBLANK('Ingest Template'!M83),"", 'Ingest Template'!M83&amp;"|DAR")),(IF(ISBLANK('Ingest Template'!M83),"", 'Ingest Template'!M83&amp;"|Operations - Core Title")))</f>
        <v/>
      </c>
      <c r="AA83" s="5"/>
      <c r="AB83" s="5" t="str">
        <f>'Ingest Template'!F83</f>
        <v/>
      </c>
      <c r="AC83" s="5"/>
      <c r="AD83" s="5"/>
      <c r="AE83" s="5"/>
      <c r="AF83" s="8"/>
      <c r="AG83" s="5" t="str">
        <f t="array" ref="AG83">IF('Ingest Template'!A83="Standard",(CONCATENATE(IF(ISBLANK('Ingest Template'!N83),"", 'Ingest Template'!N83&amp;"|DAR"),CHAR(10), IF(ISBLANK('Ingest Template'!O83),"", 'Ingest Template'!O83&amp;"|DAR"),CHAR(10), IF(ISBLANK('Ingest Template'!P83),"", 'Ingest Template'!P83&amp;"|DAR"))),(CONCATENATE(IF(ISBLANK('Ingest Template'!N83),"", 'Ingest Template'!N83&amp;"|Operations - Core Title"),CHAR(10), IF(ISBLANK('Ingest Template'!O83),"", 'Ingest Template'!O83&amp;"|Operations - Core Title"),CHAR(10), IF(ISBLANK('Ingest Template'!P83),"", 'Ingest Template'!P83&amp;"|Operations - Core Title"))))</f>
        <v>#|Operations - Core Title
</v>
      </c>
      <c r="AH83" s="5"/>
      <c r="AI83" s="5"/>
      <c r="AJ83" s="5"/>
      <c r="AK83" s="5"/>
      <c r="AL83" s="5"/>
    </row>
    <row r="84">
      <c r="A84" s="5"/>
      <c r="B84" s="5" t="str">
        <f>'Ingest Template'!B84&amp;IF('Ingest Template'!A84 = "Standard", " - DAR","")</f>
        <v/>
      </c>
      <c r="C84" s="6" t="str">
        <f>'Ingest Template'!C84</f>
        <v/>
      </c>
      <c r="D84" s="7" t="str">
        <f>'Ingest Template'!E84</f>
        <v/>
      </c>
      <c r="E84" s="5"/>
      <c r="F84" s="5"/>
      <c r="G84" s="5"/>
      <c r="H84" s="7"/>
      <c r="I84" s="5"/>
      <c r="J84" s="7" t="str">
        <f>'Ingest Template'!Q84</f>
        <v/>
      </c>
      <c r="K84" s="5" t="str">
        <f>'Ingest Template'!R84</f>
        <v/>
      </c>
      <c r="L84" s="8" t="s">
        <v>38</v>
      </c>
      <c r="M84" s="9"/>
      <c r="N84" s="5"/>
      <c r="O84" s="5"/>
      <c r="P84" s="5"/>
      <c r="Q84" s="5"/>
      <c r="R84" s="5" t="str">
        <f>'Ingest Template'!D84</f>
        <v/>
      </c>
      <c r="S84" s="5" t="str">
        <f>'Ingest Template'!G84</f>
        <v/>
      </c>
      <c r="T84" s="5" t="str">
        <f>'Ingest Template'!H84</f>
        <v/>
      </c>
      <c r="U84" s="5" t="str">
        <f>LOWER(SUBSTITUTE(SUBSTITUTE(SUBSTITUTE(SUBSTITUTE(SUBSTITUTE('Ingest Template'!I84,"https:",""),"www.",""),"/",""),"?hl=en",""),"instagram.com",""))</f>
        <v/>
      </c>
      <c r="V84" s="10" t="str">
        <f>'Ingest Template'!J84</f>
        <v/>
      </c>
      <c r="W84" s="10" t="str">
        <f>'Ingest Template'!K84</f>
        <v/>
      </c>
      <c r="X84" s="5"/>
      <c r="Y84" s="5" t="str">
        <f>SUBSTITUTE(SUBSTITUTE(SUBSTITUTE('Ingest Template'!L84,"http:",""),"https:",""),"/","")</f>
        <v/>
      </c>
      <c r="Z84" s="5" t="str">
        <f t="array" ref="Z84">IF('Ingest Template'!A84="Standard",(IF(ISBLANK('Ingest Template'!M84),"", 'Ingest Template'!M84&amp;"|DAR")),(IF(ISBLANK('Ingest Template'!M84),"", 'Ingest Template'!M84&amp;"|Operations - Core Title")))</f>
        <v/>
      </c>
      <c r="AA84" s="5"/>
      <c r="AB84" s="5" t="str">
        <f>'Ingest Template'!F84</f>
        <v/>
      </c>
      <c r="AC84" s="5"/>
      <c r="AD84" s="5"/>
      <c r="AE84" s="5"/>
      <c r="AF84" s="8"/>
      <c r="AG84" s="5" t="str">
        <f t="array" ref="AG84">IF('Ingest Template'!A84="Standard",(CONCATENATE(IF(ISBLANK('Ingest Template'!N84),"", 'Ingest Template'!N84&amp;"|DAR"),CHAR(10), IF(ISBLANK('Ingest Template'!O84),"", 'Ingest Template'!O84&amp;"|DAR"),CHAR(10), IF(ISBLANK('Ingest Template'!P84),"", 'Ingest Template'!P84&amp;"|DAR"))),(CONCATENATE(IF(ISBLANK('Ingest Template'!N84),"", 'Ingest Template'!N84&amp;"|Operations - Core Title"),CHAR(10), IF(ISBLANK('Ingest Template'!O84),"", 'Ingest Template'!O84&amp;"|Operations - Core Title"),CHAR(10), IF(ISBLANK('Ingest Template'!P84),"", 'Ingest Template'!P84&amp;"|Operations - Core Title"))))</f>
        <v>#|Operations - Core Title
</v>
      </c>
      <c r="AH84" s="5"/>
      <c r="AI84" s="5"/>
      <c r="AJ84" s="5"/>
      <c r="AK84" s="5"/>
      <c r="AL84" s="5"/>
    </row>
    <row r="85">
      <c r="A85" s="5"/>
      <c r="B85" s="5" t="str">
        <f>'Ingest Template'!B85&amp;IF('Ingest Template'!A85 = "Standard", " - DAR","")</f>
        <v/>
      </c>
      <c r="C85" s="6" t="str">
        <f>'Ingest Template'!C85</f>
        <v/>
      </c>
      <c r="D85" s="7" t="str">
        <f>'Ingest Template'!E85</f>
        <v/>
      </c>
      <c r="E85" s="5"/>
      <c r="F85" s="5"/>
      <c r="G85" s="5"/>
      <c r="H85" s="7"/>
      <c r="I85" s="5"/>
      <c r="J85" s="7" t="str">
        <f>'Ingest Template'!Q85</f>
        <v/>
      </c>
      <c r="K85" s="5" t="str">
        <f>'Ingest Template'!R85</f>
        <v/>
      </c>
      <c r="L85" s="8" t="s">
        <v>38</v>
      </c>
      <c r="M85" s="9"/>
      <c r="N85" s="5"/>
      <c r="O85" s="5"/>
      <c r="P85" s="5"/>
      <c r="Q85" s="5"/>
      <c r="R85" s="5" t="str">
        <f>'Ingest Template'!D85</f>
        <v/>
      </c>
      <c r="S85" s="5" t="str">
        <f>'Ingest Template'!G85</f>
        <v/>
      </c>
      <c r="T85" s="5" t="str">
        <f>'Ingest Template'!H85</f>
        <v/>
      </c>
      <c r="U85" s="5" t="str">
        <f>LOWER(SUBSTITUTE(SUBSTITUTE(SUBSTITUTE(SUBSTITUTE(SUBSTITUTE('Ingest Template'!I85,"https:",""),"www.",""),"/",""),"?hl=en",""),"instagram.com",""))</f>
        <v/>
      </c>
      <c r="V85" s="10" t="str">
        <f>'Ingest Template'!J85</f>
        <v/>
      </c>
      <c r="W85" s="10" t="str">
        <f>'Ingest Template'!K85</f>
        <v/>
      </c>
      <c r="X85" s="5"/>
      <c r="Y85" s="5" t="str">
        <f>SUBSTITUTE(SUBSTITUTE(SUBSTITUTE('Ingest Template'!L85,"http:",""),"https:",""),"/","")</f>
        <v/>
      </c>
      <c r="Z85" s="5" t="str">
        <f t="array" ref="Z85">IF('Ingest Template'!A85="Standard",(IF(ISBLANK('Ingest Template'!M85),"", 'Ingest Template'!M85&amp;"|DAR")),(IF(ISBLANK('Ingest Template'!M85),"", 'Ingest Template'!M85&amp;"|Operations - Core Title")))</f>
        <v/>
      </c>
      <c r="AA85" s="5"/>
      <c r="AB85" s="5" t="str">
        <f>'Ingest Template'!F85</f>
        <v/>
      </c>
      <c r="AC85" s="5"/>
      <c r="AD85" s="5"/>
      <c r="AE85" s="5"/>
      <c r="AF85" s="8"/>
      <c r="AG85" s="5" t="str">
        <f t="array" ref="AG85">IF('Ingest Template'!A85="Standard",(CONCATENATE(IF(ISBLANK('Ingest Template'!N85),"", 'Ingest Template'!N85&amp;"|DAR"),CHAR(10), IF(ISBLANK('Ingest Template'!O85),"", 'Ingest Template'!O85&amp;"|DAR"),CHAR(10), IF(ISBLANK('Ingest Template'!P85),"", 'Ingest Template'!P85&amp;"|DAR"))),(CONCATENATE(IF(ISBLANK('Ingest Template'!N85),"", 'Ingest Template'!N85&amp;"|Operations - Core Title"),CHAR(10), IF(ISBLANK('Ingest Template'!O85),"", 'Ingest Template'!O85&amp;"|Operations - Core Title"),CHAR(10), IF(ISBLANK('Ingest Template'!P85),"", 'Ingest Template'!P85&amp;"|Operations - Core Title"))))</f>
        <v>#|Operations - Core Title
</v>
      </c>
      <c r="AH85" s="5"/>
      <c r="AI85" s="5"/>
      <c r="AJ85" s="5"/>
      <c r="AK85" s="5"/>
      <c r="AL85" s="5"/>
    </row>
    <row r="86">
      <c r="A86" s="5"/>
      <c r="B86" s="5" t="str">
        <f>'Ingest Template'!B86&amp;IF('Ingest Template'!A86 = "Standard", " - DAR","")</f>
        <v/>
      </c>
      <c r="C86" s="6" t="str">
        <f>'Ingest Template'!C86</f>
        <v/>
      </c>
      <c r="D86" s="7" t="str">
        <f>'Ingest Template'!E86</f>
        <v/>
      </c>
      <c r="E86" s="5"/>
      <c r="F86" s="5"/>
      <c r="G86" s="5"/>
      <c r="H86" s="7"/>
      <c r="I86" s="5"/>
      <c r="J86" s="7" t="str">
        <f>'Ingest Template'!Q86</f>
        <v/>
      </c>
      <c r="K86" s="5" t="str">
        <f>'Ingest Template'!R86</f>
        <v/>
      </c>
      <c r="L86" s="8" t="s">
        <v>38</v>
      </c>
      <c r="M86" s="9"/>
      <c r="N86" s="5"/>
      <c r="O86" s="5"/>
      <c r="P86" s="5"/>
      <c r="Q86" s="5"/>
      <c r="R86" s="5" t="str">
        <f>'Ingest Template'!D86</f>
        <v/>
      </c>
      <c r="S86" s="5" t="str">
        <f>'Ingest Template'!G86</f>
        <v/>
      </c>
      <c r="T86" s="5" t="str">
        <f>'Ingest Template'!H86</f>
        <v/>
      </c>
      <c r="U86" s="5" t="str">
        <f>LOWER(SUBSTITUTE(SUBSTITUTE(SUBSTITUTE(SUBSTITUTE(SUBSTITUTE('Ingest Template'!I86,"https:",""),"www.",""),"/",""),"?hl=en",""),"instagram.com",""))</f>
        <v/>
      </c>
      <c r="V86" s="10" t="str">
        <f>'Ingest Template'!J86</f>
        <v/>
      </c>
      <c r="W86" s="10" t="str">
        <f>'Ingest Template'!K86</f>
        <v/>
      </c>
      <c r="X86" s="5"/>
      <c r="Y86" s="5" t="str">
        <f>SUBSTITUTE(SUBSTITUTE(SUBSTITUTE('Ingest Template'!L86,"http:",""),"https:",""),"/","")</f>
        <v/>
      </c>
      <c r="Z86" s="5" t="str">
        <f t="array" ref="Z86">IF('Ingest Template'!A86="Standard",(IF(ISBLANK('Ingest Template'!M86),"", 'Ingest Template'!M86&amp;"|DAR")),(IF(ISBLANK('Ingest Template'!M86),"", 'Ingest Template'!M86&amp;"|Operations - Core Title")))</f>
        <v/>
      </c>
      <c r="AA86" s="5"/>
      <c r="AB86" s="5" t="str">
        <f>'Ingest Template'!F86</f>
        <v/>
      </c>
      <c r="AC86" s="5"/>
      <c r="AD86" s="5"/>
      <c r="AE86" s="5"/>
      <c r="AF86" s="8"/>
      <c r="AG86" s="5" t="str">
        <f t="array" ref="AG86">IF('Ingest Template'!A86="Standard",(CONCATENATE(IF(ISBLANK('Ingest Template'!N86),"", 'Ingest Template'!N86&amp;"|DAR"),CHAR(10), IF(ISBLANK('Ingest Template'!O86),"", 'Ingest Template'!O86&amp;"|DAR"),CHAR(10), IF(ISBLANK('Ingest Template'!P86),"", 'Ingest Template'!P86&amp;"|DAR"))),(CONCATENATE(IF(ISBLANK('Ingest Template'!N86),"", 'Ingest Template'!N86&amp;"|Operations - Core Title"),CHAR(10), IF(ISBLANK('Ingest Template'!O86),"", 'Ingest Template'!O86&amp;"|Operations - Core Title"),CHAR(10), IF(ISBLANK('Ingest Template'!P86),"", 'Ingest Template'!P86&amp;"|Operations - Core Title"))))</f>
        <v>#|Operations - Core Title
</v>
      </c>
      <c r="AH86" s="5"/>
      <c r="AI86" s="5"/>
      <c r="AJ86" s="5"/>
      <c r="AK86" s="5"/>
      <c r="AL86" s="5"/>
    </row>
    <row r="87">
      <c r="A87" s="5"/>
      <c r="B87" s="5" t="str">
        <f>'Ingest Template'!B87&amp;IF('Ingest Template'!A87 = "Standard", " - DAR","")</f>
        <v/>
      </c>
      <c r="C87" s="6" t="str">
        <f>'Ingest Template'!C87</f>
        <v/>
      </c>
      <c r="D87" s="7" t="str">
        <f>'Ingest Template'!E87</f>
        <v/>
      </c>
      <c r="E87" s="5"/>
      <c r="F87" s="5"/>
      <c r="G87" s="5"/>
      <c r="H87" s="7"/>
      <c r="I87" s="5"/>
      <c r="J87" s="7" t="str">
        <f>'Ingest Template'!Q87</f>
        <v/>
      </c>
      <c r="K87" s="5" t="str">
        <f>'Ingest Template'!R87</f>
        <v/>
      </c>
      <c r="L87" s="8" t="s">
        <v>38</v>
      </c>
      <c r="M87" s="9"/>
      <c r="N87" s="5"/>
      <c r="O87" s="5"/>
      <c r="P87" s="5"/>
      <c r="Q87" s="5"/>
      <c r="R87" s="5" t="str">
        <f>'Ingest Template'!D87</f>
        <v/>
      </c>
      <c r="S87" s="5" t="str">
        <f>'Ingest Template'!G87</f>
        <v/>
      </c>
      <c r="T87" s="5" t="str">
        <f>'Ingest Template'!H87</f>
        <v/>
      </c>
      <c r="U87" s="5" t="str">
        <f>LOWER(SUBSTITUTE(SUBSTITUTE(SUBSTITUTE(SUBSTITUTE(SUBSTITUTE('Ingest Template'!I87,"https:",""),"www.",""),"/",""),"?hl=en",""),"instagram.com",""))</f>
        <v/>
      </c>
      <c r="V87" s="10" t="str">
        <f>'Ingest Template'!J87</f>
        <v/>
      </c>
      <c r="W87" s="10" t="str">
        <f>'Ingest Template'!K87</f>
        <v/>
      </c>
      <c r="X87" s="5"/>
      <c r="Y87" s="5" t="str">
        <f>SUBSTITUTE(SUBSTITUTE(SUBSTITUTE('Ingest Template'!L87,"http:",""),"https:",""),"/","")</f>
        <v/>
      </c>
      <c r="Z87" s="5" t="str">
        <f t="array" ref="Z87">IF('Ingest Template'!A87="Standard",(IF(ISBLANK('Ingest Template'!M87),"", 'Ingest Template'!M87&amp;"|DAR")),(IF(ISBLANK('Ingest Template'!M87),"", 'Ingest Template'!M87&amp;"|Operations - Core Title")))</f>
        <v/>
      </c>
      <c r="AA87" s="5"/>
      <c r="AB87" s="5" t="str">
        <f>'Ingest Template'!F87</f>
        <v/>
      </c>
      <c r="AC87" s="5"/>
      <c r="AD87" s="5"/>
      <c r="AE87" s="5"/>
      <c r="AF87" s="8"/>
      <c r="AG87" s="5" t="str">
        <f t="array" ref="AG87">IF('Ingest Template'!A87="Standard",(CONCATENATE(IF(ISBLANK('Ingest Template'!N87),"", 'Ingest Template'!N87&amp;"|DAR"),CHAR(10), IF(ISBLANK('Ingest Template'!O87),"", 'Ingest Template'!O87&amp;"|DAR"),CHAR(10), IF(ISBLANK('Ingest Template'!P87),"", 'Ingest Template'!P87&amp;"|DAR"))),(CONCATENATE(IF(ISBLANK('Ingest Template'!N87),"", 'Ingest Template'!N87&amp;"|Operations - Core Title"),CHAR(10), IF(ISBLANK('Ingest Template'!O87),"", 'Ingest Template'!O87&amp;"|Operations - Core Title"),CHAR(10), IF(ISBLANK('Ingest Template'!P87),"", 'Ingest Template'!P87&amp;"|Operations - Core Title"))))</f>
        <v>#|Operations - Core Title
</v>
      </c>
      <c r="AH87" s="5"/>
      <c r="AI87" s="5"/>
      <c r="AJ87" s="5"/>
      <c r="AK87" s="5"/>
      <c r="AL87" s="5"/>
    </row>
    <row r="88">
      <c r="A88" s="5"/>
      <c r="B88" s="5" t="str">
        <f>'Ingest Template'!B88&amp;IF('Ingest Template'!A88 = "Standard", " - DAR","")</f>
        <v/>
      </c>
      <c r="C88" s="6" t="str">
        <f>'Ingest Template'!C88</f>
        <v/>
      </c>
      <c r="D88" s="7" t="str">
        <f>'Ingest Template'!E88</f>
        <v/>
      </c>
      <c r="E88" s="5"/>
      <c r="F88" s="5"/>
      <c r="G88" s="5"/>
      <c r="H88" s="7"/>
      <c r="I88" s="5"/>
      <c r="J88" s="7" t="str">
        <f>'Ingest Template'!Q88</f>
        <v/>
      </c>
      <c r="K88" s="5" t="str">
        <f>'Ingest Template'!R88</f>
        <v/>
      </c>
      <c r="L88" s="8" t="s">
        <v>38</v>
      </c>
      <c r="M88" s="9"/>
      <c r="N88" s="5"/>
      <c r="O88" s="5"/>
      <c r="P88" s="5"/>
      <c r="Q88" s="5"/>
      <c r="R88" s="5" t="str">
        <f>'Ingest Template'!D88</f>
        <v/>
      </c>
      <c r="S88" s="5" t="str">
        <f>'Ingest Template'!G88</f>
        <v/>
      </c>
      <c r="T88" s="5" t="str">
        <f>'Ingest Template'!H88</f>
        <v/>
      </c>
      <c r="U88" s="5" t="str">
        <f>LOWER(SUBSTITUTE(SUBSTITUTE(SUBSTITUTE(SUBSTITUTE(SUBSTITUTE('Ingest Template'!I88,"https:",""),"www.",""),"/",""),"?hl=en",""),"instagram.com",""))</f>
        <v/>
      </c>
      <c r="V88" s="10" t="str">
        <f>'Ingest Template'!J88</f>
        <v/>
      </c>
      <c r="W88" s="10" t="str">
        <f>'Ingest Template'!K88</f>
        <v/>
      </c>
      <c r="X88" s="5"/>
      <c r="Y88" s="5" t="str">
        <f>SUBSTITUTE(SUBSTITUTE(SUBSTITUTE('Ingest Template'!L88,"http:",""),"https:",""),"/","")</f>
        <v/>
      </c>
      <c r="Z88" s="5" t="str">
        <f t="array" ref="Z88">IF('Ingest Template'!A88="Standard",(IF(ISBLANK('Ingest Template'!M88),"", 'Ingest Template'!M88&amp;"|DAR")),(IF(ISBLANK('Ingest Template'!M88),"", 'Ingest Template'!M88&amp;"|Operations - Core Title")))</f>
        <v/>
      </c>
      <c r="AA88" s="5"/>
      <c r="AB88" s="5" t="str">
        <f>'Ingest Template'!F88</f>
        <v/>
      </c>
      <c r="AC88" s="5"/>
      <c r="AD88" s="5"/>
      <c r="AE88" s="5"/>
      <c r="AF88" s="8"/>
      <c r="AG88" s="5" t="str">
        <f t="array" ref="AG88">IF('Ingest Template'!A88="Standard",(CONCATENATE(IF(ISBLANK('Ingest Template'!N88),"", 'Ingest Template'!N88&amp;"|DAR"),CHAR(10), IF(ISBLANK('Ingest Template'!O88),"", 'Ingest Template'!O88&amp;"|DAR"),CHAR(10), IF(ISBLANK('Ingest Template'!P88),"", 'Ingest Template'!P88&amp;"|DAR"))),(CONCATENATE(IF(ISBLANK('Ingest Template'!N88),"", 'Ingest Template'!N88&amp;"|Operations - Core Title"),CHAR(10), IF(ISBLANK('Ingest Template'!O88),"", 'Ingest Template'!O88&amp;"|Operations - Core Title"),CHAR(10), IF(ISBLANK('Ingest Template'!P88),"", 'Ingest Template'!P88&amp;"|Operations - Core Title"))))</f>
        <v>#|Operations - Core Title
</v>
      </c>
      <c r="AH88" s="5"/>
      <c r="AI88" s="5"/>
      <c r="AJ88" s="5"/>
      <c r="AK88" s="5"/>
      <c r="AL88" s="5"/>
    </row>
    <row r="89">
      <c r="A89" s="5"/>
      <c r="B89" s="5" t="str">
        <f>'Ingest Template'!B89&amp;IF('Ingest Template'!A89 = "Standard", " - DAR","")</f>
        <v/>
      </c>
      <c r="C89" s="6" t="str">
        <f>'Ingest Template'!C89</f>
        <v/>
      </c>
      <c r="D89" s="7" t="str">
        <f>'Ingest Template'!E89</f>
        <v/>
      </c>
      <c r="E89" s="5"/>
      <c r="F89" s="5"/>
      <c r="G89" s="5"/>
      <c r="H89" s="7"/>
      <c r="I89" s="5"/>
      <c r="J89" s="7" t="str">
        <f>'Ingest Template'!Q89</f>
        <v/>
      </c>
      <c r="K89" s="5" t="str">
        <f>'Ingest Template'!R89</f>
        <v/>
      </c>
      <c r="L89" s="8" t="s">
        <v>38</v>
      </c>
      <c r="M89" s="9"/>
      <c r="N89" s="5"/>
      <c r="O89" s="5"/>
      <c r="P89" s="5"/>
      <c r="Q89" s="5"/>
      <c r="R89" s="5" t="str">
        <f>'Ingest Template'!D89</f>
        <v/>
      </c>
      <c r="S89" s="5" t="str">
        <f>'Ingest Template'!G89</f>
        <v/>
      </c>
      <c r="T89" s="5" t="str">
        <f>'Ingest Template'!H89</f>
        <v/>
      </c>
      <c r="U89" s="5" t="str">
        <f>LOWER(SUBSTITUTE(SUBSTITUTE(SUBSTITUTE(SUBSTITUTE(SUBSTITUTE('Ingest Template'!I89,"https:",""),"www.",""),"/",""),"?hl=en",""),"instagram.com",""))</f>
        <v/>
      </c>
      <c r="V89" s="10" t="str">
        <f>'Ingest Template'!J89</f>
        <v/>
      </c>
      <c r="W89" s="10" t="str">
        <f>'Ingest Template'!K89</f>
        <v/>
      </c>
      <c r="X89" s="5"/>
      <c r="Y89" s="5" t="str">
        <f>SUBSTITUTE(SUBSTITUTE(SUBSTITUTE('Ingest Template'!L89,"http:",""),"https:",""),"/","")</f>
        <v/>
      </c>
      <c r="Z89" s="5" t="str">
        <f t="array" ref="Z89">IF('Ingest Template'!A89="Standard",(IF(ISBLANK('Ingest Template'!M89),"", 'Ingest Template'!M89&amp;"|DAR")),(IF(ISBLANK('Ingest Template'!M89),"", 'Ingest Template'!M89&amp;"|Operations - Core Title")))</f>
        <v/>
      </c>
      <c r="AA89" s="5"/>
      <c r="AB89" s="5" t="str">
        <f>'Ingest Template'!F89</f>
        <v/>
      </c>
      <c r="AC89" s="5"/>
      <c r="AD89" s="5"/>
      <c r="AE89" s="5"/>
      <c r="AF89" s="8"/>
      <c r="AG89" s="5" t="str">
        <f t="array" ref="AG89">IF('Ingest Template'!A89="Standard",(CONCATENATE(IF(ISBLANK('Ingest Template'!N89),"", 'Ingest Template'!N89&amp;"|DAR"),CHAR(10), IF(ISBLANK('Ingest Template'!O89),"", 'Ingest Template'!O89&amp;"|DAR"),CHAR(10), IF(ISBLANK('Ingest Template'!P89),"", 'Ingest Template'!P89&amp;"|DAR"))),(CONCATENATE(IF(ISBLANK('Ingest Template'!N89),"", 'Ingest Template'!N89&amp;"|Operations - Core Title"),CHAR(10), IF(ISBLANK('Ingest Template'!O89),"", 'Ingest Template'!O89&amp;"|Operations - Core Title"),CHAR(10), IF(ISBLANK('Ingest Template'!P89),"", 'Ingest Template'!P89&amp;"|Operations - Core Title"))))</f>
        <v>#|Operations - Core Title
</v>
      </c>
      <c r="AH89" s="5"/>
      <c r="AI89" s="5"/>
      <c r="AJ89" s="5"/>
      <c r="AK89" s="5"/>
      <c r="AL89" s="5"/>
    </row>
    <row r="90">
      <c r="A90" s="5"/>
      <c r="B90" s="5" t="str">
        <f>'Ingest Template'!B90&amp;IF('Ingest Template'!A90 = "Standard", " - DAR","")</f>
        <v/>
      </c>
      <c r="C90" s="6" t="str">
        <f>'Ingest Template'!C90</f>
        <v/>
      </c>
      <c r="D90" s="7" t="str">
        <f>'Ingest Template'!E90</f>
        <v/>
      </c>
      <c r="E90" s="5"/>
      <c r="F90" s="5"/>
      <c r="G90" s="5"/>
      <c r="H90" s="7"/>
      <c r="I90" s="5"/>
      <c r="J90" s="7" t="str">
        <f>'Ingest Template'!Q90</f>
        <v/>
      </c>
      <c r="K90" s="5" t="str">
        <f>'Ingest Template'!R90</f>
        <v/>
      </c>
      <c r="L90" s="8" t="s">
        <v>38</v>
      </c>
      <c r="M90" s="9"/>
      <c r="N90" s="5"/>
      <c r="O90" s="5"/>
      <c r="P90" s="5"/>
      <c r="Q90" s="5"/>
      <c r="R90" s="5" t="str">
        <f>'Ingest Template'!D90</f>
        <v/>
      </c>
      <c r="S90" s="5" t="str">
        <f>'Ingest Template'!G90</f>
        <v/>
      </c>
      <c r="T90" s="5" t="str">
        <f>'Ingest Template'!H90</f>
        <v/>
      </c>
      <c r="U90" s="5" t="str">
        <f>LOWER(SUBSTITUTE(SUBSTITUTE(SUBSTITUTE(SUBSTITUTE(SUBSTITUTE('Ingest Template'!I90,"https:",""),"www.",""),"/",""),"?hl=en",""),"instagram.com",""))</f>
        <v/>
      </c>
      <c r="V90" s="10" t="str">
        <f>'Ingest Template'!J90</f>
        <v/>
      </c>
      <c r="W90" s="10" t="str">
        <f>'Ingest Template'!K90</f>
        <v/>
      </c>
      <c r="X90" s="5"/>
      <c r="Y90" s="5" t="str">
        <f>SUBSTITUTE(SUBSTITUTE(SUBSTITUTE('Ingest Template'!L90,"http:",""),"https:",""),"/","")</f>
        <v/>
      </c>
      <c r="Z90" s="5" t="str">
        <f t="array" ref="Z90">IF('Ingest Template'!A90="Standard",(IF(ISBLANK('Ingest Template'!M90),"", 'Ingest Template'!M90&amp;"|DAR")),(IF(ISBLANK('Ingest Template'!M90),"", 'Ingest Template'!M90&amp;"|Operations - Core Title")))</f>
        <v/>
      </c>
      <c r="AA90" s="5"/>
      <c r="AB90" s="5" t="str">
        <f>'Ingest Template'!F90</f>
        <v/>
      </c>
      <c r="AC90" s="5"/>
      <c r="AD90" s="5"/>
      <c r="AE90" s="5"/>
      <c r="AF90" s="8"/>
      <c r="AG90" s="5" t="str">
        <f t="array" ref="AG90">IF('Ingest Template'!A90="Standard",(CONCATENATE(IF(ISBLANK('Ingest Template'!N90),"", 'Ingest Template'!N90&amp;"|DAR"),CHAR(10), IF(ISBLANK('Ingest Template'!O90),"", 'Ingest Template'!O90&amp;"|DAR"),CHAR(10), IF(ISBLANK('Ingest Template'!P90),"", 'Ingest Template'!P90&amp;"|DAR"))),(CONCATENATE(IF(ISBLANK('Ingest Template'!N90),"", 'Ingest Template'!N90&amp;"|Operations - Core Title"),CHAR(10), IF(ISBLANK('Ingest Template'!O90),"", 'Ingest Template'!O90&amp;"|Operations - Core Title"),CHAR(10), IF(ISBLANK('Ingest Template'!P90),"", 'Ingest Template'!P90&amp;"|Operations - Core Title"))))</f>
        <v>#|Operations - Core Title
</v>
      </c>
      <c r="AH90" s="5"/>
      <c r="AI90" s="5"/>
      <c r="AJ90" s="5"/>
      <c r="AK90" s="5"/>
      <c r="AL90" s="5"/>
    </row>
    <row r="91">
      <c r="A91" s="5"/>
      <c r="B91" s="5" t="str">
        <f>'Ingest Template'!B91&amp;IF('Ingest Template'!A91 = "Standard", " - DAR","")</f>
        <v/>
      </c>
      <c r="C91" s="6" t="str">
        <f>'Ingest Template'!C91</f>
        <v/>
      </c>
      <c r="D91" s="7" t="str">
        <f>'Ingest Template'!E91</f>
        <v/>
      </c>
      <c r="E91" s="5"/>
      <c r="F91" s="5"/>
      <c r="G91" s="5"/>
      <c r="H91" s="7"/>
      <c r="I91" s="5"/>
      <c r="J91" s="7" t="str">
        <f>'Ingest Template'!Q91</f>
        <v/>
      </c>
      <c r="K91" s="5" t="str">
        <f>'Ingest Template'!R91</f>
        <v/>
      </c>
      <c r="L91" s="8" t="s">
        <v>38</v>
      </c>
      <c r="M91" s="9"/>
      <c r="N91" s="5"/>
      <c r="O91" s="5"/>
      <c r="P91" s="5"/>
      <c r="Q91" s="5"/>
      <c r="R91" s="5" t="str">
        <f>'Ingest Template'!D91</f>
        <v/>
      </c>
      <c r="S91" s="5" t="str">
        <f>'Ingest Template'!G91</f>
        <v/>
      </c>
      <c r="T91" s="5" t="str">
        <f>'Ingest Template'!H91</f>
        <v/>
      </c>
      <c r="U91" s="5" t="str">
        <f>LOWER(SUBSTITUTE(SUBSTITUTE(SUBSTITUTE(SUBSTITUTE(SUBSTITUTE('Ingest Template'!I91,"https:",""),"www.",""),"/",""),"?hl=en",""),"instagram.com",""))</f>
        <v/>
      </c>
      <c r="V91" s="10" t="str">
        <f>'Ingest Template'!J91</f>
        <v/>
      </c>
      <c r="W91" s="10" t="str">
        <f>'Ingest Template'!K91</f>
        <v/>
      </c>
      <c r="X91" s="5"/>
      <c r="Y91" s="5" t="str">
        <f>SUBSTITUTE(SUBSTITUTE(SUBSTITUTE('Ingest Template'!L91,"http:",""),"https:",""),"/","")</f>
        <v/>
      </c>
      <c r="Z91" s="5" t="str">
        <f t="array" ref="Z91">IF('Ingest Template'!A91="Standard",(IF(ISBLANK('Ingest Template'!M91),"", 'Ingest Template'!M91&amp;"|DAR")),(IF(ISBLANK('Ingest Template'!M91),"", 'Ingest Template'!M91&amp;"|Operations - Core Title")))</f>
        <v/>
      </c>
      <c r="AA91" s="5"/>
      <c r="AB91" s="5" t="str">
        <f>'Ingest Template'!F91</f>
        <v/>
      </c>
      <c r="AC91" s="5"/>
      <c r="AD91" s="5"/>
      <c r="AE91" s="5"/>
      <c r="AF91" s="8"/>
      <c r="AG91" s="5" t="str">
        <f t="array" ref="AG91">IF('Ingest Template'!A91="Standard",(CONCATENATE(IF(ISBLANK('Ingest Template'!N91),"", 'Ingest Template'!N91&amp;"|DAR"),CHAR(10), IF(ISBLANK('Ingest Template'!O91),"", 'Ingest Template'!O91&amp;"|DAR"),CHAR(10), IF(ISBLANK('Ingest Template'!P91),"", 'Ingest Template'!P91&amp;"|DAR"))),(CONCATENATE(IF(ISBLANK('Ingest Template'!N91),"", 'Ingest Template'!N91&amp;"|Operations - Core Title"),CHAR(10), IF(ISBLANK('Ingest Template'!O91),"", 'Ingest Template'!O91&amp;"|Operations - Core Title"),CHAR(10), IF(ISBLANK('Ingest Template'!P91),"", 'Ingest Template'!P91&amp;"|Operations - Core Title"))))</f>
        <v>#|Operations - Core Title
</v>
      </c>
      <c r="AH91" s="5"/>
      <c r="AI91" s="5"/>
      <c r="AJ91" s="5"/>
      <c r="AK91" s="5"/>
      <c r="AL91" s="5"/>
    </row>
    <row r="92">
      <c r="A92" s="5"/>
      <c r="B92" s="5" t="str">
        <f>'Ingest Template'!B92&amp;IF('Ingest Template'!A92 = "Standard", " - DAR","")</f>
        <v/>
      </c>
      <c r="C92" s="6" t="str">
        <f>'Ingest Template'!C92</f>
        <v/>
      </c>
      <c r="D92" s="7" t="str">
        <f>'Ingest Template'!E92</f>
        <v/>
      </c>
      <c r="E92" s="5"/>
      <c r="F92" s="5"/>
      <c r="G92" s="5"/>
      <c r="H92" s="7"/>
      <c r="I92" s="5"/>
      <c r="J92" s="7" t="str">
        <f>'Ingest Template'!Q92</f>
        <v/>
      </c>
      <c r="K92" s="5" t="str">
        <f>'Ingest Template'!R92</f>
        <v/>
      </c>
      <c r="L92" s="8" t="s">
        <v>38</v>
      </c>
      <c r="M92" s="9"/>
      <c r="N92" s="5"/>
      <c r="O92" s="5"/>
      <c r="P92" s="5"/>
      <c r="Q92" s="5"/>
      <c r="R92" s="5" t="str">
        <f>'Ingest Template'!D92</f>
        <v/>
      </c>
      <c r="S92" s="5" t="str">
        <f>'Ingest Template'!G92</f>
        <v/>
      </c>
      <c r="T92" s="5" t="str">
        <f>'Ingest Template'!H92</f>
        <v/>
      </c>
      <c r="U92" s="5" t="str">
        <f>LOWER(SUBSTITUTE(SUBSTITUTE(SUBSTITUTE(SUBSTITUTE(SUBSTITUTE('Ingest Template'!I92,"https:",""),"www.",""),"/",""),"?hl=en",""),"instagram.com",""))</f>
        <v/>
      </c>
      <c r="V92" s="10" t="str">
        <f>'Ingest Template'!J92</f>
        <v/>
      </c>
      <c r="W92" s="10" t="str">
        <f>'Ingest Template'!K92</f>
        <v/>
      </c>
      <c r="X92" s="5"/>
      <c r="Y92" s="5" t="str">
        <f>SUBSTITUTE(SUBSTITUTE(SUBSTITUTE('Ingest Template'!L92,"http:",""),"https:",""),"/","")</f>
        <v/>
      </c>
      <c r="Z92" s="5" t="str">
        <f t="array" ref="Z92">IF('Ingest Template'!A92="Standard",(IF(ISBLANK('Ingest Template'!M92),"", 'Ingest Template'!M92&amp;"|DAR")),(IF(ISBLANK('Ingest Template'!M92),"", 'Ingest Template'!M92&amp;"|Operations - Core Title")))</f>
        <v/>
      </c>
      <c r="AA92" s="5"/>
      <c r="AB92" s="5" t="str">
        <f>'Ingest Template'!F92</f>
        <v/>
      </c>
      <c r="AC92" s="5"/>
      <c r="AD92" s="5"/>
      <c r="AE92" s="5"/>
      <c r="AF92" s="8"/>
      <c r="AG92" s="5" t="str">
        <f t="array" ref="AG92">IF('Ingest Template'!A92="Standard",(CONCATENATE(IF(ISBLANK('Ingest Template'!N92),"", 'Ingest Template'!N92&amp;"|DAR"),CHAR(10), IF(ISBLANK('Ingest Template'!O92),"", 'Ingest Template'!O92&amp;"|DAR"),CHAR(10), IF(ISBLANK('Ingest Template'!P92),"", 'Ingest Template'!P92&amp;"|DAR"))),(CONCATENATE(IF(ISBLANK('Ingest Template'!N92),"", 'Ingest Template'!N92&amp;"|Operations - Core Title"),CHAR(10), IF(ISBLANK('Ingest Template'!O92),"", 'Ingest Template'!O92&amp;"|Operations - Core Title"),CHAR(10), IF(ISBLANK('Ingest Template'!P92),"", 'Ingest Template'!P92&amp;"|Operations - Core Title"))))</f>
        <v>#|Operations - Core Title
</v>
      </c>
      <c r="AH92" s="5"/>
      <c r="AI92" s="5"/>
      <c r="AJ92" s="5"/>
      <c r="AK92" s="5"/>
      <c r="AL92" s="5"/>
    </row>
    <row r="93">
      <c r="A93" s="5"/>
      <c r="B93" s="5" t="str">
        <f>'Ingest Template'!B93&amp;IF('Ingest Template'!A93 = "Standard", " - DAR","")</f>
        <v/>
      </c>
      <c r="C93" s="6" t="str">
        <f>'Ingest Template'!C93</f>
        <v/>
      </c>
      <c r="D93" s="7" t="str">
        <f>'Ingest Template'!E93</f>
        <v/>
      </c>
      <c r="E93" s="5"/>
      <c r="F93" s="5"/>
      <c r="G93" s="5"/>
      <c r="H93" s="7"/>
      <c r="I93" s="5"/>
      <c r="J93" s="7" t="str">
        <f>'Ingest Template'!Q93</f>
        <v/>
      </c>
      <c r="K93" s="5" t="str">
        <f>'Ingest Template'!R93</f>
        <v/>
      </c>
      <c r="L93" s="8" t="s">
        <v>38</v>
      </c>
      <c r="M93" s="9"/>
      <c r="N93" s="5"/>
      <c r="O93" s="5"/>
      <c r="P93" s="5"/>
      <c r="Q93" s="5"/>
      <c r="R93" s="5" t="str">
        <f>'Ingest Template'!D93</f>
        <v/>
      </c>
      <c r="S93" s="5" t="str">
        <f>'Ingest Template'!G93</f>
        <v/>
      </c>
      <c r="T93" s="5" t="str">
        <f>'Ingest Template'!H93</f>
        <v/>
      </c>
      <c r="U93" s="5" t="str">
        <f>LOWER(SUBSTITUTE(SUBSTITUTE(SUBSTITUTE(SUBSTITUTE(SUBSTITUTE('Ingest Template'!I93,"https:",""),"www.",""),"/",""),"?hl=en",""),"instagram.com",""))</f>
        <v/>
      </c>
      <c r="V93" s="10" t="str">
        <f>'Ingest Template'!J93</f>
        <v/>
      </c>
      <c r="W93" s="10" t="str">
        <f>'Ingest Template'!K93</f>
        <v/>
      </c>
      <c r="X93" s="5"/>
      <c r="Y93" s="5" t="str">
        <f>SUBSTITUTE(SUBSTITUTE(SUBSTITUTE('Ingest Template'!L93,"http:",""),"https:",""),"/","")</f>
        <v/>
      </c>
      <c r="Z93" s="5" t="str">
        <f t="array" ref="Z93">IF('Ingest Template'!A93="Standard",(IF(ISBLANK('Ingest Template'!M93),"", 'Ingest Template'!M93&amp;"|DAR")),(IF(ISBLANK('Ingest Template'!M93),"", 'Ingest Template'!M93&amp;"|Operations - Core Title")))</f>
        <v/>
      </c>
      <c r="AA93" s="5"/>
      <c r="AB93" s="5" t="str">
        <f>'Ingest Template'!F93</f>
        <v/>
      </c>
      <c r="AC93" s="5"/>
      <c r="AD93" s="5"/>
      <c r="AE93" s="5"/>
      <c r="AF93" s="8"/>
      <c r="AG93" s="5" t="str">
        <f t="array" ref="AG93">IF('Ingest Template'!A93="Standard",(CONCATENATE(IF(ISBLANK('Ingest Template'!N93),"", 'Ingest Template'!N93&amp;"|DAR"),CHAR(10), IF(ISBLANK('Ingest Template'!O93),"", 'Ingest Template'!O93&amp;"|DAR"),CHAR(10), IF(ISBLANK('Ingest Template'!P93),"", 'Ingest Template'!P93&amp;"|DAR"))),(CONCATENATE(IF(ISBLANK('Ingest Template'!N93),"", 'Ingest Template'!N93&amp;"|Operations - Core Title"),CHAR(10), IF(ISBLANK('Ingest Template'!O93),"", 'Ingest Template'!O93&amp;"|Operations - Core Title"),CHAR(10), IF(ISBLANK('Ingest Template'!P93),"", 'Ingest Template'!P93&amp;"|Operations - Core Title"))))</f>
        <v>#|Operations - Core Title
</v>
      </c>
      <c r="AH93" s="5"/>
      <c r="AI93" s="5"/>
      <c r="AJ93" s="5"/>
      <c r="AK93" s="5"/>
      <c r="AL93" s="5"/>
    </row>
    <row r="94">
      <c r="A94" s="5"/>
      <c r="B94" s="5" t="str">
        <f>'Ingest Template'!B94&amp;IF('Ingest Template'!A94 = "Standard", " - DAR","")</f>
        <v/>
      </c>
      <c r="C94" s="6" t="str">
        <f>'Ingest Template'!C94</f>
        <v/>
      </c>
      <c r="D94" s="7" t="str">
        <f>'Ingest Template'!E94</f>
        <v/>
      </c>
      <c r="E94" s="5"/>
      <c r="F94" s="5"/>
      <c r="G94" s="5"/>
      <c r="H94" s="7"/>
      <c r="I94" s="5"/>
      <c r="J94" s="7" t="str">
        <f>'Ingest Template'!Q94</f>
        <v/>
      </c>
      <c r="K94" s="5" t="str">
        <f>'Ingest Template'!R94</f>
        <v/>
      </c>
      <c r="L94" s="8" t="s">
        <v>38</v>
      </c>
      <c r="M94" s="9"/>
      <c r="N94" s="5"/>
      <c r="O94" s="5"/>
      <c r="P94" s="5"/>
      <c r="Q94" s="5"/>
      <c r="R94" s="5" t="str">
        <f>'Ingest Template'!D94</f>
        <v/>
      </c>
      <c r="S94" s="5" t="str">
        <f>'Ingest Template'!G94</f>
        <v/>
      </c>
      <c r="T94" s="5" t="str">
        <f>'Ingest Template'!H94</f>
        <v/>
      </c>
      <c r="U94" s="5" t="str">
        <f>LOWER(SUBSTITUTE(SUBSTITUTE(SUBSTITUTE(SUBSTITUTE(SUBSTITUTE('Ingest Template'!I94,"https:",""),"www.",""),"/",""),"?hl=en",""),"instagram.com",""))</f>
        <v/>
      </c>
      <c r="V94" s="10" t="str">
        <f>'Ingest Template'!J94</f>
        <v/>
      </c>
      <c r="W94" s="10" t="str">
        <f>'Ingest Template'!K94</f>
        <v/>
      </c>
      <c r="X94" s="5"/>
      <c r="Y94" s="5" t="str">
        <f>SUBSTITUTE(SUBSTITUTE(SUBSTITUTE('Ingest Template'!L94,"http:",""),"https:",""),"/","")</f>
        <v/>
      </c>
      <c r="Z94" s="5" t="str">
        <f t="array" ref="Z94">IF('Ingest Template'!A94="Standard",(IF(ISBLANK('Ingest Template'!M94),"", 'Ingest Template'!M94&amp;"|DAR")),(IF(ISBLANK('Ingest Template'!M94),"", 'Ingest Template'!M94&amp;"|Operations - Core Title")))</f>
        <v/>
      </c>
      <c r="AA94" s="5"/>
      <c r="AB94" s="5" t="str">
        <f>'Ingest Template'!F94</f>
        <v/>
      </c>
      <c r="AC94" s="5"/>
      <c r="AD94" s="5"/>
      <c r="AE94" s="5"/>
      <c r="AF94" s="8"/>
      <c r="AG94" s="5" t="str">
        <f t="array" ref="AG94">IF('Ingest Template'!A94="Standard",(CONCATENATE(IF(ISBLANK('Ingest Template'!N94),"", 'Ingest Template'!N94&amp;"|DAR"),CHAR(10), IF(ISBLANK('Ingest Template'!O94),"", 'Ingest Template'!O94&amp;"|DAR"),CHAR(10), IF(ISBLANK('Ingest Template'!P94),"", 'Ingest Template'!P94&amp;"|DAR"))),(CONCATENATE(IF(ISBLANK('Ingest Template'!N94),"", 'Ingest Template'!N94&amp;"|Operations - Core Title"),CHAR(10), IF(ISBLANK('Ingest Template'!O94),"", 'Ingest Template'!O94&amp;"|Operations - Core Title"),CHAR(10), IF(ISBLANK('Ingest Template'!P94),"", 'Ingest Template'!P94&amp;"|Operations - Core Title"))))</f>
        <v>#|Operations - Core Title
</v>
      </c>
      <c r="AH94" s="5"/>
      <c r="AI94" s="5"/>
      <c r="AJ94" s="5"/>
      <c r="AK94" s="5"/>
      <c r="AL94" s="5"/>
    </row>
    <row r="95">
      <c r="A95" s="5"/>
      <c r="B95" s="5" t="str">
        <f>'Ingest Template'!B95&amp;IF('Ingest Template'!A95 = "Standard", " - DAR","")</f>
        <v/>
      </c>
      <c r="C95" s="6" t="str">
        <f>'Ingest Template'!C95</f>
        <v/>
      </c>
      <c r="D95" s="7" t="str">
        <f>'Ingest Template'!E95</f>
        <v/>
      </c>
      <c r="E95" s="5"/>
      <c r="F95" s="5"/>
      <c r="G95" s="5"/>
      <c r="H95" s="7"/>
      <c r="I95" s="5"/>
      <c r="J95" s="7" t="str">
        <f>'Ingest Template'!Q95</f>
        <v/>
      </c>
      <c r="K95" s="5" t="str">
        <f>'Ingest Template'!R95</f>
        <v/>
      </c>
      <c r="L95" s="8" t="s">
        <v>38</v>
      </c>
      <c r="M95" s="9"/>
      <c r="N95" s="5"/>
      <c r="O95" s="5"/>
      <c r="P95" s="5"/>
      <c r="Q95" s="5"/>
      <c r="R95" s="5" t="str">
        <f>'Ingest Template'!D95</f>
        <v/>
      </c>
      <c r="S95" s="5" t="str">
        <f>'Ingest Template'!G95</f>
        <v/>
      </c>
      <c r="T95" s="5" t="str">
        <f>'Ingest Template'!H95</f>
        <v/>
      </c>
      <c r="U95" s="5" t="str">
        <f>LOWER(SUBSTITUTE(SUBSTITUTE(SUBSTITUTE(SUBSTITUTE(SUBSTITUTE('Ingest Template'!I95,"https:",""),"www.",""),"/",""),"?hl=en",""),"instagram.com",""))</f>
        <v/>
      </c>
      <c r="V95" s="10" t="str">
        <f>'Ingest Template'!J95</f>
        <v/>
      </c>
      <c r="W95" s="10" t="str">
        <f>'Ingest Template'!K95</f>
        <v/>
      </c>
      <c r="X95" s="5"/>
      <c r="Y95" s="5" t="str">
        <f>SUBSTITUTE(SUBSTITUTE(SUBSTITUTE('Ingest Template'!L95,"http:",""),"https:",""),"/","")</f>
        <v/>
      </c>
      <c r="Z95" s="5" t="str">
        <f t="array" ref="Z95">IF('Ingest Template'!A95="Standard",(IF(ISBLANK('Ingest Template'!M95),"", 'Ingest Template'!M95&amp;"|DAR")),(IF(ISBLANK('Ingest Template'!M95),"", 'Ingest Template'!M95&amp;"|Operations - Core Title")))</f>
        <v/>
      </c>
      <c r="AA95" s="5"/>
      <c r="AB95" s="5" t="str">
        <f>'Ingest Template'!F95</f>
        <v/>
      </c>
      <c r="AC95" s="5"/>
      <c r="AD95" s="5"/>
      <c r="AE95" s="5"/>
      <c r="AF95" s="8"/>
      <c r="AG95" s="5" t="str">
        <f t="array" ref="AG95">IF('Ingest Template'!A95="Standard",(CONCATENATE(IF(ISBLANK('Ingest Template'!N95),"", 'Ingest Template'!N95&amp;"|DAR"),CHAR(10), IF(ISBLANK('Ingest Template'!O95),"", 'Ingest Template'!O95&amp;"|DAR"),CHAR(10), IF(ISBLANK('Ingest Template'!P95),"", 'Ingest Template'!P95&amp;"|DAR"))),(CONCATENATE(IF(ISBLANK('Ingest Template'!N95),"", 'Ingest Template'!N95&amp;"|Operations - Core Title"),CHAR(10), IF(ISBLANK('Ingest Template'!O95),"", 'Ingest Template'!O95&amp;"|Operations - Core Title"),CHAR(10), IF(ISBLANK('Ingest Template'!P95),"", 'Ingest Template'!P95&amp;"|Operations - Core Title"))))</f>
        <v>#|Operations - Core Title
</v>
      </c>
      <c r="AH95" s="5"/>
      <c r="AI95" s="5"/>
      <c r="AJ95" s="5"/>
      <c r="AK95" s="5"/>
      <c r="AL95" s="5"/>
    </row>
    <row r="96">
      <c r="A96" s="5"/>
      <c r="B96" s="5" t="str">
        <f>'Ingest Template'!B96&amp;IF('Ingest Template'!A96 = "Standard", " - DAR","")</f>
        <v/>
      </c>
      <c r="C96" s="6" t="str">
        <f>'Ingest Template'!C96</f>
        <v/>
      </c>
      <c r="D96" s="7" t="str">
        <f>'Ingest Template'!E96</f>
        <v/>
      </c>
      <c r="E96" s="5"/>
      <c r="F96" s="5"/>
      <c r="G96" s="5"/>
      <c r="H96" s="7"/>
      <c r="I96" s="5"/>
      <c r="J96" s="7" t="str">
        <f>'Ingest Template'!Q96</f>
        <v/>
      </c>
      <c r="K96" s="5" t="str">
        <f>'Ingest Template'!R96</f>
        <v/>
      </c>
      <c r="L96" s="8" t="s">
        <v>38</v>
      </c>
      <c r="M96" s="9"/>
      <c r="N96" s="5"/>
      <c r="O96" s="5"/>
      <c r="P96" s="5"/>
      <c r="Q96" s="5"/>
      <c r="R96" s="5" t="str">
        <f>'Ingest Template'!D96</f>
        <v/>
      </c>
      <c r="S96" s="5" t="str">
        <f>'Ingest Template'!G96</f>
        <v/>
      </c>
      <c r="T96" s="5" t="str">
        <f>'Ingest Template'!H96</f>
        <v/>
      </c>
      <c r="U96" s="5" t="str">
        <f>LOWER(SUBSTITUTE(SUBSTITUTE(SUBSTITUTE(SUBSTITUTE(SUBSTITUTE('Ingest Template'!I96,"https:",""),"www.",""),"/",""),"?hl=en",""),"instagram.com",""))</f>
        <v/>
      </c>
      <c r="V96" s="10" t="str">
        <f>'Ingest Template'!J96</f>
        <v/>
      </c>
      <c r="W96" s="10" t="str">
        <f>'Ingest Template'!K96</f>
        <v/>
      </c>
      <c r="X96" s="5"/>
      <c r="Y96" s="5" t="str">
        <f>SUBSTITUTE(SUBSTITUTE(SUBSTITUTE('Ingest Template'!L96,"http:",""),"https:",""),"/","")</f>
        <v/>
      </c>
      <c r="Z96" s="5" t="str">
        <f t="array" ref="Z96">IF('Ingest Template'!A96="Standard",(IF(ISBLANK('Ingest Template'!M96),"", 'Ingest Template'!M96&amp;"|DAR")),(IF(ISBLANK('Ingest Template'!M96),"", 'Ingest Template'!M96&amp;"|Operations - Core Title")))</f>
        <v/>
      </c>
      <c r="AA96" s="5"/>
      <c r="AB96" s="5" t="str">
        <f>'Ingest Template'!F96</f>
        <v/>
      </c>
      <c r="AC96" s="5"/>
      <c r="AD96" s="5"/>
      <c r="AE96" s="5"/>
      <c r="AF96" s="8"/>
      <c r="AG96" s="5" t="str">
        <f t="array" ref="AG96">IF('Ingest Template'!A96="Standard",(CONCATENATE(IF(ISBLANK('Ingest Template'!N96),"", 'Ingest Template'!N96&amp;"|DAR"),CHAR(10), IF(ISBLANK('Ingest Template'!O96),"", 'Ingest Template'!O96&amp;"|DAR"),CHAR(10), IF(ISBLANK('Ingest Template'!P96),"", 'Ingest Template'!P96&amp;"|DAR"))),(CONCATENATE(IF(ISBLANK('Ingest Template'!N96),"", 'Ingest Template'!N96&amp;"|Operations - Core Title"),CHAR(10), IF(ISBLANK('Ingest Template'!O96),"", 'Ingest Template'!O96&amp;"|Operations - Core Title"),CHAR(10), IF(ISBLANK('Ingest Template'!P96),"", 'Ingest Template'!P96&amp;"|Operations - Core Title"))))</f>
        <v>#|Operations - Core Title
</v>
      </c>
      <c r="AH96" s="5"/>
      <c r="AI96" s="5"/>
      <c r="AJ96" s="5"/>
      <c r="AK96" s="5"/>
      <c r="AL96" s="5"/>
    </row>
    <row r="97">
      <c r="A97" s="5"/>
      <c r="B97" s="5" t="str">
        <f>'Ingest Template'!B97&amp;IF('Ingest Template'!A97 = "Standard", " - DAR","")</f>
        <v/>
      </c>
      <c r="C97" s="6" t="str">
        <f>'Ingest Template'!C97</f>
        <v/>
      </c>
      <c r="D97" s="7" t="str">
        <f>'Ingest Template'!E97</f>
        <v/>
      </c>
      <c r="E97" s="5"/>
      <c r="F97" s="5"/>
      <c r="G97" s="5"/>
      <c r="H97" s="7"/>
      <c r="I97" s="5"/>
      <c r="J97" s="7" t="str">
        <f>'Ingest Template'!Q97</f>
        <v/>
      </c>
      <c r="K97" s="5" t="str">
        <f>'Ingest Template'!R97</f>
        <v/>
      </c>
      <c r="L97" s="8" t="s">
        <v>38</v>
      </c>
      <c r="M97" s="9"/>
      <c r="N97" s="5"/>
      <c r="O97" s="5"/>
      <c r="P97" s="5"/>
      <c r="Q97" s="5"/>
      <c r="R97" s="5" t="str">
        <f>'Ingest Template'!D97</f>
        <v/>
      </c>
      <c r="S97" s="5" t="str">
        <f>'Ingest Template'!G97</f>
        <v/>
      </c>
      <c r="T97" s="5" t="str">
        <f>'Ingest Template'!H97</f>
        <v/>
      </c>
      <c r="U97" s="5" t="str">
        <f>LOWER(SUBSTITUTE(SUBSTITUTE(SUBSTITUTE(SUBSTITUTE(SUBSTITUTE('Ingest Template'!I97,"https:",""),"www.",""),"/",""),"?hl=en",""),"instagram.com",""))</f>
        <v/>
      </c>
      <c r="V97" s="10" t="str">
        <f>'Ingest Template'!J97</f>
        <v/>
      </c>
      <c r="W97" s="10" t="str">
        <f>'Ingest Template'!K97</f>
        <v/>
      </c>
      <c r="X97" s="5"/>
      <c r="Y97" s="5" t="str">
        <f>SUBSTITUTE(SUBSTITUTE(SUBSTITUTE('Ingest Template'!L97,"http:",""),"https:",""),"/","")</f>
        <v/>
      </c>
      <c r="Z97" s="5" t="str">
        <f t="array" ref="Z97">IF('Ingest Template'!A97="Standard",(IF(ISBLANK('Ingest Template'!M97),"", 'Ingest Template'!M97&amp;"|DAR")),(IF(ISBLANK('Ingest Template'!M97),"", 'Ingest Template'!M97&amp;"|Operations - Core Title")))</f>
        <v/>
      </c>
      <c r="AA97" s="5"/>
      <c r="AB97" s="5" t="str">
        <f>'Ingest Template'!F97</f>
        <v/>
      </c>
      <c r="AC97" s="5"/>
      <c r="AD97" s="5"/>
      <c r="AE97" s="5"/>
      <c r="AF97" s="8"/>
      <c r="AG97" s="5" t="str">
        <f t="array" ref="AG97">IF('Ingest Template'!A97="Standard",(CONCATENATE(IF(ISBLANK('Ingest Template'!N97),"", 'Ingest Template'!N97&amp;"|DAR"),CHAR(10), IF(ISBLANK('Ingest Template'!O97),"", 'Ingest Template'!O97&amp;"|DAR"),CHAR(10), IF(ISBLANK('Ingest Template'!P97),"", 'Ingest Template'!P97&amp;"|DAR"))),(CONCATENATE(IF(ISBLANK('Ingest Template'!N97),"", 'Ingest Template'!N97&amp;"|Operations - Core Title"),CHAR(10), IF(ISBLANK('Ingest Template'!O97),"", 'Ingest Template'!O97&amp;"|Operations - Core Title"),CHAR(10), IF(ISBLANK('Ingest Template'!P97),"", 'Ingest Template'!P97&amp;"|Operations - Core Title"))))</f>
        <v>#|Operations - Core Title
</v>
      </c>
      <c r="AH97" s="5"/>
      <c r="AI97" s="5"/>
      <c r="AJ97" s="5"/>
      <c r="AK97" s="5"/>
      <c r="AL97" s="5"/>
    </row>
    <row r="98">
      <c r="A98" s="5"/>
      <c r="B98" s="5" t="str">
        <f>'Ingest Template'!B98&amp;IF('Ingest Template'!A98 = "Standard", " - DAR","")</f>
        <v/>
      </c>
      <c r="C98" s="6" t="str">
        <f>'Ingest Template'!C98</f>
        <v/>
      </c>
      <c r="D98" s="7" t="str">
        <f>'Ingest Template'!E98</f>
        <v/>
      </c>
      <c r="E98" s="5"/>
      <c r="F98" s="5"/>
      <c r="G98" s="5"/>
      <c r="H98" s="7"/>
      <c r="I98" s="5"/>
      <c r="J98" s="7" t="str">
        <f>'Ingest Template'!Q98</f>
        <v/>
      </c>
      <c r="K98" s="5" t="str">
        <f>'Ingest Template'!R98</f>
        <v/>
      </c>
      <c r="L98" s="8" t="s">
        <v>38</v>
      </c>
      <c r="M98" s="9"/>
      <c r="N98" s="5"/>
      <c r="O98" s="5"/>
      <c r="P98" s="5"/>
      <c r="Q98" s="5"/>
      <c r="R98" s="5" t="str">
        <f>'Ingest Template'!D98</f>
        <v/>
      </c>
      <c r="S98" s="5" t="str">
        <f>'Ingest Template'!G98</f>
        <v/>
      </c>
      <c r="T98" s="5" t="str">
        <f>'Ingest Template'!H98</f>
        <v/>
      </c>
      <c r="U98" s="5" t="str">
        <f>LOWER(SUBSTITUTE(SUBSTITUTE(SUBSTITUTE(SUBSTITUTE(SUBSTITUTE('Ingest Template'!I98,"https:",""),"www.",""),"/",""),"?hl=en",""),"instagram.com",""))</f>
        <v/>
      </c>
      <c r="V98" s="10" t="str">
        <f>'Ingest Template'!J98</f>
        <v/>
      </c>
      <c r="W98" s="10" t="str">
        <f>'Ingest Template'!K98</f>
        <v/>
      </c>
      <c r="X98" s="5"/>
      <c r="Y98" s="5" t="str">
        <f>SUBSTITUTE(SUBSTITUTE(SUBSTITUTE('Ingest Template'!L98,"http:",""),"https:",""),"/","")</f>
        <v/>
      </c>
      <c r="Z98" s="5" t="str">
        <f t="array" ref="Z98">IF('Ingest Template'!A98="Standard",(IF(ISBLANK('Ingest Template'!M98),"", 'Ingest Template'!M98&amp;"|DAR")),(IF(ISBLANK('Ingest Template'!M98),"", 'Ingest Template'!M98&amp;"|Operations - Core Title")))</f>
        <v/>
      </c>
      <c r="AA98" s="5"/>
      <c r="AB98" s="5" t="str">
        <f>'Ingest Template'!F98</f>
        <v/>
      </c>
      <c r="AC98" s="5"/>
      <c r="AD98" s="5"/>
      <c r="AE98" s="5"/>
      <c r="AF98" s="8"/>
      <c r="AG98" s="5" t="str">
        <f t="array" ref="AG98">IF('Ingest Template'!A98="Standard",(CONCATENATE(IF(ISBLANK('Ingest Template'!N98),"", 'Ingest Template'!N98&amp;"|DAR"),CHAR(10), IF(ISBLANK('Ingest Template'!O98),"", 'Ingest Template'!O98&amp;"|DAR"),CHAR(10), IF(ISBLANK('Ingest Template'!P98),"", 'Ingest Template'!P98&amp;"|DAR"))),(CONCATENATE(IF(ISBLANK('Ingest Template'!N98),"", 'Ingest Template'!N98&amp;"|Operations - Core Title"),CHAR(10), IF(ISBLANK('Ingest Template'!O98),"", 'Ingest Template'!O98&amp;"|Operations - Core Title"),CHAR(10), IF(ISBLANK('Ingest Template'!P98),"", 'Ingest Template'!P98&amp;"|Operations - Core Title"))))</f>
        <v>#|Operations - Core Title
</v>
      </c>
      <c r="AH98" s="5"/>
      <c r="AI98" s="5"/>
      <c r="AJ98" s="5"/>
      <c r="AK98" s="5"/>
      <c r="AL98" s="5"/>
    </row>
    <row r="99">
      <c r="A99" s="5"/>
      <c r="B99" s="5" t="str">
        <f>'Ingest Template'!B99&amp;IF('Ingest Template'!A99 = "Standard", " - DAR","")</f>
        <v/>
      </c>
      <c r="C99" s="6" t="str">
        <f>'Ingest Template'!C99</f>
        <v/>
      </c>
      <c r="D99" s="7" t="str">
        <f>'Ingest Template'!E99</f>
        <v/>
      </c>
      <c r="E99" s="5"/>
      <c r="F99" s="5"/>
      <c r="G99" s="5"/>
      <c r="H99" s="7"/>
      <c r="I99" s="5"/>
      <c r="J99" s="7" t="str">
        <f>'Ingest Template'!Q99</f>
        <v/>
      </c>
      <c r="K99" s="5" t="str">
        <f>'Ingest Template'!R99</f>
        <v/>
      </c>
      <c r="L99" s="8" t="s">
        <v>38</v>
      </c>
      <c r="M99" s="9"/>
      <c r="N99" s="5"/>
      <c r="O99" s="5"/>
      <c r="P99" s="5"/>
      <c r="Q99" s="5"/>
      <c r="R99" s="5" t="str">
        <f>'Ingest Template'!D99</f>
        <v/>
      </c>
      <c r="S99" s="5" t="str">
        <f>'Ingest Template'!G99</f>
        <v/>
      </c>
      <c r="T99" s="5" t="str">
        <f>'Ingest Template'!H99</f>
        <v/>
      </c>
      <c r="U99" s="5" t="str">
        <f>LOWER(SUBSTITUTE(SUBSTITUTE(SUBSTITUTE(SUBSTITUTE(SUBSTITUTE('Ingest Template'!I99,"https:",""),"www.",""),"/",""),"?hl=en",""),"instagram.com",""))</f>
        <v/>
      </c>
      <c r="V99" s="10" t="str">
        <f>'Ingest Template'!J99</f>
        <v/>
      </c>
      <c r="W99" s="10" t="str">
        <f>'Ingest Template'!K99</f>
        <v/>
      </c>
      <c r="X99" s="5"/>
      <c r="Y99" s="5" t="str">
        <f>SUBSTITUTE(SUBSTITUTE(SUBSTITUTE('Ingest Template'!L99,"http:",""),"https:",""),"/","")</f>
        <v/>
      </c>
      <c r="Z99" s="5" t="str">
        <f t="array" ref="Z99">IF('Ingest Template'!A99="Standard",(IF(ISBLANK('Ingest Template'!M99),"", 'Ingest Template'!M99&amp;"|DAR")),(IF(ISBLANK('Ingest Template'!M99),"", 'Ingest Template'!M99&amp;"|Operations - Core Title")))</f>
        <v/>
      </c>
      <c r="AA99" s="5"/>
      <c r="AB99" s="5" t="str">
        <f>'Ingest Template'!F99</f>
        <v/>
      </c>
      <c r="AC99" s="5"/>
      <c r="AD99" s="5"/>
      <c r="AE99" s="5"/>
      <c r="AF99" s="8"/>
      <c r="AG99" s="5" t="str">
        <f t="array" ref="AG99">IF('Ingest Template'!A99="Standard",(CONCATENATE(IF(ISBLANK('Ingest Template'!N99),"", 'Ingest Template'!N99&amp;"|DAR"),CHAR(10), IF(ISBLANK('Ingest Template'!O99),"", 'Ingest Template'!O99&amp;"|DAR"),CHAR(10), IF(ISBLANK('Ingest Template'!P99),"", 'Ingest Template'!P99&amp;"|DAR"))),(CONCATENATE(IF(ISBLANK('Ingest Template'!N99),"", 'Ingest Template'!N99&amp;"|Operations - Core Title"),CHAR(10), IF(ISBLANK('Ingest Template'!O99),"", 'Ingest Template'!O99&amp;"|Operations - Core Title"),CHAR(10), IF(ISBLANK('Ingest Template'!P99),"", 'Ingest Template'!P99&amp;"|Operations - Core Title"))))</f>
        <v>#|Operations - Core Title
</v>
      </c>
      <c r="AH99" s="5"/>
      <c r="AI99" s="5"/>
      <c r="AJ99" s="5"/>
      <c r="AK99" s="5"/>
      <c r="AL99" s="5"/>
    </row>
    <row r="100">
      <c r="A100" s="5"/>
      <c r="B100" s="5" t="str">
        <f>'Ingest Template'!B100&amp;IF('Ingest Template'!A100 = "Standard", " - DAR","")</f>
        <v/>
      </c>
      <c r="C100" s="6" t="str">
        <f>'Ingest Template'!C100</f>
        <v/>
      </c>
      <c r="D100" s="7" t="str">
        <f>'Ingest Template'!E100</f>
        <v/>
      </c>
      <c r="E100" s="5"/>
      <c r="F100" s="5"/>
      <c r="G100" s="5"/>
      <c r="H100" s="7"/>
      <c r="I100" s="5"/>
      <c r="J100" s="7" t="str">
        <f>'Ingest Template'!Q100</f>
        <v/>
      </c>
      <c r="K100" s="5" t="str">
        <f>'Ingest Template'!R100</f>
        <v/>
      </c>
      <c r="L100" s="8" t="s">
        <v>38</v>
      </c>
      <c r="M100" s="9"/>
      <c r="N100" s="5"/>
      <c r="O100" s="5"/>
      <c r="P100" s="5"/>
      <c r="Q100" s="5"/>
      <c r="R100" s="5" t="str">
        <f>'Ingest Template'!D100</f>
        <v/>
      </c>
      <c r="S100" s="5" t="str">
        <f>'Ingest Template'!G100</f>
        <v/>
      </c>
      <c r="T100" s="5" t="str">
        <f>'Ingest Template'!H100</f>
        <v/>
      </c>
      <c r="U100" s="5" t="str">
        <f>LOWER(SUBSTITUTE(SUBSTITUTE(SUBSTITUTE(SUBSTITUTE(SUBSTITUTE('Ingest Template'!I100,"https:",""),"www.",""),"/",""),"?hl=en",""),"instagram.com",""))</f>
        <v/>
      </c>
      <c r="V100" s="10" t="str">
        <f>'Ingest Template'!J100</f>
        <v/>
      </c>
      <c r="W100" s="10" t="str">
        <f>'Ingest Template'!K100</f>
        <v/>
      </c>
      <c r="X100" s="5"/>
      <c r="Y100" s="5" t="str">
        <f>SUBSTITUTE(SUBSTITUTE(SUBSTITUTE('Ingest Template'!L100,"http:",""),"https:",""),"/","")</f>
        <v/>
      </c>
      <c r="Z100" s="5" t="str">
        <f t="array" ref="Z100">IF('Ingest Template'!A100="Standard",(IF(ISBLANK('Ingest Template'!M100),"", 'Ingest Template'!M100&amp;"|DAR")),(IF(ISBLANK('Ingest Template'!M100),"", 'Ingest Template'!M100&amp;"|Operations - Core Title")))</f>
        <v/>
      </c>
      <c r="AA100" s="5"/>
      <c r="AB100" s="5" t="str">
        <f>'Ingest Template'!F100</f>
        <v/>
      </c>
      <c r="AC100" s="5"/>
      <c r="AD100" s="5"/>
      <c r="AE100" s="5"/>
      <c r="AF100" s="8"/>
      <c r="AG100" s="5" t="str">
        <f t="array" ref="AG100">IF('Ingest Template'!A100="Standard",(CONCATENATE(IF(ISBLANK('Ingest Template'!N100),"", 'Ingest Template'!N100&amp;"|DAR"),CHAR(10), IF(ISBLANK('Ingest Template'!O100),"", 'Ingest Template'!O100&amp;"|DAR"),CHAR(10), IF(ISBLANK('Ingest Template'!P100),"", 'Ingest Template'!P100&amp;"|DAR"))),(CONCATENATE(IF(ISBLANK('Ingest Template'!N100),"", 'Ingest Template'!N100&amp;"|Operations - Core Title"),CHAR(10), IF(ISBLANK('Ingest Template'!O100),"", 'Ingest Template'!O100&amp;"|Operations - Core Title"),CHAR(10), IF(ISBLANK('Ingest Template'!P100),"", 'Ingest Template'!P100&amp;"|Operations - Core Title"))))</f>
        <v>#|Operations - Core Title
</v>
      </c>
      <c r="AH100" s="5"/>
      <c r="AI100" s="5"/>
      <c r="AJ100" s="5"/>
      <c r="AK100" s="5"/>
      <c r="AL100" s="5"/>
    </row>
    <row r="101">
      <c r="A101" s="5"/>
      <c r="B101" s="5" t="str">
        <f>'Ingest Template'!B101&amp;IF('Ingest Template'!A101 = "Standard", " - DAR","")</f>
        <v/>
      </c>
      <c r="C101" s="6" t="str">
        <f>'Ingest Template'!C101</f>
        <v/>
      </c>
      <c r="D101" s="7" t="str">
        <f>'Ingest Template'!E101</f>
        <v/>
      </c>
      <c r="E101" s="5"/>
      <c r="F101" s="5"/>
      <c r="G101" s="5"/>
      <c r="H101" s="7"/>
      <c r="I101" s="5"/>
      <c r="J101" s="7" t="str">
        <f>'Ingest Template'!Q101</f>
        <v/>
      </c>
      <c r="K101" s="5" t="str">
        <f>'Ingest Template'!R101</f>
        <v/>
      </c>
      <c r="L101" s="8" t="s">
        <v>38</v>
      </c>
      <c r="M101" s="9"/>
      <c r="N101" s="5"/>
      <c r="O101" s="5"/>
      <c r="P101" s="5"/>
      <c r="Q101" s="5"/>
      <c r="R101" s="5" t="str">
        <f>'Ingest Template'!D101</f>
        <v/>
      </c>
      <c r="S101" s="5" t="str">
        <f>'Ingest Template'!G101</f>
        <v/>
      </c>
      <c r="T101" s="5" t="str">
        <f>'Ingest Template'!H101</f>
        <v/>
      </c>
      <c r="U101" s="5" t="str">
        <f>LOWER(SUBSTITUTE(SUBSTITUTE(SUBSTITUTE(SUBSTITUTE(SUBSTITUTE('Ingest Template'!I101,"https:",""),"www.",""),"/",""),"?hl=en",""),"instagram.com",""))</f>
        <v/>
      </c>
      <c r="V101" s="10" t="str">
        <f>'Ingest Template'!J101</f>
        <v/>
      </c>
      <c r="W101" s="10" t="str">
        <f>'Ingest Template'!K101</f>
        <v/>
      </c>
      <c r="X101" s="5"/>
      <c r="Y101" s="5" t="str">
        <f>SUBSTITUTE(SUBSTITUTE(SUBSTITUTE('Ingest Template'!L101,"http:",""),"https:",""),"/","")</f>
        <v/>
      </c>
      <c r="Z101" s="5" t="str">
        <f t="array" ref="Z101">IF('Ingest Template'!A101="Standard",(IF(ISBLANK('Ingest Template'!M101),"", 'Ingest Template'!M101&amp;"|DAR")),(IF(ISBLANK('Ingest Template'!M101),"", 'Ingest Template'!M101&amp;"|Operations - Core Title")))</f>
        <v/>
      </c>
      <c r="AA101" s="5"/>
      <c r="AB101" s="5" t="str">
        <f>'Ingest Template'!F101</f>
        <v/>
      </c>
      <c r="AC101" s="5"/>
      <c r="AD101" s="5"/>
      <c r="AE101" s="5"/>
      <c r="AF101" s="8"/>
      <c r="AG101" s="5" t="str">
        <f t="array" ref="AG101">IF('Ingest Template'!A101="Standard",(CONCATENATE(IF(ISBLANK('Ingest Template'!N101),"", 'Ingest Template'!N101&amp;"|DAR"),CHAR(10), IF(ISBLANK('Ingest Template'!O101),"", 'Ingest Template'!O101&amp;"|DAR"),CHAR(10), IF(ISBLANK('Ingest Template'!P101),"", 'Ingest Template'!P101&amp;"|DAR"))),(CONCATENATE(IF(ISBLANK('Ingest Template'!N101),"", 'Ingest Template'!N101&amp;"|Operations - Core Title"),CHAR(10), IF(ISBLANK('Ingest Template'!O101),"", 'Ingest Template'!O101&amp;"|Operations - Core Title"),CHAR(10), IF(ISBLANK('Ingest Template'!P101),"", 'Ingest Template'!P101&amp;"|Operations - Core Title"))))</f>
        <v>#|Operations - Core Title
</v>
      </c>
      <c r="AH101" s="5"/>
      <c r="AI101" s="5"/>
      <c r="AJ101" s="5"/>
      <c r="AK101" s="5"/>
      <c r="AL101" s="5"/>
    </row>
    <row r="102">
      <c r="A102" s="5"/>
      <c r="B102" s="5" t="str">
        <f>'Ingest Template'!B102&amp;IF('Ingest Template'!A102 = "Standard", " - DAR","")</f>
        <v/>
      </c>
      <c r="C102" s="6" t="str">
        <f>'Ingest Template'!C102</f>
        <v/>
      </c>
      <c r="D102" s="7" t="str">
        <f>'Ingest Template'!E102</f>
        <v/>
      </c>
      <c r="E102" s="5"/>
      <c r="F102" s="5"/>
      <c r="G102" s="5"/>
      <c r="H102" s="7"/>
      <c r="I102" s="5"/>
      <c r="J102" s="7" t="str">
        <f>'Ingest Template'!Q102</f>
        <v/>
      </c>
      <c r="K102" s="5" t="str">
        <f>'Ingest Template'!R102</f>
        <v/>
      </c>
      <c r="L102" s="8" t="s">
        <v>38</v>
      </c>
      <c r="M102" s="9"/>
      <c r="N102" s="5"/>
      <c r="O102" s="5"/>
      <c r="P102" s="5"/>
      <c r="Q102" s="5"/>
      <c r="R102" s="5" t="str">
        <f>'Ingest Template'!D102</f>
        <v/>
      </c>
      <c r="S102" s="5" t="str">
        <f>'Ingest Template'!G102</f>
        <v/>
      </c>
      <c r="T102" s="5" t="str">
        <f>'Ingest Template'!H102</f>
        <v/>
      </c>
      <c r="U102" s="5" t="str">
        <f>LOWER(SUBSTITUTE(SUBSTITUTE(SUBSTITUTE(SUBSTITUTE(SUBSTITUTE('Ingest Template'!I102,"https:",""),"www.",""),"/",""),"?hl=en",""),"instagram.com",""))</f>
        <v/>
      </c>
      <c r="V102" s="10" t="str">
        <f>'Ingest Template'!J102</f>
        <v/>
      </c>
      <c r="W102" s="10" t="str">
        <f>'Ingest Template'!K102</f>
        <v/>
      </c>
      <c r="X102" s="5"/>
      <c r="Y102" s="5" t="str">
        <f>SUBSTITUTE(SUBSTITUTE(SUBSTITUTE('Ingest Template'!L102,"http:",""),"https:",""),"/","")</f>
        <v/>
      </c>
      <c r="Z102" s="5" t="str">
        <f t="array" ref="Z102">IF('Ingest Template'!A102="Standard",(IF(ISBLANK('Ingest Template'!M102),"", 'Ingest Template'!M102&amp;"|DAR")),(IF(ISBLANK('Ingest Template'!M102),"", 'Ingest Template'!M102&amp;"|Operations - Core Title")))</f>
        <v/>
      </c>
      <c r="AA102" s="5"/>
      <c r="AB102" s="5" t="str">
        <f>'Ingest Template'!F102</f>
        <v/>
      </c>
      <c r="AC102" s="5"/>
      <c r="AD102" s="5"/>
      <c r="AE102" s="5"/>
      <c r="AF102" s="8"/>
      <c r="AG102" s="5" t="str">
        <f t="array" ref="AG102">IF('Ingest Template'!A102="Standard",(CONCATENATE(IF(ISBLANK('Ingest Template'!N102),"", 'Ingest Template'!N102&amp;"|DAR"),CHAR(10), IF(ISBLANK('Ingest Template'!O102),"", 'Ingest Template'!O102&amp;"|DAR"),CHAR(10), IF(ISBLANK('Ingest Template'!P102),"", 'Ingest Template'!P102&amp;"|DAR"))),(CONCATENATE(IF(ISBLANK('Ingest Template'!N102),"", 'Ingest Template'!N102&amp;"|Operations - Core Title"),CHAR(10), IF(ISBLANK('Ingest Template'!O102),"", 'Ingest Template'!O102&amp;"|Operations - Core Title"),CHAR(10), IF(ISBLANK('Ingest Template'!P102),"", 'Ingest Template'!P102&amp;"|Operations - Core Title"))))</f>
        <v>#|Operations - Core Title
</v>
      </c>
      <c r="AH102" s="5"/>
      <c r="AI102" s="5"/>
      <c r="AJ102" s="5"/>
      <c r="AK102" s="5"/>
      <c r="AL102" s="5"/>
    </row>
    <row r="103">
      <c r="A103" s="5"/>
      <c r="B103" s="5" t="str">
        <f>'Ingest Template'!B103&amp;IF('Ingest Template'!A103 = "Standard", " - DAR","")</f>
        <v/>
      </c>
      <c r="C103" s="6" t="str">
        <f>'Ingest Template'!C103</f>
        <v/>
      </c>
      <c r="D103" s="7" t="str">
        <f>'Ingest Template'!E103</f>
        <v/>
      </c>
      <c r="E103" s="5"/>
      <c r="F103" s="5"/>
      <c r="G103" s="5"/>
      <c r="H103" s="7"/>
      <c r="I103" s="5"/>
      <c r="J103" s="7" t="str">
        <f>'Ingest Template'!Q103</f>
        <v/>
      </c>
      <c r="K103" s="5" t="str">
        <f>'Ingest Template'!R103</f>
        <v/>
      </c>
      <c r="L103" s="8" t="s">
        <v>38</v>
      </c>
      <c r="M103" s="9"/>
      <c r="N103" s="5"/>
      <c r="O103" s="5"/>
      <c r="P103" s="5"/>
      <c r="Q103" s="5"/>
      <c r="R103" s="5" t="str">
        <f>'Ingest Template'!D103</f>
        <v/>
      </c>
      <c r="S103" s="5" t="str">
        <f>'Ingest Template'!G103</f>
        <v/>
      </c>
      <c r="T103" s="5" t="str">
        <f>'Ingest Template'!H103</f>
        <v/>
      </c>
      <c r="U103" s="5" t="str">
        <f>LOWER(SUBSTITUTE(SUBSTITUTE(SUBSTITUTE(SUBSTITUTE(SUBSTITUTE('Ingest Template'!I103,"https:",""),"www.",""),"/",""),"?hl=en",""),"instagram.com",""))</f>
        <v/>
      </c>
      <c r="V103" s="10" t="str">
        <f>'Ingest Template'!J103</f>
        <v/>
      </c>
      <c r="W103" s="10" t="str">
        <f>'Ingest Template'!K103</f>
        <v/>
      </c>
      <c r="X103" s="5"/>
      <c r="Y103" s="5" t="str">
        <f>SUBSTITUTE(SUBSTITUTE(SUBSTITUTE('Ingest Template'!L103,"http:",""),"https:",""),"/","")</f>
        <v/>
      </c>
      <c r="Z103" s="5" t="str">
        <f t="array" ref="Z103">IF('Ingest Template'!A103="Standard",(IF(ISBLANK('Ingest Template'!M103),"", 'Ingest Template'!M103&amp;"|DAR")),(IF(ISBLANK('Ingest Template'!M103),"", 'Ingest Template'!M103&amp;"|Operations - Core Title")))</f>
        <v/>
      </c>
      <c r="AA103" s="5"/>
      <c r="AB103" s="5" t="str">
        <f>'Ingest Template'!F103</f>
        <v/>
      </c>
      <c r="AC103" s="5"/>
      <c r="AD103" s="5"/>
      <c r="AE103" s="5"/>
      <c r="AF103" s="8"/>
      <c r="AG103" s="5" t="str">
        <f t="array" ref="AG103">IF('Ingest Template'!A103="Standard",(CONCATENATE(IF(ISBLANK('Ingest Template'!N103),"", 'Ingest Template'!N103&amp;"|DAR"),CHAR(10), IF(ISBLANK('Ingest Template'!O103),"", 'Ingest Template'!O103&amp;"|DAR"),CHAR(10), IF(ISBLANK('Ingest Template'!P103),"", 'Ingest Template'!P103&amp;"|DAR"))),(CONCATENATE(IF(ISBLANK('Ingest Template'!N103),"", 'Ingest Template'!N103&amp;"|Operations - Core Title"),CHAR(10), IF(ISBLANK('Ingest Template'!O103),"", 'Ingest Template'!O103&amp;"|Operations - Core Title"),CHAR(10), IF(ISBLANK('Ingest Template'!P103),"", 'Ingest Template'!P103&amp;"|Operations - Core Title"))))</f>
        <v>#|Operations - Core Title
</v>
      </c>
      <c r="AH103" s="5"/>
      <c r="AI103" s="5"/>
      <c r="AJ103" s="5"/>
      <c r="AK103" s="5"/>
      <c r="AL103" s="5"/>
    </row>
    <row r="104">
      <c r="A104" s="5"/>
      <c r="B104" s="5" t="str">
        <f>'Ingest Template'!B104&amp;IF('Ingest Template'!A104 = "Standard", " - DAR","")</f>
        <v/>
      </c>
      <c r="C104" s="6" t="str">
        <f>'Ingest Template'!C104</f>
        <v/>
      </c>
      <c r="D104" s="7" t="str">
        <f>'Ingest Template'!E104</f>
        <v/>
      </c>
      <c r="E104" s="5"/>
      <c r="F104" s="5"/>
      <c r="G104" s="5"/>
      <c r="H104" s="7"/>
      <c r="I104" s="5"/>
      <c r="J104" s="7" t="str">
        <f>'Ingest Template'!Q104</f>
        <v/>
      </c>
      <c r="K104" s="5" t="str">
        <f>'Ingest Template'!R104</f>
        <v/>
      </c>
      <c r="L104" s="8" t="s">
        <v>38</v>
      </c>
      <c r="M104" s="9"/>
      <c r="N104" s="5"/>
      <c r="O104" s="5"/>
      <c r="P104" s="5"/>
      <c r="Q104" s="5"/>
      <c r="R104" s="5" t="str">
        <f>'Ingest Template'!D104</f>
        <v/>
      </c>
      <c r="S104" s="5" t="str">
        <f>'Ingest Template'!G104</f>
        <v/>
      </c>
      <c r="T104" s="5" t="str">
        <f>'Ingest Template'!H104</f>
        <v/>
      </c>
      <c r="U104" s="5" t="str">
        <f>LOWER(SUBSTITUTE(SUBSTITUTE(SUBSTITUTE(SUBSTITUTE(SUBSTITUTE('Ingest Template'!I104,"https:",""),"www.",""),"/",""),"?hl=en",""),"instagram.com",""))</f>
        <v/>
      </c>
      <c r="V104" s="10" t="str">
        <f>'Ingest Template'!J104</f>
        <v/>
      </c>
      <c r="W104" s="10" t="str">
        <f>'Ingest Template'!K104</f>
        <v/>
      </c>
      <c r="X104" s="5"/>
      <c r="Y104" s="5" t="str">
        <f>SUBSTITUTE(SUBSTITUTE(SUBSTITUTE('Ingest Template'!L104,"http:",""),"https:",""),"/","")</f>
        <v/>
      </c>
      <c r="Z104" s="5" t="str">
        <f t="array" ref="Z104">IF('Ingest Template'!A104="Standard",(IF(ISBLANK('Ingest Template'!M104),"", 'Ingest Template'!M104&amp;"|DAR")),(IF(ISBLANK('Ingest Template'!M104),"", 'Ingest Template'!M104&amp;"|Operations - Core Title")))</f>
        <v/>
      </c>
      <c r="AA104" s="5"/>
      <c r="AB104" s="5" t="str">
        <f>'Ingest Template'!F104</f>
        <v/>
      </c>
      <c r="AC104" s="5"/>
      <c r="AD104" s="5"/>
      <c r="AE104" s="5"/>
      <c r="AF104" s="8"/>
      <c r="AG104" s="5" t="str">
        <f t="array" ref="AG104">IF('Ingest Template'!A104="Standard",(CONCATENATE(IF(ISBLANK('Ingest Template'!N104),"", 'Ingest Template'!N104&amp;"|DAR"),CHAR(10), IF(ISBLANK('Ingest Template'!O104),"", 'Ingest Template'!O104&amp;"|DAR"),CHAR(10), IF(ISBLANK('Ingest Template'!P104),"", 'Ingest Template'!P104&amp;"|DAR"))),(CONCATENATE(IF(ISBLANK('Ingest Template'!N104),"", 'Ingest Template'!N104&amp;"|Operations - Core Title"),CHAR(10), IF(ISBLANK('Ingest Template'!O104),"", 'Ingest Template'!O104&amp;"|Operations - Core Title"),CHAR(10), IF(ISBLANK('Ingest Template'!P104),"", 'Ingest Template'!P104&amp;"|Operations - Core Title"))))</f>
        <v>#|Operations - Core Title
</v>
      </c>
      <c r="AH104" s="5"/>
      <c r="AI104" s="5"/>
      <c r="AJ104" s="5"/>
      <c r="AK104" s="5"/>
      <c r="AL104" s="5"/>
    </row>
    <row r="105">
      <c r="A105" s="5"/>
      <c r="B105" s="5" t="str">
        <f>'Ingest Template'!B105&amp;IF('Ingest Template'!A105 = "Standard", " - DAR","")</f>
        <v/>
      </c>
      <c r="C105" s="6" t="str">
        <f>'Ingest Template'!C105</f>
        <v/>
      </c>
      <c r="D105" s="7" t="str">
        <f>'Ingest Template'!E105</f>
        <v/>
      </c>
      <c r="E105" s="5"/>
      <c r="F105" s="5"/>
      <c r="G105" s="5"/>
      <c r="H105" s="7"/>
      <c r="I105" s="5"/>
      <c r="J105" s="7" t="str">
        <f>'Ingest Template'!Q105</f>
        <v/>
      </c>
      <c r="K105" s="5" t="str">
        <f>'Ingest Template'!R105</f>
        <v/>
      </c>
      <c r="L105" s="8" t="s">
        <v>38</v>
      </c>
      <c r="M105" s="9"/>
      <c r="N105" s="5"/>
      <c r="O105" s="5"/>
      <c r="P105" s="5"/>
      <c r="Q105" s="5"/>
      <c r="R105" s="5" t="str">
        <f>'Ingest Template'!D105</f>
        <v/>
      </c>
      <c r="S105" s="5" t="str">
        <f>'Ingest Template'!G105</f>
        <v/>
      </c>
      <c r="T105" s="5" t="str">
        <f>'Ingest Template'!H105</f>
        <v/>
      </c>
      <c r="U105" s="5" t="str">
        <f>LOWER(SUBSTITUTE(SUBSTITUTE(SUBSTITUTE(SUBSTITUTE(SUBSTITUTE('Ingest Template'!I105,"https:",""),"www.",""),"/",""),"?hl=en",""),"instagram.com",""))</f>
        <v/>
      </c>
      <c r="V105" s="10" t="str">
        <f>'Ingest Template'!J105</f>
        <v/>
      </c>
      <c r="W105" s="10" t="str">
        <f>'Ingest Template'!K105</f>
        <v/>
      </c>
      <c r="X105" s="5"/>
      <c r="Y105" s="5" t="str">
        <f>SUBSTITUTE(SUBSTITUTE(SUBSTITUTE('Ingest Template'!L105,"http:",""),"https:",""),"/","")</f>
        <v/>
      </c>
      <c r="Z105" s="5" t="str">
        <f t="array" ref="Z105">IF('Ingest Template'!A105="Standard",(IF(ISBLANK('Ingest Template'!M105),"", 'Ingest Template'!M105&amp;"|DAR")),(IF(ISBLANK('Ingest Template'!M105),"", 'Ingest Template'!M105&amp;"|Operations - Core Title")))</f>
        <v/>
      </c>
      <c r="AA105" s="5"/>
      <c r="AB105" s="5" t="str">
        <f>'Ingest Template'!F105</f>
        <v/>
      </c>
      <c r="AC105" s="5"/>
      <c r="AD105" s="5"/>
      <c r="AE105" s="5"/>
      <c r="AF105" s="8"/>
      <c r="AG105" s="5" t="str">
        <f t="array" ref="AG105">IF('Ingest Template'!A105="Standard",(CONCATENATE(IF(ISBLANK('Ingest Template'!N105),"", 'Ingest Template'!N105&amp;"|DAR"),CHAR(10), IF(ISBLANK('Ingest Template'!O105),"", 'Ingest Template'!O105&amp;"|DAR"),CHAR(10), IF(ISBLANK('Ingest Template'!P105),"", 'Ingest Template'!P105&amp;"|DAR"))),(CONCATENATE(IF(ISBLANK('Ingest Template'!N105),"", 'Ingest Template'!N105&amp;"|Operations - Core Title"),CHAR(10), IF(ISBLANK('Ingest Template'!O105),"", 'Ingest Template'!O105&amp;"|Operations - Core Title"),CHAR(10), IF(ISBLANK('Ingest Template'!P105),"", 'Ingest Template'!P105&amp;"|Operations - Core Title"))))</f>
        <v>#|Operations - Core Title
</v>
      </c>
      <c r="AH105" s="5"/>
      <c r="AI105" s="5"/>
      <c r="AJ105" s="5"/>
      <c r="AK105" s="5"/>
      <c r="AL105" s="5"/>
    </row>
    <row r="106">
      <c r="A106" s="5"/>
      <c r="B106" s="5" t="str">
        <f>'Ingest Template'!B106&amp;IF('Ingest Template'!A106 = "Standard", " - DAR","")</f>
        <v/>
      </c>
      <c r="C106" s="6" t="str">
        <f>'Ingest Template'!C106</f>
        <v/>
      </c>
      <c r="D106" s="7" t="str">
        <f>'Ingest Template'!E106</f>
        <v/>
      </c>
      <c r="E106" s="5"/>
      <c r="F106" s="5"/>
      <c r="G106" s="5"/>
      <c r="H106" s="7"/>
      <c r="I106" s="5"/>
      <c r="J106" s="7" t="str">
        <f>'Ingest Template'!Q106</f>
        <v/>
      </c>
      <c r="K106" s="5" t="str">
        <f>'Ingest Template'!R106</f>
        <v/>
      </c>
      <c r="L106" s="8" t="s">
        <v>38</v>
      </c>
      <c r="M106" s="9"/>
      <c r="N106" s="5"/>
      <c r="O106" s="5"/>
      <c r="P106" s="5"/>
      <c r="Q106" s="5"/>
      <c r="R106" s="5" t="str">
        <f>'Ingest Template'!D106</f>
        <v/>
      </c>
      <c r="S106" s="5" t="str">
        <f>'Ingest Template'!G106</f>
        <v/>
      </c>
      <c r="T106" s="5" t="str">
        <f>'Ingest Template'!H106</f>
        <v/>
      </c>
      <c r="U106" s="5" t="str">
        <f>LOWER(SUBSTITUTE(SUBSTITUTE(SUBSTITUTE(SUBSTITUTE(SUBSTITUTE('Ingest Template'!I106,"https:",""),"www.",""),"/",""),"?hl=en",""),"instagram.com",""))</f>
        <v/>
      </c>
      <c r="V106" s="10" t="str">
        <f>'Ingest Template'!J106</f>
        <v/>
      </c>
      <c r="W106" s="10" t="str">
        <f>'Ingest Template'!K106</f>
        <v/>
      </c>
      <c r="X106" s="5"/>
      <c r="Y106" s="5" t="str">
        <f>SUBSTITUTE(SUBSTITUTE(SUBSTITUTE('Ingest Template'!L106,"http:",""),"https:",""),"/","")</f>
        <v/>
      </c>
      <c r="Z106" s="5" t="str">
        <f t="array" ref="Z106">IF('Ingest Template'!A106="Standard",(IF(ISBLANK('Ingest Template'!M106),"", 'Ingest Template'!M106&amp;"|DAR")),(IF(ISBLANK('Ingest Template'!M106),"", 'Ingest Template'!M106&amp;"|Operations - Core Title")))</f>
        <v/>
      </c>
      <c r="AA106" s="5"/>
      <c r="AB106" s="5" t="str">
        <f>'Ingest Template'!F106</f>
        <v/>
      </c>
      <c r="AC106" s="5"/>
      <c r="AD106" s="5"/>
      <c r="AE106" s="5"/>
      <c r="AF106" s="8"/>
      <c r="AG106" s="5" t="str">
        <f t="array" ref="AG106">IF('Ingest Template'!A106="Standard",(CONCATENATE(IF(ISBLANK('Ingest Template'!N106),"", 'Ingest Template'!N106&amp;"|DAR"),CHAR(10), IF(ISBLANK('Ingest Template'!O106),"", 'Ingest Template'!O106&amp;"|DAR"),CHAR(10), IF(ISBLANK('Ingest Template'!P106),"", 'Ingest Template'!P106&amp;"|DAR"))),(CONCATENATE(IF(ISBLANK('Ingest Template'!N106),"", 'Ingest Template'!N106&amp;"|Operations - Core Title"),CHAR(10), IF(ISBLANK('Ingest Template'!O106),"", 'Ingest Template'!O106&amp;"|Operations - Core Title"),CHAR(10), IF(ISBLANK('Ingest Template'!P106),"", 'Ingest Template'!P106&amp;"|Operations - Core Title"))))</f>
        <v>#|Operations - Core Title
</v>
      </c>
      <c r="AH106" s="5"/>
      <c r="AI106" s="5"/>
      <c r="AJ106" s="5"/>
      <c r="AK106" s="5"/>
      <c r="AL106" s="5"/>
    </row>
    <row r="107">
      <c r="A107" s="5"/>
      <c r="B107" s="5" t="str">
        <f>'Ingest Template'!B107&amp;IF('Ingest Template'!A107 = "Standard", " - DAR","")</f>
        <v/>
      </c>
      <c r="C107" s="6" t="str">
        <f>'Ingest Template'!C107</f>
        <v/>
      </c>
      <c r="D107" s="7" t="str">
        <f>'Ingest Template'!E107</f>
        <v/>
      </c>
      <c r="E107" s="5"/>
      <c r="F107" s="5"/>
      <c r="G107" s="5"/>
      <c r="H107" s="7"/>
      <c r="I107" s="5"/>
      <c r="J107" s="7" t="str">
        <f>'Ingest Template'!Q107</f>
        <v/>
      </c>
      <c r="K107" s="5" t="str">
        <f>'Ingest Template'!R107</f>
        <v/>
      </c>
      <c r="L107" s="8" t="s">
        <v>38</v>
      </c>
      <c r="M107" s="9"/>
      <c r="N107" s="5"/>
      <c r="O107" s="5"/>
      <c r="P107" s="5"/>
      <c r="Q107" s="5"/>
      <c r="R107" s="5" t="str">
        <f>'Ingest Template'!D107</f>
        <v/>
      </c>
      <c r="S107" s="5" t="str">
        <f>'Ingest Template'!G107</f>
        <v/>
      </c>
      <c r="T107" s="5" t="str">
        <f>'Ingest Template'!H107</f>
        <v/>
      </c>
      <c r="U107" s="5" t="str">
        <f>LOWER(SUBSTITUTE(SUBSTITUTE(SUBSTITUTE(SUBSTITUTE(SUBSTITUTE('Ingest Template'!I107,"https:",""),"www.",""),"/",""),"?hl=en",""),"instagram.com",""))</f>
        <v/>
      </c>
      <c r="V107" s="10" t="str">
        <f>'Ingest Template'!J107</f>
        <v/>
      </c>
      <c r="W107" s="10" t="str">
        <f>'Ingest Template'!K107</f>
        <v/>
      </c>
      <c r="X107" s="5"/>
      <c r="Y107" s="5" t="str">
        <f>SUBSTITUTE(SUBSTITUTE(SUBSTITUTE('Ingest Template'!L107,"http:",""),"https:",""),"/","")</f>
        <v/>
      </c>
      <c r="Z107" s="5" t="str">
        <f t="array" ref="Z107">IF('Ingest Template'!A107="Standard",(IF(ISBLANK('Ingest Template'!M107),"", 'Ingest Template'!M107&amp;"|DAR")),(IF(ISBLANK('Ingest Template'!M107),"", 'Ingest Template'!M107&amp;"|Operations - Core Title")))</f>
        <v/>
      </c>
      <c r="AA107" s="5"/>
      <c r="AB107" s="5" t="str">
        <f>'Ingest Template'!F107</f>
        <v/>
      </c>
      <c r="AC107" s="5"/>
      <c r="AD107" s="5"/>
      <c r="AE107" s="5"/>
      <c r="AF107" s="8"/>
      <c r="AG107" s="5" t="str">
        <f t="array" ref="AG107">IF('Ingest Template'!A107="Standard",(CONCATENATE(IF(ISBLANK('Ingest Template'!N107),"", 'Ingest Template'!N107&amp;"|DAR"),CHAR(10), IF(ISBLANK('Ingest Template'!O107),"", 'Ingest Template'!O107&amp;"|DAR"),CHAR(10), IF(ISBLANK('Ingest Template'!P107),"", 'Ingest Template'!P107&amp;"|DAR"))),(CONCATENATE(IF(ISBLANK('Ingest Template'!N107),"", 'Ingest Template'!N107&amp;"|Operations - Core Title"),CHAR(10), IF(ISBLANK('Ingest Template'!O107),"", 'Ingest Template'!O107&amp;"|Operations - Core Title"),CHAR(10), IF(ISBLANK('Ingest Template'!P107),"", 'Ingest Template'!P107&amp;"|Operations - Core Title"))))</f>
        <v>#|Operations - Core Title
</v>
      </c>
      <c r="AH107" s="5"/>
      <c r="AI107" s="5"/>
      <c r="AJ107" s="5"/>
      <c r="AK107" s="5"/>
      <c r="AL107" s="5"/>
    </row>
    <row r="108">
      <c r="A108" s="5"/>
      <c r="B108" s="5" t="str">
        <f>'Ingest Template'!B108&amp;IF('Ingest Template'!A108 = "Standard", " - DAR","")</f>
        <v/>
      </c>
      <c r="C108" s="6" t="str">
        <f>'Ingest Template'!C108</f>
        <v/>
      </c>
      <c r="D108" s="7" t="str">
        <f>'Ingest Template'!E108</f>
        <v/>
      </c>
      <c r="E108" s="5"/>
      <c r="F108" s="5"/>
      <c r="G108" s="5"/>
      <c r="H108" s="7"/>
      <c r="I108" s="5"/>
      <c r="J108" s="7" t="str">
        <f>'Ingest Template'!Q108</f>
        <v/>
      </c>
      <c r="K108" s="5" t="str">
        <f>'Ingest Template'!R108</f>
        <v/>
      </c>
      <c r="L108" s="8" t="s">
        <v>38</v>
      </c>
      <c r="M108" s="9"/>
      <c r="N108" s="5"/>
      <c r="O108" s="5"/>
      <c r="P108" s="5"/>
      <c r="Q108" s="5"/>
      <c r="R108" s="5" t="str">
        <f>'Ingest Template'!D108</f>
        <v/>
      </c>
      <c r="S108" s="5" t="str">
        <f>'Ingest Template'!G108</f>
        <v/>
      </c>
      <c r="T108" s="5" t="str">
        <f>'Ingest Template'!H108</f>
        <v/>
      </c>
      <c r="U108" s="5" t="str">
        <f>LOWER(SUBSTITUTE(SUBSTITUTE(SUBSTITUTE(SUBSTITUTE(SUBSTITUTE('Ingest Template'!I108,"https:",""),"www.",""),"/",""),"?hl=en",""),"instagram.com",""))</f>
        <v/>
      </c>
      <c r="V108" s="10" t="str">
        <f>'Ingest Template'!J108</f>
        <v/>
      </c>
      <c r="W108" s="10" t="str">
        <f>'Ingest Template'!K108</f>
        <v/>
      </c>
      <c r="X108" s="5"/>
      <c r="Y108" s="5" t="str">
        <f>SUBSTITUTE(SUBSTITUTE(SUBSTITUTE('Ingest Template'!L108,"http:",""),"https:",""),"/","")</f>
        <v/>
      </c>
      <c r="Z108" s="5" t="str">
        <f t="array" ref="Z108">IF('Ingest Template'!A108="Standard",(IF(ISBLANK('Ingest Template'!M108),"", 'Ingest Template'!M108&amp;"|DAR")),(IF(ISBLANK('Ingest Template'!M108),"", 'Ingest Template'!M108&amp;"|Operations - Core Title")))</f>
        <v/>
      </c>
      <c r="AA108" s="5"/>
      <c r="AB108" s="5" t="str">
        <f>'Ingest Template'!F108</f>
        <v/>
      </c>
      <c r="AC108" s="5"/>
      <c r="AD108" s="5"/>
      <c r="AE108" s="5"/>
      <c r="AF108" s="8"/>
      <c r="AG108" s="5" t="str">
        <f t="array" ref="AG108">IF('Ingest Template'!A108="Standard",(CONCATENATE(IF(ISBLANK('Ingest Template'!N108),"", 'Ingest Template'!N108&amp;"|DAR"),CHAR(10), IF(ISBLANK('Ingest Template'!O108),"", 'Ingest Template'!O108&amp;"|DAR"),CHAR(10), IF(ISBLANK('Ingest Template'!P108),"", 'Ingest Template'!P108&amp;"|DAR"))),(CONCATENATE(IF(ISBLANK('Ingest Template'!N108),"", 'Ingest Template'!N108&amp;"|Operations - Core Title"),CHAR(10), IF(ISBLANK('Ingest Template'!O108),"", 'Ingest Template'!O108&amp;"|Operations - Core Title"),CHAR(10), IF(ISBLANK('Ingest Template'!P108),"", 'Ingest Template'!P108&amp;"|Operations - Core Title"))))</f>
        <v>#|Operations - Core Title
</v>
      </c>
      <c r="AH108" s="5"/>
      <c r="AI108" s="5"/>
      <c r="AJ108" s="5"/>
      <c r="AK108" s="5"/>
      <c r="AL108" s="5"/>
    </row>
    <row r="109">
      <c r="A109" s="5"/>
      <c r="B109" s="5" t="str">
        <f>'Ingest Template'!B109&amp;IF('Ingest Template'!A109 = "Standard", " - DAR","")</f>
        <v/>
      </c>
      <c r="C109" s="6" t="str">
        <f>'Ingest Template'!C109</f>
        <v/>
      </c>
      <c r="D109" s="7" t="str">
        <f>'Ingest Template'!E109</f>
        <v/>
      </c>
      <c r="E109" s="5"/>
      <c r="F109" s="5"/>
      <c r="G109" s="5"/>
      <c r="H109" s="7"/>
      <c r="I109" s="5"/>
      <c r="J109" s="7" t="str">
        <f>'Ingest Template'!Q109</f>
        <v/>
      </c>
      <c r="K109" s="5" t="str">
        <f>'Ingest Template'!R109</f>
        <v/>
      </c>
      <c r="L109" s="8" t="s">
        <v>38</v>
      </c>
      <c r="M109" s="9"/>
      <c r="N109" s="5"/>
      <c r="O109" s="5"/>
      <c r="P109" s="5"/>
      <c r="Q109" s="5"/>
      <c r="R109" s="5" t="str">
        <f>'Ingest Template'!D109</f>
        <v/>
      </c>
      <c r="S109" s="5" t="str">
        <f>'Ingest Template'!G109</f>
        <v/>
      </c>
      <c r="T109" s="5" t="str">
        <f>'Ingest Template'!H109</f>
        <v/>
      </c>
      <c r="U109" s="5" t="str">
        <f>LOWER(SUBSTITUTE(SUBSTITUTE(SUBSTITUTE(SUBSTITUTE(SUBSTITUTE('Ingest Template'!I109,"https:",""),"www.",""),"/",""),"?hl=en",""),"instagram.com",""))</f>
        <v/>
      </c>
      <c r="V109" s="10" t="str">
        <f>'Ingest Template'!J109</f>
        <v/>
      </c>
      <c r="W109" s="10" t="str">
        <f>'Ingest Template'!K109</f>
        <v/>
      </c>
      <c r="X109" s="5"/>
      <c r="Y109" s="5" t="str">
        <f>SUBSTITUTE(SUBSTITUTE(SUBSTITUTE('Ingest Template'!L109,"http:",""),"https:",""),"/","")</f>
        <v/>
      </c>
      <c r="Z109" s="5" t="str">
        <f t="array" ref="Z109">IF('Ingest Template'!A109="Standard",(IF(ISBLANK('Ingest Template'!M109),"", 'Ingest Template'!M109&amp;"|DAR")),(IF(ISBLANK('Ingest Template'!M109),"", 'Ingest Template'!M109&amp;"|Operations - Core Title")))</f>
        <v/>
      </c>
      <c r="AA109" s="5"/>
      <c r="AB109" s="5" t="str">
        <f>'Ingest Template'!F109</f>
        <v/>
      </c>
      <c r="AC109" s="5"/>
      <c r="AD109" s="5"/>
      <c r="AE109" s="5"/>
      <c r="AF109" s="8"/>
      <c r="AG109" s="5" t="str">
        <f t="array" ref="AG109">IF('Ingest Template'!A109="Standard",(CONCATENATE(IF(ISBLANK('Ingest Template'!N109),"", 'Ingest Template'!N109&amp;"|DAR"),CHAR(10), IF(ISBLANK('Ingest Template'!O109),"", 'Ingest Template'!O109&amp;"|DAR"),CHAR(10), IF(ISBLANK('Ingest Template'!P109),"", 'Ingest Template'!P109&amp;"|DAR"))),(CONCATENATE(IF(ISBLANK('Ingest Template'!N109),"", 'Ingest Template'!N109&amp;"|Operations - Core Title"),CHAR(10), IF(ISBLANK('Ingest Template'!O109),"", 'Ingest Template'!O109&amp;"|Operations - Core Title"),CHAR(10), IF(ISBLANK('Ingest Template'!P109),"", 'Ingest Template'!P109&amp;"|Operations - Core Title"))))</f>
        <v>#|Operations - Core Title
</v>
      </c>
      <c r="AH109" s="5"/>
      <c r="AI109" s="5"/>
      <c r="AJ109" s="5"/>
      <c r="AK109" s="5"/>
      <c r="AL109" s="5"/>
    </row>
    <row r="110">
      <c r="A110" s="5"/>
      <c r="B110" s="5" t="str">
        <f>'Ingest Template'!B110&amp;IF('Ingest Template'!A110 = "Standard", " - DAR","")</f>
        <v/>
      </c>
      <c r="C110" s="6" t="str">
        <f>'Ingest Template'!C110</f>
        <v/>
      </c>
      <c r="D110" s="7" t="str">
        <f>'Ingest Template'!E110</f>
        <v/>
      </c>
      <c r="E110" s="5"/>
      <c r="F110" s="5"/>
      <c r="G110" s="5"/>
      <c r="H110" s="7"/>
      <c r="I110" s="5"/>
      <c r="J110" s="7" t="str">
        <f>'Ingest Template'!Q110</f>
        <v/>
      </c>
      <c r="K110" s="5" t="str">
        <f>'Ingest Template'!R110</f>
        <v/>
      </c>
      <c r="L110" s="8" t="s">
        <v>38</v>
      </c>
      <c r="M110" s="9"/>
      <c r="N110" s="5"/>
      <c r="O110" s="5"/>
      <c r="P110" s="5"/>
      <c r="Q110" s="5"/>
      <c r="R110" s="5" t="str">
        <f>'Ingest Template'!D110</f>
        <v/>
      </c>
      <c r="S110" s="5" t="str">
        <f>'Ingest Template'!G110</f>
        <v/>
      </c>
      <c r="T110" s="5" t="str">
        <f>'Ingest Template'!H110</f>
        <v/>
      </c>
      <c r="U110" s="5" t="str">
        <f>LOWER(SUBSTITUTE(SUBSTITUTE(SUBSTITUTE(SUBSTITUTE(SUBSTITUTE('Ingest Template'!I110,"https:",""),"www.",""),"/",""),"?hl=en",""),"instagram.com",""))</f>
        <v/>
      </c>
      <c r="V110" s="10" t="str">
        <f>'Ingest Template'!J110</f>
        <v/>
      </c>
      <c r="W110" s="10" t="str">
        <f>'Ingest Template'!K110</f>
        <v/>
      </c>
      <c r="X110" s="5"/>
      <c r="Y110" s="5" t="str">
        <f>SUBSTITUTE(SUBSTITUTE(SUBSTITUTE('Ingest Template'!L110,"http:",""),"https:",""),"/","")</f>
        <v/>
      </c>
      <c r="Z110" s="5" t="str">
        <f t="array" ref="Z110">IF('Ingest Template'!A110="Standard",(IF(ISBLANK('Ingest Template'!M110),"", 'Ingest Template'!M110&amp;"|DAR")),(IF(ISBLANK('Ingest Template'!M110),"", 'Ingest Template'!M110&amp;"|Operations - Core Title")))</f>
        <v/>
      </c>
      <c r="AA110" s="5"/>
      <c r="AB110" s="5" t="str">
        <f>'Ingest Template'!F110</f>
        <v/>
      </c>
      <c r="AC110" s="5"/>
      <c r="AD110" s="5"/>
      <c r="AE110" s="5"/>
      <c r="AF110" s="8"/>
      <c r="AG110" s="5" t="str">
        <f t="array" ref="AG110">IF('Ingest Template'!A110="Standard",(CONCATENATE(IF(ISBLANK('Ingest Template'!N110),"", 'Ingest Template'!N110&amp;"|DAR"),CHAR(10), IF(ISBLANK('Ingest Template'!O110),"", 'Ingest Template'!O110&amp;"|DAR"),CHAR(10), IF(ISBLANK('Ingest Template'!P110),"", 'Ingest Template'!P110&amp;"|DAR"))),(CONCATENATE(IF(ISBLANK('Ingest Template'!N110),"", 'Ingest Template'!N110&amp;"|Operations - Core Title"),CHAR(10), IF(ISBLANK('Ingest Template'!O110),"", 'Ingest Template'!O110&amp;"|Operations - Core Title"),CHAR(10), IF(ISBLANK('Ingest Template'!P110),"", 'Ingest Template'!P110&amp;"|Operations - Core Title"))))</f>
        <v>#|Operations - Core Title
</v>
      </c>
      <c r="AH110" s="5"/>
      <c r="AI110" s="5"/>
      <c r="AJ110" s="5"/>
      <c r="AK110" s="5"/>
      <c r="AL110" s="5"/>
    </row>
    <row r="111">
      <c r="A111" s="5"/>
      <c r="B111" s="5" t="str">
        <f>'Ingest Template'!B111&amp;IF('Ingest Template'!A111 = "Standard", " - DAR","")</f>
        <v/>
      </c>
      <c r="C111" s="6" t="str">
        <f>'Ingest Template'!C111</f>
        <v/>
      </c>
      <c r="D111" s="7" t="str">
        <f>'Ingest Template'!E111</f>
        <v/>
      </c>
      <c r="E111" s="5"/>
      <c r="F111" s="5"/>
      <c r="G111" s="5"/>
      <c r="H111" s="7"/>
      <c r="I111" s="5"/>
      <c r="J111" s="7" t="str">
        <f>'Ingest Template'!Q111</f>
        <v/>
      </c>
      <c r="K111" s="5" t="str">
        <f>'Ingest Template'!R111</f>
        <v/>
      </c>
      <c r="L111" s="8" t="s">
        <v>38</v>
      </c>
      <c r="M111" s="9"/>
      <c r="N111" s="5"/>
      <c r="O111" s="5"/>
      <c r="P111" s="5"/>
      <c r="Q111" s="5"/>
      <c r="R111" s="5" t="str">
        <f>'Ingest Template'!D111</f>
        <v/>
      </c>
      <c r="S111" s="5" t="str">
        <f>'Ingest Template'!G111</f>
        <v/>
      </c>
      <c r="T111" s="5" t="str">
        <f>'Ingest Template'!H111</f>
        <v/>
      </c>
      <c r="U111" s="5" t="str">
        <f>LOWER(SUBSTITUTE(SUBSTITUTE(SUBSTITUTE(SUBSTITUTE(SUBSTITUTE('Ingest Template'!I111,"https:",""),"www.",""),"/",""),"?hl=en",""),"instagram.com",""))</f>
        <v/>
      </c>
      <c r="V111" s="10" t="str">
        <f>'Ingest Template'!J111</f>
        <v/>
      </c>
      <c r="W111" s="10" t="str">
        <f>'Ingest Template'!K111</f>
        <v/>
      </c>
      <c r="X111" s="5"/>
      <c r="Y111" s="5" t="str">
        <f>SUBSTITUTE(SUBSTITUTE(SUBSTITUTE('Ingest Template'!L111,"http:",""),"https:",""),"/","")</f>
        <v/>
      </c>
      <c r="Z111" s="5" t="str">
        <f t="array" ref="Z111">IF('Ingest Template'!A111="Standard",(IF(ISBLANK('Ingest Template'!M111),"", 'Ingest Template'!M111&amp;"|DAR")),(IF(ISBLANK('Ingest Template'!M111),"", 'Ingest Template'!M111&amp;"|Operations - Core Title")))</f>
        <v/>
      </c>
      <c r="AA111" s="5"/>
      <c r="AB111" s="5" t="str">
        <f>'Ingest Template'!F111</f>
        <v/>
      </c>
      <c r="AC111" s="5"/>
      <c r="AD111" s="5"/>
      <c r="AE111" s="5"/>
      <c r="AF111" s="8"/>
      <c r="AG111" s="5" t="str">
        <f t="array" ref="AG111">IF('Ingest Template'!A111="Standard",(CONCATENATE(IF(ISBLANK('Ingest Template'!N111),"", 'Ingest Template'!N111&amp;"|DAR"),CHAR(10), IF(ISBLANK('Ingest Template'!O111),"", 'Ingest Template'!O111&amp;"|DAR"),CHAR(10), IF(ISBLANK('Ingest Template'!P111),"", 'Ingest Template'!P111&amp;"|DAR"))),(CONCATENATE(IF(ISBLANK('Ingest Template'!N111),"", 'Ingest Template'!N111&amp;"|Operations - Core Title"),CHAR(10), IF(ISBLANK('Ingest Template'!O111),"", 'Ingest Template'!O111&amp;"|Operations - Core Title"),CHAR(10), IF(ISBLANK('Ingest Template'!P111),"", 'Ingest Template'!P111&amp;"|Operations - Core Title"))))</f>
        <v>#|Operations - Core Title
</v>
      </c>
      <c r="AH111" s="5"/>
      <c r="AI111" s="5"/>
      <c r="AJ111" s="5"/>
      <c r="AK111" s="5"/>
      <c r="AL111" s="5"/>
    </row>
    <row r="112">
      <c r="A112" s="5"/>
      <c r="B112" s="5" t="str">
        <f>'Ingest Template'!B112&amp;IF('Ingest Template'!A112 = "Standard", " - DAR","")</f>
        <v/>
      </c>
      <c r="C112" s="6" t="str">
        <f>'Ingest Template'!C112</f>
        <v/>
      </c>
      <c r="D112" s="7" t="str">
        <f>'Ingest Template'!E112</f>
        <v/>
      </c>
      <c r="E112" s="5"/>
      <c r="F112" s="5"/>
      <c r="G112" s="5"/>
      <c r="H112" s="7"/>
      <c r="I112" s="5"/>
      <c r="J112" s="7" t="str">
        <f>'Ingest Template'!Q112</f>
        <v/>
      </c>
      <c r="K112" s="5" t="str">
        <f>'Ingest Template'!R112</f>
        <v/>
      </c>
      <c r="L112" s="8" t="s">
        <v>38</v>
      </c>
      <c r="M112" s="9"/>
      <c r="N112" s="5"/>
      <c r="O112" s="5"/>
      <c r="P112" s="5"/>
      <c r="Q112" s="5"/>
      <c r="R112" s="5" t="str">
        <f>'Ingest Template'!D112</f>
        <v/>
      </c>
      <c r="S112" s="5" t="str">
        <f>'Ingest Template'!G112</f>
        <v/>
      </c>
      <c r="T112" s="5" t="str">
        <f>'Ingest Template'!H112</f>
        <v/>
      </c>
      <c r="U112" s="5" t="str">
        <f>LOWER(SUBSTITUTE(SUBSTITUTE(SUBSTITUTE(SUBSTITUTE(SUBSTITUTE('Ingest Template'!I112,"https:",""),"www.",""),"/",""),"?hl=en",""),"instagram.com",""))</f>
        <v/>
      </c>
      <c r="V112" s="10" t="str">
        <f>'Ingest Template'!J112</f>
        <v/>
      </c>
      <c r="W112" s="10" t="str">
        <f>'Ingest Template'!K112</f>
        <v/>
      </c>
      <c r="X112" s="5"/>
      <c r="Y112" s="5" t="str">
        <f>SUBSTITUTE(SUBSTITUTE(SUBSTITUTE('Ingest Template'!L112,"http:",""),"https:",""),"/","")</f>
        <v/>
      </c>
      <c r="Z112" s="5" t="str">
        <f t="array" ref="Z112">IF('Ingest Template'!A112="Standard",(IF(ISBLANK('Ingest Template'!M112),"", 'Ingest Template'!M112&amp;"|DAR")),(IF(ISBLANK('Ingest Template'!M112),"", 'Ingest Template'!M112&amp;"|Operations - Core Title")))</f>
        <v/>
      </c>
      <c r="AA112" s="5"/>
      <c r="AB112" s="5" t="str">
        <f>'Ingest Template'!F112</f>
        <v/>
      </c>
      <c r="AC112" s="5"/>
      <c r="AD112" s="5"/>
      <c r="AE112" s="5"/>
      <c r="AF112" s="8"/>
      <c r="AG112" s="5" t="str">
        <f t="array" ref="AG112">IF('Ingest Template'!A112="Standard",(CONCATENATE(IF(ISBLANK('Ingest Template'!N112),"", 'Ingest Template'!N112&amp;"|DAR"),CHAR(10), IF(ISBLANK('Ingest Template'!O112),"", 'Ingest Template'!O112&amp;"|DAR"),CHAR(10), IF(ISBLANK('Ingest Template'!P112),"", 'Ingest Template'!P112&amp;"|DAR"))),(CONCATENATE(IF(ISBLANK('Ingest Template'!N112),"", 'Ingest Template'!N112&amp;"|Operations - Core Title"),CHAR(10), IF(ISBLANK('Ingest Template'!O112),"", 'Ingest Template'!O112&amp;"|Operations - Core Title"),CHAR(10), IF(ISBLANK('Ingest Template'!P112),"", 'Ingest Template'!P112&amp;"|Operations - Core Title"))))</f>
        <v>#|Operations - Core Title
</v>
      </c>
      <c r="AH112" s="5"/>
      <c r="AI112" s="5"/>
      <c r="AJ112" s="5"/>
      <c r="AK112" s="5"/>
      <c r="AL112" s="5"/>
    </row>
    <row r="113">
      <c r="A113" s="5"/>
      <c r="B113" s="5" t="str">
        <f>'Ingest Template'!B113&amp;IF('Ingest Template'!A113 = "Standard", " - DAR","")</f>
        <v/>
      </c>
      <c r="C113" s="6" t="str">
        <f>'Ingest Template'!C113</f>
        <v/>
      </c>
      <c r="D113" s="7" t="str">
        <f>'Ingest Template'!E113</f>
        <v/>
      </c>
      <c r="E113" s="5"/>
      <c r="F113" s="5"/>
      <c r="G113" s="5"/>
      <c r="H113" s="7"/>
      <c r="I113" s="5"/>
      <c r="J113" s="7" t="str">
        <f>'Ingest Template'!Q113</f>
        <v/>
      </c>
      <c r="K113" s="5" t="str">
        <f>'Ingest Template'!R113</f>
        <v/>
      </c>
      <c r="L113" s="8" t="s">
        <v>38</v>
      </c>
      <c r="M113" s="9"/>
      <c r="N113" s="5"/>
      <c r="O113" s="5"/>
      <c r="P113" s="5"/>
      <c r="Q113" s="5"/>
      <c r="R113" s="5" t="str">
        <f>'Ingest Template'!D113</f>
        <v/>
      </c>
      <c r="S113" s="5" t="str">
        <f>'Ingest Template'!G113</f>
        <v/>
      </c>
      <c r="T113" s="5" t="str">
        <f>'Ingest Template'!H113</f>
        <v/>
      </c>
      <c r="U113" s="5" t="str">
        <f>LOWER(SUBSTITUTE(SUBSTITUTE(SUBSTITUTE(SUBSTITUTE(SUBSTITUTE('Ingest Template'!I113,"https:",""),"www.",""),"/",""),"?hl=en",""),"instagram.com",""))</f>
        <v/>
      </c>
      <c r="V113" s="10" t="str">
        <f>'Ingest Template'!J113</f>
        <v/>
      </c>
      <c r="W113" s="10" t="str">
        <f>'Ingest Template'!K113</f>
        <v/>
      </c>
      <c r="X113" s="5"/>
      <c r="Y113" s="5" t="str">
        <f>SUBSTITUTE(SUBSTITUTE(SUBSTITUTE('Ingest Template'!L113,"http:",""),"https:",""),"/","")</f>
        <v/>
      </c>
      <c r="Z113" s="5" t="str">
        <f t="array" ref="Z113">IF('Ingest Template'!A113="Standard",(IF(ISBLANK('Ingest Template'!M113),"", 'Ingest Template'!M113&amp;"|DAR")),(IF(ISBLANK('Ingest Template'!M113),"", 'Ingest Template'!M113&amp;"|Operations - Core Title")))</f>
        <v/>
      </c>
      <c r="AA113" s="5"/>
      <c r="AB113" s="5" t="str">
        <f>'Ingest Template'!F113</f>
        <v/>
      </c>
      <c r="AC113" s="5"/>
      <c r="AD113" s="5"/>
      <c r="AE113" s="5"/>
      <c r="AF113" s="8"/>
      <c r="AG113" s="5" t="str">
        <f t="array" ref="AG113">IF('Ingest Template'!A113="Standard",(CONCATENATE(IF(ISBLANK('Ingest Template'!N113),"", 'Ingest Template'!N113&amp;"|DAR"),CHAR(10), IF(ISBLANK('Ingest Template'!O113),"", 'Ingest Template'!O113&amp;"|DAR"),CHAR(10), IF(ISBLANK('Ingest Template'!P113),"", 'Ingest Template'!P113&amp;"|DAR"))),(CONCATENATE(IF(ISBLANK('Ingest Template'!N113),"", 'Ingest Template'!N113&amp;"|Operations - Core Title"),CHAR(10), IF(ISBLANK('Ingest Template'!O113),"", 'Ingest Template'!O113&amp;"|Operations - Core Title"),CHAR(10), IF(ISBLANK('Ingest Template'!P113),"", 'Ingest Template'!P113&amp;"|Operations - Core Title"))))</f>
        <v>#|Operations - Core Title
</v>
      </c>
      <c r="AH113" s="5"/>
      <c r="AI113" s="5"/>
      <c r="AJ113" s="5"/>
      <c r="AK113" s="5"/>
      <c r="AL113" s="5"/>
    </row>
    <row r="114">
      <c r="A114" s="5"/>
      <c r="B114" s="5" t="str">
        <f>'Ingest Template'!B114&amp;IF('Ingest Template'!A114 = "Standard", " - DAR","")</f>
        <v/>
      </c>
      <c r="C114" s="6" t="str">
        <f>'Ingest Template'!C114</f>
        <v/>
      </c>
      <c r="D114" s="7" t="str">
        <f>'Ingest Template'!E114</f>
        <v/>
      </c>
      <c r="E114" s="5"/>
      <c r="F114" s="5"/>
      <c r="G114" s="5"/>
      <c r="H114" s="7"/>
      <c r="I114" s="5"/>
      <c r="J114" s="7" t="str">
        <f>'Ingest Template'!Q114</f>
        <v/>
      </c>
      <c r="K114" s="5" t="str">
        <f>'Ingest Template'!R114</f>
        <v/>
      </c>
      <c r="L114" s="8" t="s">
        <v>38</v>
      </c>
      <c r="M114" s="9"/>
      <c r="N114" s="5"/>
      <c r="O114" s="5"/>
      <c r="P114" s="5"/>
      <c r="Q114" s="5"/>
      <c r="R114" s="5" t="str">
        <f>'Ingest Template'!D114</f>
        <v/>
      </c>
      <c r="S114" s="5" t="str">
        <f>'Ingest Template'!G114</f>
        <v/>
      </c>
      <c r="T114" s="5" t="str">
        <f>'Ingest Template'!H114</f>
        <v/>
      </c>
      <c r="U114" s="5" t="str">
        <f>LOWER(SUBSTITUTE(SUBSTITUTE(SUBSTITUTE(SUBSTITUTE(SUBSTITUTE('Ingest Template'!I114,"https:",""),"www.",""),"/",""),"?hl=en",""),"instagram.com",""))</f>
        <v/>
      </c>
      <c r="V114" s="10" t="str">
        <f>'Ingest Template'!J114</f>
        <v/>
      </c>
      <c r="W114" s="10" t="str">
        <f>'Ingest Template'!K114</f>
        <v/>
      </c>
      <c r="X114" s="5"/>
      <c r="Y114" s="5" t="str">
        <f>SUBSTITUTE(SUBSTITUTE(SUBSTITUTE('Ingest Template'!L114,"http:",""),"https:",""),"/","")</f>
        <v/>
      </c>
      <c r="Z114" s="5" t="str">
        <f t="array" ref="Z114">IF('Ingest Template'!A114="Standard",(IF(ISBLANK('Ingest Template'!M114),"", 'Ingest Template'!M114&amp;"|DAR")),(IF(ISBLANK('Ingest Template'!M114),"", 'Ingest Template'!M114&amp;"|Operations - Core Title")))</f>
        <v/>
      </c>
      <c r="AA114" s="5"/>
      <c r="AB114" s="5" t="str">
        <f>'Ingest Template'!F114</f>
        <v/>
      </c>
      <c r="AC114" s="5"/>
      <c r="AD114" s="5"/>
      <c r="AE114" s="5"/>
      <c r="AF114" s="8"/>
      <c r="AG114" s="5" t="str">
        <f t="array" ref="AG114">IF('Ingest Template'!A114="Standard",(CONCATENATE(IF(ISBLANK('Ingest Template'!N114),"", 'Ingest Template'!N114&amp;"|DAR"),CHAR(10), IF(ISBLANK('Ingest Template'!O114),"", 'Ingest Template'!O114&amp;"|DAR"),CHAR(10), IF(ISBLANK('Ingest Template'!P114),"", 'Ingest Template'!P114&amp;"|DAR"))),(CONCATENATE(IF(ISBLANK('Ingest Template'!N114),"", 'Ingest Template'!N114&amp;"|Operations - Core Title"),CHAR(10), IF(ISBLANK('Ingest Template'!O114),"", 'Ingest Template'!O114&amp;"|Operations - Core Title"),CHAR(10), IF(ISBLANK('Ingest Template'!P114),"", 'Ingest Template'!P114&amp;"|Operations - Core Title"))))</f>
        <v>#|Operations - Core Title
</v>
      </c>
      <c r="AH114" s="5"/>
      <c r="AI114" s="5"/>
      <c r="AJ114" s="5"/>
      <c r="AK114" s="5"/>
      <c r="AL114" s="5"/>
    </row>
    <row r="115">
      <c r="A115" s="5"/>
      <c r="B115" s="5" t="str">
        <f>'Ingest Template'!B115&amp;IF('Ingest Template'!A115 = "Standard", " - DAR","")</f>
        <v/>
      </c>
      <c r="C115" s="6" t="str">
        <f>'Ingest Template'!C115</f>
        <v/>
      </c>
      <c r="D115" s="7" t="str">
        <f>'Ingest Template'!E115</f>
        <v/>
      </c>
      <c r="E115" s="5"/>
      <c r="F115" s="5"/>
      <c r="G115" s="5"/>
      <c r="H115" s="7"/>
      <c r="I115" s="5"/>
      <c r="J115" s="7" t="str">
        <f>'Ingest Template'!Q115</f>
        <v/>
      </c>
      <c r="K115" s="5" t="str">
        <f>'Ingest Template'!R115</f>
        <v/>
      </c>
      <c r="L115" s="8" t="s">
        <v>38</v>
      </c>
      <c r="M115" s="9"/>
      <c r="N115" s="5"/>
      <c r="O115" s="5"/>
      <c r="P115" s="5"/>
      <c r="Q115" s="5"/>
      <c r="R115" s="5" t="str">
        <f>'Ingest Template'!D115</f>
        <v/>
      </c>
      <c r="S115" s="5" t="str">
        <f>'Ingest Template'!G115</f>
        <v/>
      </c>
      <c r="T115" s="5" t="str">
        <f>'Ingest Template'!H115</f>
        <v/>
      </c>
      <c r="U115" s="5" t="str">
        <f>LOWER(SUBSTITUTE(SUBSTITUTE(SUBSTITUTE(SUBSTITUTE(SUBSTITUTE('Ingest Template'!I115,"https:",""),"www.",""),"/",""),"?hl=en",""),"instagram.com",""))</f>
        <v/>
      </c>
      <c r="V115" s="10" t="str">
        <f>'Ingest Template'!J115</f>
        <v/>
      </c>
      <c r="W115" s="10" t="str">
        <f>'Ingest Template'!K115</f>
        <v/>
      </c>
      <c r="X115" s="5"/>
      <c r="Y115" s="5" t="str">
        <f>SUBSTITUTE(SUBSTITUTE(SUBSTITUTE('Ingest Template'!L115,"http:",""),"https:",""),"/","")</f>
        <v/>
      </c>
      <c r="Z115" s="5" t="str">
        <f t="array" ref="Z115">IF('Ingest Template'!A115="Standard",(IF(ISBLANK('Ingest Template'!M115),"", 'Ingest Template'!M115&amp;"|DAR")),(IF(ISBLANK('Ingest Template'!M115),"", 'Ingest Template'!M115&amp;"|Operations - Core Title")))</f>
        <v/>
      </c>
      <c r="AA115" s="5"/>
      <c r="AB115" s="5" t="str">
        <f>'Ingest Template'!F115</f>
        <v/>
      </c>
      <c r="AC115" s="5"/>
      <c r="AD115" s="5"/>
      <c r="AE115" s="5"/>
      <c r="AF115" s="8"/>
      <c r="AG115" s="5" t="str">
        <f t="array" ref="AG115">IF('Ingest Template'!A115="Standard",(CONCATENATE(IF(ISBLANK('Ingest Template'!N115),"", 'Ingest Template'!N115&amp;"|DAR"),CHAR(10), IF(ISBLANK('Ingest Template'!O115),"", 'Ingest Template'!O115&amp;"|DAR"),CHAR(10), IF(ISBLANK('Ingest Template'!P115),"", 'Ingest Template'!P115&amp;"|DAR"))),(CONCATENATE(IF(ISBLANK('Ingest Template'!N115),"", 'Ingest Template'!N115&amp;"|Operations - Core Title"),CHAR(10), IF(ISBLANK('Ingest Template'!O115),"", 'Ingest Template'!O115&amp;"|Operations - Core Title"),CHAR(10), IF(ISBLANK('Ingest Template'!P115),"", 'Ingest Template'!P115&amp;"|Operations - Core Title"))))</f>
        <v>#|Operations - Core Title
</v>
      </c>
      <c r="AH115" s="5"/>
      <c r="AI115" s="5"/>
      <c r="AJ115" s="5"/>
      <c r="AK115" s="5"/>
      <c r="AL115" s="5"/>
    </row>
    <row r="116">
      <c r="A116" s="5"/>
      <c r="B116" s="5" t="str">
        <f>'Ingest Template'!B116&amp;IF('Ingest Template'!A116 = "Standard", " - DAR","")</f>
        <v/>
      </c>
      <c r="C116" s="6" t="str">
        <f>'Ingest Template'!C116</f>
        <v/>
      </c>
      <c r="D116" s="7" t="str">
        <f>'Ingest Template'!E116</f>
        <v/>
      </c>
      <c r="E116" s="5"/>
      <c r="F116" s="5"/>
      <c r="G116" s="5"/>
      <c r="H116" s="7"/>
      <c r="I116" s="5"/>
      <c r="J116" s="7" t="str">
        <f>'Ingest Template'!Q116</f>
        <v/>
      </c>
      <c r="K116" s="5" t="str">
        <f>'Ingest Template'!R116</f>
        <v/>
      </c>
      <c r="L116" s="8" t="s">
        <v>38</v>
      </c>
      <c r="M116" s="9"/>
      <c r="N116" s="5"/>
      <c r="O116" s="5"/>
      <c r="P116" s="5"/>
      <c r="Q116" s="5"/>
      <c r="R116" s="5" t="str">
        <f>'Ingest Template'!D116</f>
        <v/>
      </c>
      <c r="S116" s="5" t="str">
        <f>'Ingest Template'!G116</f>
        <v/>
      </c>
      <c r="T116" s="5" t="str">
        <f>'Ingest Template'!H116</f>
        <v/>
      </c>
      <c r="U116" s="5" t="str">
        <f>LOWER(SUBSTITUTE(SUBSTITUTE(SUBSTITUTE(SUBSTITUTE(SUBSTITUTE('Ingest Template'!I116,"https:",""),"www.",""),"/",""),"?hl=en",""),"instagram.com",""))</f>
        <v/>
      </c>
      <c r="V116" s="10" t="str">
        <f>'Ingest Template'!J116</f>
        <v/>
      </c>
      <c r="W116" s="10" t="str">
        <f>'Ingest Template'!K116</f>
        <v/>
      </c>
      <c r="X116" s="5"/>
      <c r="Y116" s="5" t="str">
        <f>SUBSTITUTE(SUBSTITUTE(SUBSTITUTE('Ingest Template'!L116,"http:",""),"https:",""),"/","")</f>
        <v/>
      </c>
      <c r="Z116" s="5" t="str">
        <f t="array" ref="Z116">IF('Ingest Template'!A116="Standard",(IF(ISBLANK('Ingest Template'!M116),"", 'Ingest Template'!M116&amp;"|DAR")),(IF(ISBLANK('Ingest Template'!M116),"", 'Ingest Template'!M116&amp;"|Operations - Core Title")))</f>
        <v/>
      </c>
      <c r="AA116" s="5"/>
      <c r="AB116" s="5" t="str">
        <f>'Ingest Template'!F116</f>
        <v/>
      </c>
      <c r="AC116" s="5"/>
      <c r="AD116" s="5"/>
      <c r="AE116" s="5"/>
      <c r="AF116" s="8"/>
      <c r="AG116" s="5" t="str">
        <f t="array" ref="AG116">IF('Ingest Template'!A116="Standard",(CONCATENATE(IF(ISBLANK('Ingest Template'!N116),"", 'Ingest Template'!N116&amp;"|DAR"),CHAR(10), IF(ISBLANK('Ingest Template'!O116),"", 'Ingest Template'!O116&amp;"|DAR"),CHAR(10), IF(ISBLANK('Ingest Template'!P116),"", 'Ingest Template'!P116&amp;"|DAR"))),(CONCATENATE(IF(ISBLANK('Ingest Template'!N116),"", 'Ingest Template'!N116&amp;"|Operations - Core Title"),CHAR(10), IF(ISBLANK('Ingest Template'!O116),"", 'Ingest Template'!O116&amp;"|Operations - Core Title"),CHAR(10), IF(ISBLANK('Ingest Template'!P116),"", 'Ingest Template'!P116&amp;"|Operations - Core Title"))))</f>
        <v>#|Operations - Core Title
</v>
      </c>
      <c r="AH116" s="5"/>
      <c r="AI116" s="5"/>
      <c r="AJ116" s="5"/>
      <c r="AK116" s="5"/>
      <c r="AL116" s="5"/>
    </row>
    <row r="117">
      <c r="A117" s="5"/>
      <c r="B117" s="5" t="str">
        <f>'Ingest Template'!B117&amp;IF('Ingest Template'!A117 = "Standard", " - DAR","")</f>
        <v/>
      </c>
      <c r="C117" s="6" t="str">
        <f>'Ingest Template'!C117</f>
        <v/>
      </c>
      <c r="D117" s="7" t="str">
        <f>'Ingest Template'!E117</f>
        <v/>
      </c>
      <c r="E117" s="5"/>
      <c r="F117" s="5"/>
      <c r="G117" s="5"/>
      <c r="H117" s="7"/>
      <c r="I117" s="5"/>
      <c r="J117" s="7" t="str">
        <f>'Ingest Template'!Q117</f>
        <v/>
      </c>
      <c r="K117" s="5" t="str">
        <f>'Ingest Template'!R117</f>
        <v/>
      </c>
      <c r="L117" s="8" t="s">
        <v>38</v>
      </c>
      <c r="M117" s="9"/>
      <c r="N117" s="5"/>
      <c r="O117" s="5"/>
      <c r="P117" s="5"/>
      <c r="Q117" s="5"/>
      <c r="R117" s="5" t="str">
        <f>'Ingest Template'!D117</f>
        <v/>
      </c>
      <c r="S117" s="5" t="str">
        <f>'Ingest Template'!G117</f>
        <v/>
      </c>
      <c r="T117" s="5" t="str">
        <f>'Ingest Template'!H117</f>
        <v/>
      </c>
      <c r="U117" s="5" t="str">
        <f>LOWER(SUBSTITUTE(SUBSTITUTE(SUBSTITUTE(SUBSTITUTE(SUBSTITUTE('Ingest Template'!I117,"https:",""),"www.",""),"/",""),"?hl=en",""),"instagram.com",""))</f>
        <v/>
      </c>
      <c r="V117" s="10" t="str">
        <f>'Ingest Template'!J117</f>
        <v/>
      </c>
      <c r="W117" s="10" t="str">
        <f>'Ingest Template'!K117</f>
        <v/>
      </c>
      <c r="X117" s="5"/>
      <c r="Y117" s="5" t="str">
        <f>SUBSTITUTE(SUBSTITUTE(SUBSTITUTE('Ingest Template'!L117,"http:",""),"https:",""),"/","")</f>
        <v/>
      </c>
      <c r="Z117" s="5" t="str">
        <f t="array" ref="Z117">IF('Ingest Template'!A117="Standard",(IF(ISBLANK('Ingest Template'!M117),"", 'Ingest Template'!M117&amp;"|DAR")),(IF(ISBLANK('Ingest Template'!M117),"", 'Ingest Template'!M117&amp;"|Operations - Core Title")))</f>
        <v/>
      </c>
      <c r="AA117" s="5"/>
      <c r="AB117" s="5" t="str">
        <f>'Ingest Template'!F117</f>
        <v/>
      </c>
      <c r="AC117" s="5"/>
      <c r="AD117" s="5"/>
      <c r="AE117" s="5"/>
      <c r="AF117" s="8"/>
      <c r="AG117" s="5" t="str">
        <f t="array" ref="AG117">IF('Ingest Template'!A117="Standard",(CONCATENATE(IF(ISBLANK('Ingest Template'!N117),"", 'Ingest Template'!N117&amp;"|DAR"),CHAR(10), IF(ISBLANK('Ingest Template'!O117),"", 'Ingest Template'!O117&amp;"|DAR"),CHAR(10), IF(ISBLANK('Ingest Template'!P117),"", 'Ingest Template'!P117&amp;"|DAR"))),(CONCATENATE(IF(ISBLANK('Ingest Template'!N117),"", 'Ingest Template'!N117&amp;"|Operations - Core Title"),CHAR(10), IF(ISBLANK('Ingest Template'!O117),"", 'Ingest Template'!O117&amp;"|Operations - Core Title"),CHAR(10), IF(ISBLANK('Ingest Template'!P117),"", 'Ingest Template'!P117&amp;"|Operations - Core Title"))))</f>
        <v>#|Operations - Core Title
</v>
      </c>
      <c r="AH117" s="5"/>
      <c r="AI117" s="5"/>
      <c r="AJ117" s="5"/>
      <c r="AK117" s="5"/>
      <c r="AL117" s="5"/>
    </row>
    <row r="118">
      <c r="A118" s="5"/>
      <c r="B118" s="5" t="str">
        <f>'Ingest Template'!B118&amp;IF('Ingest Template'!A118 = "Standard", " - DAR","")</f>
        <v/>
      </c>
      <c r="C118" s="6" t="str">
        <f>'Ingest Template'!C118</f>
        <v/>
      </c>
      <c r="D118" s="7" t="str">
        <f>'Ingest Template'!E118</f>
        <v/>
      </c>
      <c r="E118" s="5"/>
      <c r="F118" s="5"/>
      <c r="G118" s="5"/>
      <c r="H118" s="7"/>
      <c r="I118" s="5"/>
      <c r="J118" s="7" t="str">
        <f>'Ingest Template'!Q118</f>
        <v/>
      </c>
      <c r="K118" s="5" t="str">
        <f>'Ingest Template'!R118</f>
        <v/>
      </c>
      <c r="L118" s="8" t="s">
        <v>38</v>
      </c>
      <c r="M118" s="9"/>
      <c r="N118" s="5"/>
      <c r="O118" s="5"/>
      <c r="P118" s="5"/>
      <c r="Q118" s="5"/>
      <c r="R118" s="5" t="str">
        <f>'Ingest Template'!D118</f>
        <v/>
      </c>
      <c r="S118" s="5" t="str">
        <f>'Ingest Template'!G118</f>
        <v/>
      </c>
      <c r="T118" s="5" t="str">
        <f>'Ingest Template'!H118</f>
        <v/>
      </c>
      <c r="U118" s="5" t="str">
        <f>LOWER(SUBSTITUTE(SUBSTITUTE(SUBSTITUTE(SUBSTITUTE(SUBSTITUTE('Ingest Template'!I118,"https:",""),"www.",""),"/",""),"?hl=en",""),"instagram.com",""))</f>
        <v/>
      </c>
      <c r="V118" s="10" t="str">
        <f>'Ingest Template'!J118</f>
        <v/>
      </c>
      <c r="W118" s="10" t="str">
        <f>'Ingest Template'!K118</f>
        <v/>
      </c>
      <c r="X118" s="5"/>
      <c r="Y118" s="5" t="str">
        <f>SUBSTITUTE(SUBSTITUTE(SUBSTITUTE('Ingest Template'!L118,"http:",""),"https:",""),"/","")</f>
        <v/>
      </c>
      <c r="Z118" s="5" t="str">
        <f t="array" ref="Z118">IF('Ingest Template'!A118="Standard",(IF(ISBLANK('Ingest Template'!M118),"", 'Ingest Template'!M118&amp;"|DAR")),(IF(ISBLANK('Ingest Template'!M118),"", 'Ingest Template'!M118&amp;"|Operations - Core Title")))</f>
        <v/>
      </c>
      <c r="AA118" s="5"/>
      <c r="AB118" s="5" t="str">
        <f>'Ingest Template'!F118</f>
        <v/>
      </c>
      <c r="AC118" s="5"/>
      <c r="AD118" s="5"/>
      <c r="AE118" s="5"/>
      <c r="AF118" s="8"/>
      <c r="AG118" s="5" t="str">
        <f t="array" ref="AG118">IF('Ingest Template'!A118="Standard",(CONCATENATE(IF(ISBLANK('Ingest Template'!N118),"", 'Ingest Template'!N118&amp;"|DAR"),CHAR(10), IF(ISBLANK('Ingest Template'!O118),"", 'Ingest Template'!O118&amp;"|DAR"),CHAR(10), IF(ISBLANK('Ingest Template'!P118),"", 'Ingest Template'!P118&amp;"|DAR"))),(CONCATENATE(IF(ISBLANK('Ingest Template'!N118),"", 'Ingest Template'!N118&amp;"|Operations - Core Title"),CHAR(10), IF(ISBLANK('Ingest Template'!O118),"", 'Ingest Template'!O118&amp;"|Operations - Core Title"),CHAR(10), IF(ISBLANK('Ingest Template'!P118),"", 'Ingest Template'!P118&amp;"|Operations - Core Title"))))</f>
        <v>#|Operations - Core Title
</v>
      </c>
      <c r="AH118" s="5"/>
      <c r="AI118" s="5"/>
      <c r="AJ118" s="5"/>
      <c r="AK118" s="5"/>
      <c r="AL118" s="5"/>
    </row>
    <row r="119">
      <c r="A119" s="5"/>
      <c r="B119" s="5" t="str">
        <f>'Ingest Template'!B119&amp;IF('Ingest Template'!A119 = "Standard", " - DAR","")</f>
        <v/>
      </c>
      <c r="C119" s="6" t="str">
        <f>'Ingest Template'!C119</f>
        <v/>
      </c>
      <c r="D119" s="7" t="str">
        <f>'Ingest Template'!E119</f>
        <v/>
      </c>
      <c r="E119" s="5"/>
      <c r="F119" s="5"/>
      <c r="G119" s="5"/>
      <c r="H119" s="7"/>
      <c r="I119" s="5"/>
      <c r="J119" s="7" t="str">
        <f>'Ingest Template'!Q119</f>
        <v/>
      </c>
      <c r="K119" s="5" t="str">
        <f>'Ingest Template'!R119</f>
        <v/>
      </c>
      <c r="L119" s="8" t="s">
        <v>38</v>
      </c>
      <c r="M119" s="9"/>
      <c r="N119" s="5"/>
      <c r="O119" s="5"/>
      <c r="P119" s="5"/>
      <c r="Q119" s="5"/>
      <c r="R119" s="5" t="str">
        <f>'Ingest Template'!D119</f>
        <v/>
      </c>
      <c r="S119" s="5" t="str">
        <f>'Ingest Template'!G119</f>
        <v/>
      </c>
      <c r="T119" s="5" t="str">
        <f>'Ingest Template'!H119</f>
        <v/>
      </c>
      <c r="U119" s="5" t="str">
        <f>LOWER(SUBSTITUTE(SUBSTITUTE(SUBSTITUTE(SUBSTITUTE(SUBSTITUTE('Ingest Template'!I119,"https:",""),"www.",""),"/",""),"?hl=en",""),"instagram.com",""))</f>
        <v/>
      </c>
      <c r="V119" s="10" t="str">
        <f>'Ingest Template'!J119</f>
        <v/>
      </c>
      <c r="W119" s="10" t="str">
        <f>'Ingest Template'!K119</f>
        <v/>
      </c>
      <c r="X119" s="5"/>
      <c r="Y119" s="5" t="str">
        <f>SUBSTITUTE(SUBSTITUTE(SUBSTITUTE('Ingest Template'!L119,"http:",""),"https:",""),"/","")</f>
        <v/>
      </c>
      <c r="Z119" s="5" t="str">
        <f t="array" ref="Z119">IF('Ingest Template'!A119="Standard",(IF(ISBLANK('Ingest Template'!M119),"", 'Ingest Template'!M119&amp;"|DAR")),(IF(ISBLANK('Ingest Template'!M119),"", 'Ingest Template'!M119&amp;"|Operations - Core Title")))</f>
        <v/>
      </c>
      <c r="AA119" s="5"/>
      <c r="AB119" s="5" t="str">
        <f>'Ingest Template'!F119</f>
        <v/>
      </c>
      <c r="AC119" s="5"/>
      <c r="AD119" s="5"/>
      <c r="AE119" s="5"/>
      <c r="AF119" s="8"/>
      <c r="AG119" s="5" t="str">
        <f t="array" ref="AG119">IF('Ingest Template'!A119="Standard",(CONCATENATE(IF(ISBLANK('Ingest Template'!N119),"", 'Ingest Template'!N119&amp;"|DAR"),CHAR(10), IF(ISBLANK('Ingest Template'!O119),"", 'Ingest Template'!O119&amp;"|DAR"),CHAR(10), IF(ISBLANK('Ingest Template'!P119),"", 'Ingest Template'!P119&amp;"|DAR"))),(CONCATENATE(IF(ISBLANK('Ingest Template'!N119),"", 'Ingest Template'!N119&amp;"|Operations - Core Title"),CHAR(10), IF(ISBLANK('Ingest Template'!O119),"", 'Ingest Template'!O119&amp;"|Operations - Core Title"),CHAR(10), IF(ISBLANK('Ingest Template'!P119),"", 'Ingest Template'!P119&amp;"|Operations - Core Title"))))</f>
        <v>#|Operations - Core Title
</v>
      </c>
      <c r="AH119" s="5"/>
      <c r="AI119" s="5"/>
      <c r="AJ119" s="5"/>
      <c r="AK119" s="5"/>
      <c r="AL119" s="5"/>
    </row>
    <row r="120">
      <c r="A120" s="5"/>
      <c r="B120" s="5" t="str">
        <f>'Ingest Template'!B120&amp;IF('Ingest Template'!A120 = "Standard", " - DAR","")</f>
        <v/>
      </c>
      <c r="C120" s="6" t="str">
        <f>'Ingest Template'!C120</f>
        <v/>
      </c>
      <c r="D120" s="7" t="str">
        <f>'Ingest Template'!E120</f>
        <v/>
      </c>
      <c r="E120" s="5"/>
      <c r="F120" s="5"/>
      <c r="G120" s="5"/>
      <c r="H120" s="7"/>
      <c r="I120" s="5"/>
      <c r="J120" s="7" t="str">
        <f>'Ingest Template'!Q120</f>
        <v/>
      </c>
      <c r="K120" s="5" t="str">
        <f>'Ingest Template'!R120</f>
        <v/>
      </c>
      <c r="L120" s="8" t="s">
        <v>38</v>
      </c>
      <c r="M120" s="9"/>
      <c r="N120" s="5"/>
      <c r="O120" s="5"/>
      <c r="P120" s="5"/>
      <c r="Q120" s="5"/>
      <c r="R120" s="5" t="str">
        <f>'Ingest Template'!D120</f>
        <v/>
      </c>
      <c r="S120" s="5" t="str">
        <f>'Ingest Template'!G120</f>
        <v/>
      </c>
      <c r="T120" s="5" t="str">
        <f>'Ingest Template'!H120</f>
        <v/>
      </c>
      <c r="U120" s="5" t="str">
        <f>LOWER(SUBSTITUTE(SUBSTITUTE(SUBSTITUTE(SUBSTITUTE(SUBSTITUTE('Ingest Template'!I120,"https:",""),"www.",""),"/",""),"?hl=en",""),"instagram.com",""))</f>
        <v/>
      </c>
      <c r="V120" s="10" t="str">
        <f>'Ingest Template'!J120</f>
        <v/>
      </c>
      <c r="W120" s="10" t="str">
        <f>'Ingest Template'!K120</f>
        <v/>
      </c>
      <c r="X120" s="5"/>
      <c r="Y120" s="5" t="str">
        <f>SUBSTITUTE(SUBSTITUTE(SUBSTITUTE('Ingest Template'!L120,"http:",""),"https:",""),"/","")</f>
        <v/>
      </c>
      <c r="Z120" s="5" t="str">
        <f t="array" ref="Z120">IF('Ingest Template'!A120="Standard",(IF(ISBLANK('Ingest Template'!M120),"", 'Ingest Template'!M120&amp;"|DAR")),(IF(ISBLANK('Ingest Template'!M120),"", 'Ingest Template'!M120&amp;"|Operations - Core Title")))</f>
        <v/>
      </c>
      <c r="AA120" s="5"/>
      <c r="AB120" s="5" t="str">
        <f>'Ingest Template'!F120</f>
        <v/>
      </c>
      <c r="AC120" s="5"/>
      <c r="AD120" s="5"/>
      <c r="AE120" s="5"/>
      <c r="AF120" s="8"/>
      <c r="AG120" s="5" t="str">
        <f t="array" ref="AG120">IF('Ingest Template'!A120="Standard",(CONCATENATE(IF(ISBLANK('Ingest Template'!N120),"", 'Ingest Template'!N120&amp;"|DAR"),CHAR(10), IF(ISBLANK('Ingest Template'!O120),"", 'Ingest Template'!O120&amp;"|DAR"),CHAR(10), IF(ISBLANK('Ingest Template'!P120),"", 'Ingest Template'!P120&amp;"|DAR"))),(CONCATENATE(IF(ISBLANK('Ingest Template'!N120),"", 'Ingest Template'!N120&amp;"|Operations - Core Title"),CHAR(10), IF(ISBLANK('Ingest Template'!O120),"", 'Ingest Template'!O120&amp;"|Operations - Core Title"),CHAR(10), IF(ISBLANK('Ingest Template'!P120),"", 'Ingest Template'!P120&amp;"|Operations - Core Title"))))</f>
        <v>#|Operations - Core Title
</v>
      </c>
      <c r="AH120" s="5"/>
      <c r="AI120" s="5"/>
      <c r="AJ120" s="5"/>
      <c r="AK120" s="5"/>
      <c r="AL120" s="5"/>
    </row>
    <row r="121">
      <c r="A121" s="5"/>
      <c r="B121" s="5" t="str">
        <f>'Ingest Template'!B121&amp;IF('Ingest Template'!A121 = "Standard", " - DAR","")</f>
        <v/>
      </c>
      <c r="C121" s="6" t="str">
        <f>'Ingest Template'!C121</f>
        <v/>
      </c>
      <c r="D121" s="7" t="str">
        <f>'Ingest Template'!E121</f>
        <v/>
      </c>
      <c r="E121" s="5"/>
      <c r="F121" s="5"/>
      <c r="G121" s="5"/>
      <c r="H121" s="7"/>
      <c r="I121" s="5"/>
      <c r="J121" s="7" t="str">
        <f>'Ingest Template'!Q121</f>
        <v/>
      </c>
      <c r="K121" s="5" t="str">
        <f>'Ingest Template'!R121</f>
        <v/>
      </c>
      <c r="L121" s="8" t="s">
        <v>38</v>
      </c>
      <c r="M121" s="9"/>
      <c r="N121" s="5"/>
      <c r="O121" s="5"/>
      <c r="P121" s="5"/>
      <c r="Q121" s="5"/>
      <c r="R121" s="5" t="str">
        <f>'Ingest Template'!D121</f>
        <v/>
      </c>
      <c r="S121" s="5" t="str">
        <f>'Ingest Template'!G121</f>
        <v/>
      </c>
      <c r="T121" s="5" t="str">
        <f>'Ingest Template'!H121</f>
        <v/>
      </c>
      <c r="U121" s="5" t="str">
        <f>LOWER(SUBSTITUTE(SUBSTITUTE(SUBSTITUTE(SUBSTITUTE(SUBSTITUTE('Ingest Template'!I121,"https:",""),"www.",""),"/",""),"?hl=en",""),"instagram.com",""))</f>
        <v/>
      </c>
      <c r="V121" s="10" t="str">
        <f>'Ingest Template'!J121</f>
        <v/>
      </c>
      <c r="W121" s="10" t="str">
        <f>'Ingest Template'!K121</f>
        <v/>
      </c>
      <c r="X121" s="5"/>
      <c r="Y121" s="5" t="str">
        <f>SUBSTITUTE(SUBSTITUTE(SUBSTITUTE('Ingest Template'!L121,"http:",""),"https:",""),"/","")</f>
        <v/>
      </c>
      <c r="Z121" s="5" t="str">
        <f t="array" ref="Z121">IF('Ingest Template'!A121="Standard",(IF(ISBLANK('Ingest Template'!M121),"", 'Ingest Template'!M121&amp;"|DAR")),(IF(ISBLANK('Ingest Template'!M121),"", 'Ingest Template'!M121&amp;"|Operations - Core Title")))</f>
        <v/>
      </c>
      <c r="AA121" s="5"/>
      <c r="AB121" s="5" t="str">
        <f>'Ingest Template'!F121</f>
        <v/>
      </c>
      <c r="AC121" s="5"/>
      <c r="AD121" s="5"/>
      <c r="AE121" s="5"/>
      <c r="AF121" s="8"/>
      <c r="AG121" s="5" t="str">
        <f t="array" ref="AG121">IF('Ingest Template'!A121="Standard",(CONCATENATE(IF(ISBLANK('Ingest Template'!N121),"", 'Ingest Template'!N121&amp;"|DAR"),CHAR(10), IF(ISBLANK('Ingest Template'!O121),"", 'Ingest Template'!O121&amp;"|DAR"),CHAR(10), IF(ISBLANK('Ingest Template'!P121),"", 'Ingest Template'!P121&amp;"|DAR"))),(CONCATENATE(IF(ISBLANK('Ingest Template'!N121),"", 'Ingest Template'!N121&amp;"|Operations - Core Title"),CHAR(10), IF(ISBLANK('Ingest Template'!O121),"", 'Ingest Template'!O121&amp;"|Operations - Core Title"),CHAR(10), IF(ISBLANK('Ingest Template'!P121),"", 'Ingest Template'!P121&amp;"|Operations - Core Title"))))</f>
        <v>#|Operations - Core Title
</v>
      </c>
      <c r="AH121" s="5"/>
      <c r="AI121" s="5"/>
      <c r="AJ121" s="5"/>
      <c r="AK121" s="5"/>
      <c r="AL121" s="5"/>
    </row>
    <row r="122">
      <c r="A122" s="5"/>
      <c r="B122" s="5" t="str">
        <f>'Ingest Template'!B122&amp;IF('Ingest Template'!A122 = "Standard", " - DAR","")</f>
        <v/>
      </c>
      <c r="C122" s="6" t="str">
        <f>'Ingest Template'!C122</f>
        <v/>
      </c>
      <c r="D122" s="7" t="str">
        <f>'Ingest Template'!E122</f>
        <v/>
      </c>
      <c r="E122" s="5"/>
      <c r="F122" s="5"/>
      <c r="G122" s="5"/>
      <c r="H122" s="7"/>
      <c r="I122" s="5"/>
      <c r="J122" s="7" t="str">
        <f>'Ingest Template'!Q122</f>
        <v/>
      </c>
      <c r="K122" s="5" t="str">
        <f>'Ingest Template'!R122</f>
        <v/>
      </c>
      <c r="L122" s="8" t="s">
        <v>38</v>
      </c>
      <c r="M122" s="9"/>
      <c r="N122" s="5"/>
      <c r="O122" s="5"/>
      <c r="P122" s="5"/>
      <c r="Q122" s="5"/>
      <c r="R122" s="5" t="str">
        <f>'Ingest Template'!D122</f>
        <v/>
      </c>
      <c r="S122" s="5" t="str">
        <f>'Ingest Template'!G122</f>
        <v/>
      </c>
      <c r="T122" s="5" t="str">
        <f>'Ingest Template'!H122</f>
        <v/>
      </c>
      <c r="U122" s="5" t="str">
        <f>LOWER(SUBSTITUTE(SUBSTITUTE(SUBSTITUTE(SUBSTITUTE(SUBSTITUTE('Ingest Template'!I122,"https:",""),"www.",""),"/",""),"?hl=en",""),"instagram.com",""))</f>
        <v/>
      </c>
      <c r="V122" s="10" t="str">
        <f>'Ingest Template'!J122</f>
        <v/>
      </c>
      <c r="W122" s="10" t="str">
        <f>'Ingest Template'!K122</f>
        <v/>
      </c>
      <c r="X122" s="5"/>
      <c r="Y122" s="5" t="str">
        <f>SUBSTITUTE(SUBSTITUTE(SUBSTITUTE('Ingest Template'!L122,"http:",""),"https:",""),"/","")</f>
        <v/>
      </c>
      <c r="Z122" s="5" t="str">
        <f t="array" ref="Z122">IF('Ingest Template'!A122="Standard",(IF(ISBLANK('Ingest Template'!M122),"", 'Ingest Template'!M122&amp;"|DAR")),(IF(ISBLANK('Ingest Template'!M122),"", 'Ingest Template'!M122&amp;"|Operations - Core Title")))</f>
        <v/>
      </c>
      <c r="AA122" s="5"/>
      <c r="AB122" s="5" t="str">
        <f>'Ingest Template'!F122</f>
        <v/>
      </c>
      <c r="AC122" s="5"/>
      <c r="AD122" s="5"/>
      <c r="AE122" s="5"/>
      <c r="AF122" s="8"/>
      <c r="AG122" s="5" t="str">
        <f t="array" ref="AG122">IF('Ingest Template'!A122="Standard",(CONCATENATE(IF(ISBLANK('Ingest Template'!N122),"", 'Ingest Template'!N122&amp;"|DAR"),CHAR(10), IF(ISBLANK('Ingest Template'!O122),"", 'Ingest Template'!O122&amp;"|DAR"),CHAR(10), IF(ISBLANK('Ingest Template'!P122),"", 'Ingest Template'!P122&amp;"|DAR"))),(CONCATENATE(IF(ISBLANK('Ingest Template'!N122),"", 'Ingest Template'!N122&amp;"|Operations - Core Title"),CHAR(10), IF(ISBLANK('Ingest Template'!O122),"", 'Ingest Template'!O122&amp;"|Operations - Core Title"),CHAR(10), IF(ISBLANK('Ingest Template'!P122),"", 'Ingest Template'!P122&amp;"|Operations - Core Title"))))</f>
        <v>#|Operations - Core Title
</v>
      </c>
      <c r="AH122" s="5"/>
      <c r="AI122" s="5"/>
      <c r="AJ122" s="5"/>
      <c r="AK122" s="5"/>
      <c r="AL122" s="5"/>
    </row>
    <row r="123">
      <c r="A123" s="5"/>
      <c r="B123" s="5" t="str">
        <f>'Ingest Template'!B123&amp;IF('Ingest Template'!A123 = "Standard", " - DAR","")</f>
        <v/>
      </c>
      <c r="C123" s="6" t="str">
        <f>'Ingest Template'!C123</f>
        <v/>
      </c>
      <c r="D123" s="7" t="str">
        <f>'Ingest Template'!E123</f>
        <v/>
      </c>
      <c r="E123" s="5"/>
      <c r="F123" s="5"/>
      <c r="G123" s="5"/>
      <c r="H123" s="7"/>
      <c r="I123" s="5"/>
      <c r="J123" s="7" t="str">
        <f>'Ingest Template'!Q123</f>
        <v/>
      </c>
      <c r="K123" s="5" t="str">
        <f>'Ingest Template'!R123</f>
        <v/>
      </c>
      <c r="L123" s="8" t="s">
        <v>38</v>
      </c>
      <c r="M123" s="9"/>
      <c r="N123" s="5"/>
      <c r="O123" s="5"/>
      <c r="P123" s="5"/>
      <c r="Q123" s="5"/>
      <c r="R123" s="5" t="str">
        <f>'Ingest Template'!D123</f>
        <v/>
      </c>
      <c r="S123" s="5" t="str">
        <f>'Ingest Template'!G123</f>
        <v/>
      </c>
      <c r="T123" s="5" t="str">
        <f>'Ingest Template'!H123</f>
        <v/>
      </c>
      <c r="U123" s="5" t="str">
        <f>LOWER(SUBSTITUTE(SUBSTITUTE(SUBSTITUTE(SUBSTITUTE(SUBSTITUTE('Ingest Template'!I123,"https:",""),"www.",""),"/",""),"?hl=en",""),"instagram.com",""))</f>
        <v/>
      </c>
      <c r="V123" s="10" t="str">
        <f>'Ingest Template'!J123</f>
        <v/>
      </c>
      <c r="W123" s="10" t="str">
        <f>'Ingest Template'!K123</f>
        <v/>
      </c>
      <c r="X123" s="5"/>
      <c r="Y123" s="5" t="str">
        <f>SUBSTITUTE(SUBSTITUTE(SUBSTITUTE('Ingest Template'!L123,"http:",""),"https:",""),"/","")</f>
        <v/>
      </c>
      <c r="Z123" s="5" t="str">
        <f t="array" ref="Z123">IF('Ingest Template'!A123="Standard",(IF(ISBLANK('Ingest Template'!M123),"", 'Ingest Template'!M123&amp;"|DAR")),(IF(ISBLANK('Ingest Template'!M123),"", 'Ingest Template'!M123&amp;"|Operations - Core Title")))</f>
        <v/>
      </c>
      <c r="AA123" s="5"/>
      <c r="AB123" s="5" t="str">
        <f>'Ingest Template'!F123</f>
        <v/>
      </c>
      <c r="AC123" s="5"/>
      <c r="AD123" s="5"/>
      <c r="AE123" s="5"/>
      <c r="AF123" s="8"/>
      <c r="AG123" s="5" t="str">
        <f t="array" ref="AG123">IF('Ingest Template'!A123="Standard",(CONCATENATE(IF(ISBLANK('Ingest Template'!N123),"", 'Ingest Template'!N123&amp;"|DAR"),CHAR(10), IF(ISBLANK('Ingest Template'!O123),"", 'Ingest Template'!O123&amp;"|DAR"),CHAR(10), IF(ISBLANK('Ingest Template'!P123),"", 'Ingest Template'!P123&amp;"|DAR"))),(CONCATENATE(IF(ISBLANK('Ingest Template'!N123),"", 'Ingest Template'!N123&amp;"|Operations - Core Title"),CHAR(10), IF(ISBLANK('Ingest Template'!O123),"", 'Ingest Template'!O123&amp;"|Operations - Core Title"),CHAR(10), IF(ISBLANK('Ingest Template'!P123),"", 'Ingest Template'!P123&amp;"|Operations - Core Title"))))</f>
        <v>#|Operations - Core Title
</v>
      </c>
      <c r="AH123" s="5"/>
      <c r="AI123" s="5"/>
      <c r="AJ123" s="5"/>
      <c r="AK123" s="5"/>
      <c r="AL123" s="5"/>
    </row>
    <row r="124">
      <c r="A124" s="5"/>
      <c r="B124" s="5" t="str">
        <f>'Ingest Template'!B124&amp;IF('Ingest Template'!A124 = "Standard", " - DAR","")</f>
        <v/>
      </c>
      <c r="C124" s="6" t="str">
        <f>'Ingest Template'!C124</f>
        <v/>
      </c>
      <c r="D124" s="7" t="str">
        <f>'Ingest Template'!E124</f>
        <v/>
      </c>
      <c r="E124" s="5"/>
      <c r="F124" s="5"/>
      <c r="G124" s="5"/>
      <c r="H124" s="7"/>
      <c r="I124" s="5"/>
      <c r="J124" s="7" t="str">
        <f>'Ingest Template'!Q124</f>
        <v/>
      </c>
      <c r="K124" s="5" t="str">
        <f>'Ingest Template'!R124</f>
        <v/>
      </c>
      <c r="L124" s="8" t="s">
        <v>38</v>
      </c>
      <c r="M124" s="9"/>
      <c r="N124" s="5"/>
      <c r="O124" s="5"/>
      <c r="P124" s="5"/>
      <c r="Q124" s="5"/>
      <c r="R124" s="5" t="str">
        <f>'Ingest Template'!D124</f>
        <v/>
      </c>
      <c r="S124" s="5" t="str">
        <f>'Ingest Template'!G124</f>
        <v/>
      </c>
      <c r="T124" s="5" t="str">
        <f>'Ingest Template'!H124</f>
        <v/>
      </c>
      <c r="U124" s="5" t="str">
        <f>LOWER(SUBSTITUTE(SUBSTITUTE(SUBSTITUTE(SUBSTITUTE(SUBSTITUTE('Ingest Template'!I124,"https:",""),"www.",""),"/",""),"?hl=en",""),"instagram.com",""))</f>
        <v/>
      </c>
      <c r="V124" s="10" t="str">
        <f>'Ingest Template'!J124</f>
        <v/>
      </c>
      <c r="W124" s="10" t="str">
        <f>'Ingest Template'!K124</f>
        <v/>
      </c>
      <c r="X124" s="5"/>
      <c r="Y124" s="5" t="str">
        <f>SUBSTITUTE(SUBSTITUTE(SUBSTITUTE('Ingest Template'!L124,"http:",""),"https:",""),"/","")</f>
        <v/>
      </c>
      <c r="Z124" s="5" t="str">
        <f t="array" ref="Z124">IF('Ingest Template'!A124="Standard",(IF(ISBLANK('Ingest Template'!M124),"", 'Ingest Template'!M124&amp;"|DAR")),(IF(ISBLANK('Ingest Template'!M124),"", 'Ingest Template'!M124&amp;"|Operations - Core Title")))</f>
        <v/>
      </c>
      <c r="AA124" s="5"/>
      <c r="AB124" s="5" t="str">
        <f>'Ingest Template'!F124</f>
        <v/>
      </c>
      <c r="AC124" s="5"/>
      <c r="AD124" s="5"/>
      <c r="AE124" s="5"/>
      <c r="AF124" s="8"/>
      <c r="AG124" s="5" t="str">
        <f t="array" ref="AG124">IF('Ingest Template'!A124="Standard",(CONCATENATE(IF(ISBLANK('Ingest Template'!N124),"", 'Ingest Template'!N124&amp;"|DAR"),CHAR(10), IF(ISBLANK('Ingest Template'!O124),"", 'Ingest Template'!O124&amp;"|DAR"),CHAR(10), IF(ISBLANK('Ingest Template'!P124),"", 'Ingest Template'!P124&amp;"|DAR"))),(CONCATENATE(IF(ISBLANK('Ingest Template'!N124),"", 'Ingest Template'!N124&amp;"|Operations - Core Title"),CHAR(10), IF(ISBLANK('Ingest Template'!O124),"", 'Ingest Template'!O124&amp;"|Operations - Core Title"),CHAR(10), IF(ISBLANK('Ingest Template'!P124),"", 'Ingest Template'!P124&amp;"|Operations - Core Title"))))</f>
        <v>#|Operations - Core Title
</v>
      </c>
      <c r="AH124" s="5"/>
      <c r="AI124" s="5"/>
      <c r="AJ124" s="5"/>
      <c r="AK124" s="5"/>
      <c r="AL124" s="5"/>
    </row>
    <row r="125">
      <c r="A125" s="5"/>
      <c r="B125" s="5" t="str">
        <f>'Ingest Template'!B125&amp;IF('Ingest Template'!A125 = "Standard", " - DAR","")</f>
        <v/>
      </c>
      <c r="C125" s="6" t="str">
        <f>'Ingest Template'!C125</f>
        <v/>
      </c>
      <c r="D125" s="7" t="str">
        <f>'Ingest Template'!E125</f>
        <v/>
      </c>
      <c r="E125" s="5"/>
      <c r="F125" s="5"/>
      <c r="G125" s="5"/>
      <c r="H125" s="7"/>
      <c r="I125" s="5"/>
      <c r="J125" s="7" t="str">
        <f>'Ingest Template'!Q125</f>
        <v/>
      </c>
      <c r="K125" s="5" t="str">
        <f>'Ingest Template'!R125</f>
        <v/>
      </c>
      <c r="L125" s="8" t="s">
        <v>38</v>
      </c>
      <c r="M125" s="9"/>
      <c r="N125" s="5"/>
      <c r="O125" s="5"/>
      <c r="P125" s="5"/>
      <c r="Q125" s="5"/>
      <c r="R125" s="5" t="str">
        <f>'Ingest Template'!D125</f>
        <v/>
      </c>
      <c r="S125" s="5" t="str">
        <f>'Ingest Template'!G125</f>
        <v/>
      </c>
      <c r="T125" s="5" t="str">
        <f>'Ingest Template'!H125</f>
        <v/>
      </c>
      <c r="U125" s="5" t="str">
        <f>LOWER(SUBSTITUTE(SUBSTITUTE(SUBSTITUTE(SUBSTITUTE(SUBSTITUTE('Ingest Template'!I125,"https:",""),"www.",""),"/",""),"?hl=en",""),"instagram.com",""))</f>
        <v/>
      </c>
      <c r="V125" s="10" t="str">
        <f>'Ingest Template'!J125</f>
        <v/>
      </c>
      <c r="W125" s="10" t="str">
        <f>'Ingest Template'!K125</f>
        <v/>
      </c>
      <c r="X125" s="5"/>
      <c r="Y125" s="5" t="str">
        <f>SUBSTITUTE(SUBSTITUTE(SUBSTITUTE('Ingest Template'!L125,"http:",""),"https:",""),"/","")</f>
        <v/>
      </c>
      <c r="Z125" s="5" t="str">
        <f t="array" ref="Z125">IF('Ingest Template'!A125="Standard",(IF(ISBLANK('Ingest Template'!M125),"", 'Ingest Template'!M125&amp;"|DAR")),(IF(ISBLANK('Ingest Template'!M125),"", 'Ingest Template'!M125&amp;"|Operations - Core Title")))</f>
        <v/>
      </c>
      <c r="AA125" s="5"/>
      <c r="AB125" s="5" t="str">
        <f>'Ingest Template'!F125</f>
        <v/>
      </c>
      <c r="AC125" s="5"/>
      <c r="AD125" s="5"/>
      <c r="AE125" s="5"/>
      <c r="AF125" s="8"/>
      <c r="AG125" s="5" t="str">
        <f t="array" ref="AG125">IF('Ingest Template'!A125="Standard",(CONCATENATE(IF(ISBLANK('Ingest Template'!N125),"", 'Ingest Template'!N125&amp;"|DAR"),CHAR(10), IF(ISBLANK('Ingest Template'!O125),"", 'Ingest Template'!O125&amp;"|DAR"),CHAR(10), IF(ISBLANK('Ingest Template'!P125),"", 'Ingest Template'!P125&amp;"|DAR"))),(CONCATENATE(IF(ISBLANK('Ingest Template'!N125),"", 'Ingest Template'!N125&amp;"|Operations - Core Title"),CHAR(10), IF(ISBLANK('Ingest Template'!O125),"", 'Ingest Template'!O125&amp;"|Operations - Core Title"),CHAR(10), IF(ISBLANK('Ingest Template'!P125),"", 'Ingest Template'!P125&amp;"|Operations - Core Title"))))</f>
        <v>#|Operations - Core Title
</v>
      </c>
      <c r="AH125" s="5"/>
      <c r="AI125" s="5"/>
      <c r="AJ125" s="5"/>
      <c r="AK125" s="5"/>
      <c r="AL125" s="5"/>
    </row>
    <row r="126">
      <c r="A126" s="5"/>
      <c r="B126" s="5" t="str">
        <f>'Ingest Template'!B126&amp;IF('Ingest Template'!A126 = "Standard", " - DAR","")</f>
        <v/>
      </c>
      <c r="C126" s="6" t="str">
        <f>'Ingest Template'!C126</f>
        <v/>
      </c>
      <c r="D126" s="7" t="str">
        <f>'Ingest Template'!E126</f>
        <v/>
      </c>
      <c r="E126" s="5"/>
      <c r="F126" s="5"/>
      <c r="G126" s="5"/>
      <c r="H126" s="7"/>
      <c r="I126" s="5"/>
      <c r="J126" s="7" t="str">
        <f>'Ingest Template'!Q126</f>
        <v/>
      </c>
      <c r="K126" s="5" t="str">
        <f>'Ingest Template'!R126</f>
        <v/>
      </c>
      <c r="L126" s="8" t="s">
        <v>38</v>
      </c>
      <c r="M126" s="9"/>
      <c r="N126" s="5"/>
      <c r="O126" s="5"/>
      <c r="P126" s="5"/>
      <c r="Q126" s="5"/>
      <c r="R126" s="5" t="str">
        <f>'Ingest Template'!D126</f>
        <v/>
      </c>
      <c r="S126" s="5" t="str">
        <f>'Ingest Template'!G126</f>
        <v/>
      </c>
      <c r="T126" s="5" t="str">
        <f>'Ingest Template'!H126</f>
        <v/>
      </c>
      <c r="U126" s="5" t="str">
        <f>LOWER(SUBSTITUTE(SUBSTITUTE(SUBSTITUTE(SUBSTITUTE(SUBSTITUTE('Ingest Template'!I126,"https:",""),"www.",""),"/",""),"?hl=en",""),"instagram.com",""))</f>
        <v/>
      </c>
      <c r="V126" s="10" t="str">
        <f>'Ingest Template'!J126</f>
        <v/>
      </c>
      <c r="W126" s="10" t="str">
        <f>'Ingest Template'!K126</f>
        <v/>
      </c>
      <c r="X126" s="5"/>
      <c r="Y126" s="5" t="str">
        <f>SUBSTITUTE(SUBSTITUTE(SUBSTITUTE('Ingest Template'!L126,"http:",""),"https:",""),"/","")</f>
        <v/>
      </c>
      <c r="Z126" s="5" t="str">
        <f t="array" ref="Z126">IF('Ingest Template'!A126="Standard",(IF(ISBLANK('Ingest Template'!M126),"", 'Ingest Template'!M126&amp;"|DAR")),(IF(ISBLANK('Ingest Template'!M126),"", 'Ingest Template'!M126&amp;"|Operations - Core Title")))</f>
        <v/>
      </c>
      <c r="AA126" s="5"/>
      <c r="AB126" s="5" t="str">
        <f>'Ingest Template'!F126</f>
        <v/>
      </c>
      <c r="AC126" s="5"/>
      <c r="AD126" s="5"/>
      <c r="AE126" s="5"/>
      <c r="AF126" s="8"/>
      <c r="AG126" s="5" t="str">
        <f t="array" ref="AG126">IF('Ingest Template'!A126="Standard",(CONCATENATE(IF(ISBLANK('Ingest Template'!N126),"", 'Ingest Template'!N126&amp;"|DAR"),CHAR(10), IF(ISBLANK('Ingest Template'!O126),"", 'Ingest Template'!O126&amp;"|DAR"),CHAR(10), IF(ISBLANK('Ingest Template'!P126),"", 'Ingest Template'!P126&amp;"|DAR"))),(CONCATENATE(IF(ISBLANK('Ingest Template'!N126),"", 'Ingest Template'!N126&amp;"|Operations - Core Title"),CHAR(10), IF(ISBLANK('Ingest Template'!O126),"", 'Ingest Template'!O126&amp;"|Operations - Core Title"),CHAR(10), IF(ISBLANK('Ingest Template'!P126),"", 'Ingest Template'!P126&amp;"|Operations - Core Title"))))</f>
        <v>#|Operations - Core Title
</v>
      </c>
      <c r="AH126" s="5"/>
      <c r="AI126" s="5"/>
      <c r="AJ126" s="5"/>
      <c r="AK126" s="5"/>
      <c r="AL126" s="5"/>
    </row>
    <row r="127">
      <c r="A127" s="5"/>
      <c r="B127" s="5" t="str">
        <f>'Ingest Template'!B127&amp;IF('Ingest Template'!A127 = "Standard", " - DAR","")</f>
        <v/>
      </c>
      <c r="C127" s="6" t="str">
        <f>'Ingest Template'!C127</f>
        <v/>
      </c>
      <c r="D127" s="7" t="str">
        <f>'Ingest Template'!E127</f>
        <v/>
      </c>
      <c r="E127" s="5"/>
      <c r="F127" s="5"/>
      <c r="G127" s="5"/>
      <c r="H127" s="7"/>
      <c r="I127" s="5"/>
      <c r="J127" s="7" t="str">
        <f>'Ingest Template'!Q127</f>
        <v/>
      </c>
      <c r="K127" s="5" t="str">
        <f>'Ingest Template'!R127</f>
        <v/>
      </c>
      <c r="L127" s="8" t="s">
        <v>38</v>
      </c>
      <c r="M127" s="9"/>
      <c r="N127" s="5"/>
      <c r="O127" s="5"/>
      <c r="P127" s="5"/>
      <c r="Q127" s="5"/>
      <c r="R127" s="5" t="str">
        <f>'Ingest Template'!D127</f>
        <v/>
      </c>
      <c r="S127" s="5" t="str">
        <f>'Ingest Template'!G127</f>
        <v/>
      </c>
      <c r="T127" s="5" t="str">
        <f>'Ingest Template'!H127</f>
        <v/>
      </c>
      <c r="U127" s="5" t="str">
        <f>LOWER(SUBSTITUTE(SUBSTITUTE(SUBSTITUTE(SUBSTITUTE(SUBSTITUTE('Ingest Template'!I127,"https:",""),"www.",""),"/",""),"?hl=en",""),"instagram.com",""))</f>
        <v/>
      </c>
      <c r="V127" s="10" t="str">
        <f>'Ingest Template'!J127</f>
        <v/>
      </c>
      <c r="W127" s="10" t="str">
        <f>'Ingest Template'!K127</f>
        <v/>
      </c>
      <c r="X127" s="5"/>
      <c r="Y127" s="5" t="str">
        <f>SUBSTITUTE(SUBSTITUTE(SUBSTITUTE('Ingest Template'!L127,"http:",""),"https:",""),"/","")</f>
        <v/>
      </c>
      <c r="Z127" s="5" t="str">
        <f t="array" ref="Z127">IF('Ingest Template'!A127="Standard",(IF(ISBLANK('Ingest Template'!M127),"", 'Ingest Template'!M127&amp;"|DAR")),(IF(ISBLANK('Ingest Template'!M127),"", 'Ingest Template'!M127&amp;"|Operations - Core Title")))</f>
        <v/>
      </c>
      <c r="AA127" s="5"/>
      <c r="AB127" s="5" t="str">
        <f>'Ingest Template'!F127</f>
        <v/>
      </c>
      <c r="AC127" s="5"/>
      <c r="AD127" s="5"/>
      <c r="AE127" s="5"/>
      <c r="AF127" s="8"/>
      <c r="AG127" s="5" t="str">
        <f t="array" ref="AG127">IF('Ingest Template'!A127="Standard",(CONCATENATE(IF(ISBLANK('Ingest Template'!N127),"", 'Ingest Template'!N127&amp;"|DAR"),CHAR(10), IF(ISBLANK('Ingest Template'!O127),"", 'Ingest Template'!O127&amp;"|DAR"),CHAR(10), IF(ISBLANK('Ingest Template'!P127),"", 'Ingest Template'!P127&amp;"|DAR"))),(CONCATENATE(IF(ISBLANK('Ingest Template'!N127),"", 'Ingest Template'!N127&amp;"|Operations - Core Title"),CHAR(10), IF(ISBLANK('Ingest Template'!O127),"", 'Ingest Template'!O127&amp;"|Operations - Core Title"),CHAR(10), IF(ISBLANK('Ingest Template'!P127),"", 'Ingest Template'!P127&amp;"|Operations - Core Title"))))</f>
        <v>#|Operations - Core Title
</v>
      </c>
      <c r="AH127" s="5"/>
      <c r="AI127" s="5"/>
      <c r="AJ127" s="5"/>
      <c r="AK127" s="5"/>
      <c r="AL127" s="5"/>
    </row>
    <row r="128">
      <c r="A128" s="5"/>
      <c r="B128" s="5" t="str">
        <f>'Ingest Template'!B128&amp;IF('Ingest Template'!A128 = "Standard", " - DAR","")</f>
        <v/>
      </c>
      <c r="C128" s="6" t="str">
        <f>'Ingest Template'!C128</f>
        <v/>
      </c>
      <c r="D128" s="7" t="str">
        <f>'Ingest Template'!E128</f>
        <v/>
      </c>
      <c r="E128" s="5"/>
      <c r="F128" s="5"/>
      <c r="G128" s="5"/>
      <c r="H128" s="7"/>
      <c r="I128" s="5"/>
      <c r="J128" s="7" t="str">
        <f>'Ingest Template'!Q128</f>
        <v/>
      </c>
      <c r="K128" s="5" t="str">
        <f>'Ingest Template'!R128</f>
        <v/>
      </c>
      <c r="L128" s="8" t="s">
        <v>38</v>
      </c>
      <c r="M128" s="9"/>
      <c r="N128" s="5"/>
      <c r="O128" s="5"/>
      <c r="P128" s="5"/>
      <c r="Q128" s="5"/>
      <c r="R128" s="5" t="str">
        <f>'Ingest Template'!D128</f>
        <v/>
      </c>
      <c r="S128" s="5" t="str">
        <f>'Ingest Template'!G128</f>
        <v/>
      </c>
      <c r="T128" s="5" t="str">
        <f>'Ingest Template'!H128</f>
        <v/>
      </c>
      <c r="U128" s="5" t="str">
        <f>LOWER(SUBSTITUTE(SUBSTITUTE(SUBSTITUTE(SUBSTITUTE(SUBSTITUTE('Ingest Template'!I128,"https:",""),"www.",""),"/",""),"?hl=en",""),"instagram.com",""))</f>
        <v/>
      </c>
      <c r="V128" s="10" t="str">
        <f>'Ingest Template'!J128</f>
        <v/>
      </c>
      <c r="W128" s="10" t="str">
        <f>'Ingest Template'!K128</f>
        <v/>
      </c>
      <c r="X128" s="5"/>
      <c r="Y128" s="5" t="str">
        <f>SUBSTITUTE(SUBSTITUTE(SUBSTITUTE('Ingest Template'!L128,"http:",""),"https:",""),"/","")</f>
        <v/>
      </c>
      <c r="Z128" s="5" t="str">
        <f t="array" ref="Z128">IF('Ingest Template'!A128="Standard",(IF(ISBLANK('Ingest Template'!M128),"", 'Ingest Template'!M128&amp;"|DAR")),(IF(ISBLANK('Ingest Template'!M128),"", 'Ingest Template'!M128&amp;"|Operations - Core Title")))</f>
        <v/>
      </c>
      <c r="AA128" s="5"/>
      <c r="AB128" s="5" t="str">
        <f>'Ingest Template'!F128</f>
        <v/>
      </c>
      <c r="AC128" s="5"/>
      <c r="AD128" s="5"/>
      <c r="AE128" s="5"/>
      <c r="AF128" s="8"/>
      <c r="AG128" s="5" t="str">
        <f t="array" ref="AG128">IF('Ingest Template'!A128="Standard",(CONCATENATE(IF(ISBLANK('Ingest Template'!N128),"", 'Ingest Template'!N128&amp;"|DAR"),CHAR(10), IF(ISBLANK('Ingest Template'!O128),"", 'Ingest Template'!O128&amp;"|DAR"),CHAR(10), IF(ISBLANK('Ingest Template'!P128),"", 'Ingest Template'!P128&amp;"|DAR"))),(CONCATENATE(IF(ISBLANK('Ingest Template'!N128),"", 'Ingest Template'!N128&amp;"|Operations - Core Title"),CHAR(10), IF(ISBLANK('Ingest Template'!O128),"", 'Ingest Template'!O128&amp;"|Operations - Core Title"),CHAR(10), IF(ISBLANK('Ingest Template'!P128),"", 'Ingest Template'!P128&amp;"|Operations - Core Title"))))</f>
        <v>#|Operations - Core Title
</v>
      </c>
      <c r="AH128" s="5"/>
      <c r="AI128" s="5"/>
      <c r="AJ128" s="5"/>
      <c r="AK128" s="5"/>
      <c r="AL128" s="5"/>
    </row>
    <row r="129">
      <c r="A129" s="5"/>
      <c r="B129" s="5" t="str">
        <f>'Ingest Template'!B129&amp;IF('Ingest Template'!A129 = "Standard", " - DAR","")</f>
        <v/>
      </c>
      <c r="C129" s="6" t="str">
        <f>'Ingest Template'!C129</f>
        <v/>
      </c>
      <c r="D129" s="7" t="str">
        <f>'Ingest Template'!E129</f>
        <v/>
      </c>
      <c r="E129" s="5"/>
      <c r="F129" s="5"/>
      <c r="G129" s="5"/>
      <c r="H129" s="7"/>
      <c r="I129" s="5"/>
      <c r="J129" s="7" t="str">
        <f>'Ingest Template'!Q129</f>
        <v/>
      </c>
      <c r="K129" s="5" t="str">
        <f>'Ingest Template'!R129</f>
        <v/>
      </c>
      <c r="L129" s="8" t="s">
        <v>38</v>
      </c>
      <c r="M129" s="9"/>
      <c r="N129" s="5"/>
      <c r="O129" s="5"/>
      <c r="P129" s="5"/>
      <c r="Q129" s="5"/>
      <c r="R129" s="5" t="str">
        <f>'Ingest Template'!D129</f>
        <v/>
      </c>
      <c r="S129" s="5" t="str">
        <f>'Ingest Template'!G129</f>
        <v/>
      </c>
      <c r="T129" s="5" t="str">
        <f>'Ingest Template'!H129</f>
        <v/>
      </c>
      <c r="U129" s="5" t="str">
        <f>LOWER(SUBSTITUTE(SUBSTITUTE(SUBSTITUTE(SUBSTITUTE(SUBSTITUTE('Ingest Template'!I129,"https:",""),"www.",""),"/",""),"?hl=en",""),"instagram.com",""))</f>
        <v/>
      </c>
      <c r="V129" s="10" t="str">
        <f>'Ingest Template'!J129</f>
        <v/>
      </c>
      <c r="W129" s="10" t="str">
        <f>'Ingest Template'!K129</f>
        <v/>
      </c>
      <c r="X129" s="5"/>
      <c r="Y129" s="5" t="str">
        <f>SUBSTITUTE(SUBSTITUTE(SUBSTITUTE('Ingest Template'!L129,"http:",""),"https:",""),"/","")</f>
        <v/>
      </c>
      <c r="Z129" s="5" t="str">
        <f t="array" ref="Z129">IF('Ingest Template'!A129="Standard",(IF(ISBLANK('Ingest Template'!M129),"", 'Ingest Template'!M129&amp;"|DAR")),(IF(ISBLANK('Ingest Template'!M129),"", 'Ingest Template'!M129&amp;"|Operations - Core Title")))</f>
        <v/>
      </c>
      <c r="AA129" s="5"/>
      <c r="AB129" s="5" t="str">
        <f>'Ingest Template'!F129</f>
        <v/>
      </c>
      <c r="AC129" s="5"/>
      <c r="AD129" s="5"/>
      <c r="AE129" s="5"/>
      <c r="AF129" s="8"/>
      <c r="AG129" s="5" t="str">
        <f t="array" ref="AG129">IF('Ingest Template'!A129="Standard",(CONCATENATE(IF(ISBLANK('Ingest Template'!N129),"", 'Ingest Template'!N129&amp;"|DAR"),CHAR(10), IF(ISBLANK('Ingest Template'!O129),"", 'Ingest Template'!O129&amp;"|DAR"),CHAR(10), IF(ISBLANK('Ingest Template'!P129),"", 'Ingest Template'!P129&amp;"|DAR"))),(CONCATENATE(IF(ISBLANK('Ingest Template'!N129),"", 'Ingest Template'!N129&amp;"|Operations - Core Title"),CHAR(10), IF(ISBLANK('Ingest Template'!O129),"", 'Ingest Template'!O129&amp;"|Operations - Core Title"),CHAR(10), IF(ISBLANK('Ingest Template'!P129),"", 'Ingest Template'!P129&amp;"|Operations - Core Title"))))</f>
        <v>#|Operations - Core Title
</v>
      </c>
      <c r="AH129" s="5"/>
      <c r="AI129" s="5"/>
      <c r="AJ129" s="5"/>
      <c r="AK129" s="5"/>
      <c r="AL129" s="5"/>
    </row>
    <row r="130">
      <c r="A130" s="5"/>
      <c r="B130" s="5" t="str">
        <f>'Ingest Template'!B130&amp;IF('Ingest Template'!A130 = "Standard", " - DAR","")</f>
        <v/>
      </c>
      <c r="C130" s="6" t="str">
        <f>'Ingest Template'!C130</f>
        <v/>
      </c>
      <c r="D130" s="7" t="str">
        <f>'Ingest Template'!E130</f>
        <v/>
      </c>
      <c r="E130" s="5"/>
      <c r="F130" s="5"/>
      <c r="G130" s="5"/>
      <c r="H130" s="7"/>
      <c r="I130" s="5"/>
      <c r="J130" s="7" t="str">
        <f>'Ingest Template'!Q130</f>
        <v/>
      </c>
      <c r="K130" s="5" t="str">
        <f>'Ingest Template'!R130</f>
        <v/>
      </c>
      <c r="L130" s="8" t="s">
        <v>38</v>
      </c>
      <c r="M130" s="9"/>
      <c r="N130" s="5"/>
      <c r="O130" s="5"/>
      <c r="P130" s="5"/>
      <c r="Q130" s="5"/>
      <c r="R130" s="5" t="str">
        <f>'Ingest Template'!D130</f>
        <v/>
      </c>
      <c r="S130" s="5" t="str">
        <f>'Ingest Template'!G130</f>
        <v/>
      </c>
      <c r="T130" s="5" t="str">
        <f>'Ingest Template'!H130</f>
        <v/>
      </c>
      <c r="U130" s="5" t="str">
        <f>LOWER(SUBSTITUTE(SUBSTITUTE(SUBSTITUTE(SUBSTITUTE(SUBSTITUTE('Ingest Template'!I130,"https:",""),"www.",""),"/",""),"?hl=en",""),"instagram.com",""))</f>
        <v/>
      </c>
      <c r="V130" s="10" t="str">
        <f>'Ingest Template'!J130</f>
        <v/>
      </c>
      <c r="W130" s="10" t="str">
        <f>'Ingest Template'!K130</f>
        <v/>
      </c>
      <c r="X130" s="5"/>
      <c r="Y130" s="5" t="str">
        <f>SUBSTITUTE(SUBSTITUTE(SUBSTITUTE('Ingest Template'!L130,"http:",""),"https:",""),"/","")</f>
        <v/>
      </c>
      <c r="Z130" s="5" t="str">
        <f t="array" ref="Z130">IF('Ingest Template'!A130="Standard",(IF(ISBLANK('Ingest Template'!M130),"", 'Ingest Template'!M130&amp;"|DAR")),(IF(ISBLANK('Ingest Template'!M130),"", 'Ingest Template'!M130&amp;"|Operations - Core Title")))</f>
        <v/>
      </c>
      <c r="AA130" s="5"/>
      <c r="AB130" s="5" t="str">
        <f>'Ingest Template'!F130</f>
        <v/>
      </c>
      <c r="AC130" s="5"/>
      <c r="AD130" s="5"/>
      <c r="AE130" s="5"/>
      <c r="AF130" s="8"/>
      <c r="AG130" s="5" t="str">
        <f t="array" ref="AG130">IF('Ingest Template'!A130="Standard",(CONCATENATE(IF(ISBLANK('Ingest Template'!N130),"", 'Ingest Template'!N130&amp;"|DAR"),CHAR(10), IF(ISBLANK('Ingest Template'!O130),"", 'Ingest Template'!O130&amp;"|DAR"),CHAR(10), IF(ISBLANK('Ingest Template'!P130),"", 'Ingest Template'!P130&amp;"|DAR"))),(CONCATENATE(IF(ISBLANK('Ingest Template'!N130),"", 'Ingest Template'!N130&amp;"|Operations - Core Title"),CHAR(10), IF(ISBLANK('Ingest Template'!O130),"", 'Ingest Template'!O130&amp;"|Operations - Core Title"),CHAR(10), IF(ISBLANK('Ingest Template'!P130),"", 'Ingest Template'!P130&amp;"|Operations - Core Title"))))</f>
        <v>#|Operations - Core Title
</v>
      </c>
      <c r="AH130" s="5"/>
      <c r="AI130" s="5"/>
      <c r="AJ130" s="5"/>
      <c r="AK130" s="5"/>
      <c r="AL130" s="5"/>
    </row>
    <row r="131">
      <c r="A131" s="5"/>
      <c r="B131" s="5" t="str">
        <f>'Ingest Template'!B131&amp;IF('Ingest Template'!A131 = "Standard", " - DAR","")</f>
        <v/>
      </c>
      <c r="C131" s="6" t="str">
        <f>'Ingest Template'!C131</f>
        <v/>
      </c>
      <c r="D131" s="7" t="str">
        <f>'Ingest Template'!E131</f>
        <v/>
      </c>
      <c r="E131" s="5"/>
      <c r="F131" s="5"/>
      <c r="G131" s="5"/>
      <c r="H131" s="7"/>
      <c r="I131" s="5"/>
      <c r="J131" s="7" t="str">
        <f>'Ingest Template'!Q131</f>
        <v/>
      </c>
      <c r="K131" s="5" t="str">
        <f>'Ingest Template'!R131</f>
        <v/>
      </c>
      <c r="L131" s="8" t="s">
        <v>38</v>
      </c>
      <c r="M131" s="9"/>
      <c r="N131" s="5"/>
      <c r="O131" s="5"/>
      <c r="P131" s="5"/>
      <c r="Q131" s="5"/>
      <c r="R131" s="5" t="str">
        <f>'Ingest Template'!D131</f>
        <v/>
      </c>
      <c r="S131" s="5" t="str">
        <f>'Ingest Template'!G131</f>
        <v/>
      </c>
      <c r="T131" s="5" t="str">
        <f>'Ingest Template'!H131</f>
        <v/>
      </c>
      <c r="U131" s="5" t="str">
        <f>LOWER(SUBSTITUTE(SUBSTITUTE(SUBSTITUTE(SUBSTITUTE(SUBSTITUTE('Ingest Template'!I131,"https:",""),"www.",""),"/",""),"?hl=en",""),"instagram.com",""))</f>
        <v/>
      </c>
      <c r="V131" s="10" t="str">
        <f>'Ingest Template'!J131</f>
        <v/>
      </c>
      <c r="W131" s="10" t="str">
        <f>'Ingest Template'!K131</f>
        <v/>
      </c>
      <c r="X131" s="5"/>
      <c r="Y131" s="5" t="str">
        <f>SUBSTITUTE(SUBSTITUTE(SUBSTITUTE('Ingest Template'!L131,"http:",""),"https:",""),"/","")</f>
        <v/>
      </c>
      <c r="Z131" s="5" t="str">
        <f t="array" ref="Z131">IF('Ingest Template'!A131="Standard",(IF(ISBLANK('Ingest Template'!M131),"", 'Ingest Template'!M131&amp;"|DAR")),(IF(ISBLANK('Ingest Template'!M131),"", 'Ingest Template'!M131&amp;"|Operations - Core Title")))</f>
        <v/>
      </c>
      <c r="AA131" s="5"/>
      <c r="AB131" s="5" t="str">
        <f>'Ingest Template'!F131</f>
        <v/>
      </c>
      <c r="AC131" s="5"/>
      <c r="AD131" s="5"/>
      <c r="AE131" s="5"/>
      <c r="AF131" s="8"/>
      <c r="AG131" s="5" t="str">
        <f t="array" ref="AG131">IF('Ingest Template'!A131="Standard",(CONCATENATE(IF(ISBLANK('Ingest Template'!N131),"", 'Ingest Template'!N131&amp;"|DAR"),CHAR(10), IF(ISBLANK('Ingest Template'!O131),"", 'Ingest Template'!O131&amp;"|DAR"),CHAR(10), IF(ISBLANK('Ingest Template'!P131),"", 'Ingest Template'!P131&amp;"|DAR"))),(CONCATENATE(IF(ISBLANK('Ingest Template'!N131),"", 'Ingest Template'!N131&amp;"|Operations - Core Title"),CHAR(10), IF(ISBLANK('Ingest Template'!O131),"", 'Ingest Template'!O131&amp;"|Operations - Core Title"),CHAR(10), IF(ISBLANK('Ingest Template'!P131),"", 'Ingest Template'!P131&amp;"|Operations - Core Title"))))</f>
        <v>#|Operations - Core Title
</v>
      </c>
      <c r="AH131" s="5"/>
      <c r="AI131" s="5"/>
      <c r="AJ131" s="5"/>
      <c r="AK131" s="5"/>
      <c r="AL131" s="5"/>
    </row>
    <row r="132">
      <c r="A132" s="5"/>
      <c r="B132" s="5" t="str">
        <f>'Ingest Template'!B132&amp;IF('Ingest Template'!A132 = "Standard", " - DAR","")</f>
        <v/>
      </c>
      <c r="C132" s="6" t="str">
        <f>'Ingest Template'!C132</f>
        <v/>
      </c>
      <c r="D132" s="7" t="str">
        <f>'Ingest Template'!E132</f>
        <v/>
      </c>
      <c r="E132" s="5"/>
      <c r="F132" s="5"/>
      <c r="G132" s="5"/>
      <c r="H132" s="7"/>
      <c r="I132" s="5"/>
      <c r="J132" s="7" t="str">
        <f>'Ingest Template'!Q132</f>
        <v/>
      </c>
      <c r="K132" s="5" t="str">
        <f>'Ingest Template'!R132</f>
        <v/>
      </c>
      <c r="L132" s="8" t="s">
        <v>38</v>
      </c>
      <c r="M132" s="9"/>
      <c r="N132" s="5"/>
      <c r="O132" s="5"/>
      <c r="P132" s="5"/>
      <c r="Q132" s="5"/>
      <c r="R132" s="5" t="str">
        <f>'Ingest Template'!D132</f>
        <v/>
      </c>
      <c r="S132" s="5" t="str">
        <f>'Ingest Template'!G132</f>
        <v/>
      </c>
      <c r="T132" s="5" t="str">
        <f>'Ingest Template'!H132</f>
        <v/>
      </c>
      <c r="U132" s="5" t="str">
        <f>LOWER(SUBSTITUTE(SUBSTITUTE(SUBSTITUTE(SUBSTITUTE(SUBSTITUTE('Ingest Template'!I132,"https:",""),"www.",""),"/",""),"?hl=en",""),"instagram.com",""))</f>
        <v/>
      </c>
      <c r="V132" s="10" t="str">
        <f>'Ingest Template'!J132</f>
        <v/>
      </c>
      <c r="W132" s="10" t="str">
        <f>'Ingest Template'!K132</f>
        <v/>
      </c>
      <c r="X132" s="5"/>
      <c r="Y132" s="5" t="str">
        <f>SUBSTITUTE(SUBSTITUTE(SUBSTITUTE('Ingest Template'!L132,"http:",""),"https:",""),"/","")</f>
        <v/>
      </c>
      <c r="Z132" s="5" t="str">
        <f t="array" ref="Z132">IF('Ingest Template'!A132="Standard",(IF(ISBLANK('Ingest Template'!M132),"", 'Ingest Template'!M132&amp;"|DAR")),(IF(ISBLANK('Ingest Template'!M132),"", 'Ingest Template'!M132&amp;"|Operations - Core Title")))</f>
        <v/>
      </c>
      <c r="AA132" s="5"/>
      <c r="AB132" s="5" t="str">
        <f>'Ingest Template'!F132</f>
        <v/>
      </c>
      <c r="AC132" s="5"/>
      <c r="AD132" s="5"/>
      <c r="AE132" s="5"/>
      <c r="AF132" s="8"/>
      <c r="AG132" s="5" t="str">
        <f t="array" ref="AG132">IF('Ingest Template'!A132="Standard",(CONCATENATE(IF(ISBLANK('Ingest Template'!N132),"", 'Ingest Template'!N132&amp;"|DAR"),CHAR(10), IF(ISBLANK('Ingest Template'!O132),"", 'Ingest Template'!O132&amp;"|DAR"),CHAR(10), IF(ISBLANK('Ingest Template'!P132),"", 'Ingest Template'!P132&amp;"|DAR"))),(CONCATENATE(IF(ISBLANK('Ingest Template'!N132),"", 'Ingest Template'!N132&amp;"|Operations - Core Title"),CHAR(10), IF(ISBLANK('Ingest Template'!O132),"", 'Ingest Template'!O132&amp;"|Operations - Core Title"),CHAR(10), IF(ISBLANK('Ingest Template'!P132),"", 'Ingest Template'!P132&amp;"|Operations - Core Title"))))</f>
        <v>#|Operations - Core Title
</v>
      </c>
      <c r="AH132" s="5"/>
      <c r="AI132" s="5"/>
      <c r="AJ132" s="5"/>
      <c r="AK132" s="5"/>
      <c r="AL132" s="5"/>
    </row>
    <row r="133">
      <c r="A133" s="5"/>
      <c r="B133" s="5" t="str">
        <f>'Ingest Template'!B133&amp;IF('Ingest Template'!A133 = "Standard", " - DAR","")</f>
        <v/>
      </c>
      <c r="C133" s="6" t="str">
        <f>'Ingest Template'!C133</f>
        <v/>
      </c>
      <c r="D133" s="7" t="str">
        <f>'Ingest Template'!E133</f>
        <v/>
      </c>
      <c r="E133" s="5"/>
      <c r="F133" s="5"/>
      <c r="G133" s="5"/>
      <c r="H133" s="7"/>
      <c r="I133" s="5"/>
      <c r="J133" s="7" t="str">
        <f>'Ingest Template'!Q133</f>
        <v/>
      </c>
      <c r="K133" s="5" t="str">
        <f>'Ingest Template'!R133</f>
        <v/>
      </c>
      <c r="L133" s="8" t="s">
        <v>38</v>
      </c>
      <c r="M133" s="9"/>
      <c r="N133" s="5"/>
      <c r="O133" s="5"/>
      <c r="P133" s="5"/>
      <c r="Q133" s="5"/>
      <c r="R133" s="5" t="str">
        <f>'Ingest Template'!D133</f>
        <v/>
      </c>
      <c r="S133" s="5" t="str">
        <f>'Ingest Template'!G133</f>
        <v/>
      </c>
      <c r="T133" s="5" t="str">
        <f>'Ingest Template'!H133</f>
        <v/>
      </c>
      <c r="U133" s="5" t="str">
        <f>LOWER(SUBSTITUTE(SUBSTITUTE(SUBSTITUTE(SUBSTITUTE(SUBSTITUTE('Ingest Template'!I133,"https:",""),"www.",""),"/",""),"?hl=en",""),"instagram.com",""))</f>
        <v/>
      </c>
      <c r="V133" s="10" t="str">
        <f>'Ingest Template'!J133</f>
        <v/>
      </c>
      <c r="W133" s="10" t="str">
        <f>'Ingest Template'!K133</f>
        <v/>
      </c>
      <c r="X133" s="5"/>
      <c r="Y133" s="5" t="str">
        <f>SUBSTITUTE(SUBSTITUTE(SUBSTITUTE('Ingest Template'!L133,"http:",""),"https:",""),"/","")</f>
        <v/>
      </c>
      <c r="Z133" s="5" t="str">
        <f t="array" ref="Z133">IF('Ingest Template'!A133="Standard",(IF(ISBLANK('Ingest Template'!M133),"", 'Ingest Template'!M133&amp;"|DAR")),(IF(ISBLANK('Ingest Template'!M133),"", 'Ingest Template'!M133&amp;"|Operations - Core Title")))</f>
        <v/>
      </c>
      <c r="AA133" s="5"/>
      <c r="AB133" s="5" t="str">
        <f>'Ingest Template'!F133</f>
        <v/>
      </c>
      <c r="AC133" s="5"/>
      <c r="AD133" s="5"/>
      <c r="AE133" s="5"/>
      <c r="AF133" s="8"/>
      <c r="AG133" s="5" t="str">
        <f t="array" ref="AG133">IF('Ingest Template'!A133="Standard",(CONCATENATE(IF(ISBLANK('Ingest Template'!N133),"", 'Ingest Template'!N133&amp;"|DAR"),CHAR(10), IF(ISBLANK('Ingest Template'!O133),"", 'Ingest Template'!O133&amp;"|DAR"),CHAR(10), IF(ISBLANK('Ingest Template'!P133),"", 'Ingest Template'!P133&amp;"|DAR"))),(CONCATENATE(IF(ISBLANK('Ingest Template'!N133),"", 'Ingest Template'!N133&amp;"|Operations - Core Title"),CHAR(10), IF(ISBLANK('Ingest Template'!O133),"", 'Ingest Template'!O133&amp;"|Operations - Core Title"),CHAR(10), IF(ISBLANK('Ingest Template'!P133),"", 'Ingest Template'!P133&amp;"|Operations - Core Title"))))</f>
        <v>#|Operations - Core Title
</v>
      </c>
      <c r="AH133" s="5"/>
      <c r="AI133" s="5"/>
      <c r="AJ133" s="5"/>
      <c r="AK133" s="5"/>
      <c r="AL133" s="5"/>
    </row>
    <row r="134">
      <c r="A134" s="5"/>
      <c r="B134" s="5" t="str">
        <f>'Ingest Template'!B134&amp;IF('Ingest Template'!A134 = "Standard", " - DAR","")</f>
        <v/>
      </c>
      <c r="C134" s="6" t="str">
        <f>'Ingest Template'!C134</f>
        <v/>
      </c>
      <c r="D134" s="7" t="str">
        <f>'Ingest Template'!E134</f>
        <v/>
      </c>
      <c r="E134" s="5"/>
      <c r="F134" s="5"/>
      <c r="G134" s="5"/>
      <c r="H134" s="7"/>
      <c r="I134" s="5"/>
      <c r="J134" s="7" t="str">
        <f>'Ingest Template'!Q134</f>
        <v/>
      </c>
      <c r="K134" s="5" t="str">
        <f>'Ingest Template'!R134</f>
        <v/>
      </c>
      <c r="L134" s="8" t="s">
        <v>38</v>
      </c>
      <c r="M134" s="9"/>
      <c r="N134" s="5"/>
      <c r="O134" s="5"/>
      <c r="P134" s="5"/>
      <c r="Q134" s="5"/>
      <c r="R134" s="5" t="str">
        <f>'Ingest Template'!D134</f>
        <v/>
      </c>
      <c r="S134" s="5" t="str">
        <f>'Ingest Template'!G134</f>
        <v/>
      </c>
      <c r="T134" s="5" t="str">
        <f>'Ingest Template'!H134</f>
        <v/>
      </c>
      <c r="U134" s="5" t="str">
        <f>LOWER(SUBSTITUTE(SUBSTITUTE(SUBSTITUTE(SUBSTITUTE(SUBSTITUTE('Ingest Template'!I134,"https:",""),"www.",""),"/",""),"?hl=en",""),"instagram.com",""))</f>
        <v/>
      </c>
      <c r="V134" s="10" t="str">
        <f>'Ingest Template'!J134</f>
        <v/>
      </c>
      <c r="W134" s="10" t="str">
        <f>'Ingest Template'!K134</f>
        <v/>
      </c>
      <c r="X134" s="5"/>
      <c r="Y134" s="5" t="str">
        <f>SUBSTITUTE(SUBSTITUTE(SUBSTITUTE('Ingest Template'!L134,"http:",""),"https:",""),"/","")</f>
        <v/>
      </c>
      <c r="Z134" s="5" t="str">
        <f t="array" ref="Z134">IF('Ingest Template'!A134="Standard",(IF(ISBLANK('Ingest Template'!M134),"", 'Ingest Template'!M134&amp;"|DAR")),(IF(ISBLANK('Ingest Template'!M134),"", 'Ingest Template'!M134&amp;"|Operations - Core Title")))</f>
        <v/>
      </c>
      <c r="AA134" s="5"/>
      <c r="AB134" s="5" t="str">
        <f>'Ingest Template'!F134</f>
        <v/>
      </c>
      <c r="AC134" s="5"/>
      <c r="AD134" s="5"/>
      <c r="AE134" s="5"/>
      <c r="AF134" s="8"/>
      <c r="AG134" s="5" t="str">
        <f t="array" ref="AG134">IF('Ingest Template'!A134="Standard",(CONCATENATE(IF(ISBLANK('Ingest Template'!N134),"", 'Ingest Template'!N134&amp;"|DAR"),CHAR(10), IF(ISBLANK('Ingest Template'!O134),"", 'Ingest Template'!O134&amp;"|DAR"),CHAR(10), IF(ISBLANK('Ingest Template'!P134),"", 'Ingest Template'!P134&amp;"|DAR"))),(CONCATENATE(IF(ISBLANK('Ingest Template'!N134),"", 'Ingest Template'!N134&amp;"|Operations - Core Title"),CHAR(10), IF(ISBLANK('Ingest Template'!O134),"", 'Ingest Template'!O134&amp;"|Operations - Core Title"),CHAR(10), IF(ISBLANK('Ingest Template'!P134),"", 'Ingest Template'!P134&amp;"|Operations - Core Title"))))</f>
        <v>#|Operations - Core Title
</v>
      </c>
      <c r="AH134" s="5"/>
      <c r="AI134" s="5"/>
      <c r="AJ134" s="5"/>
      <c r="AK134" s="5"/>
      <c r="AL134" s="5"/>
    </row>
    <row r="135">
      <c r="A135" s="5"/>
      <c r="B135" s="5" t="str">
        <f>'Ingest Template'!B135&amp;IF('Ingest Template'!A135 = "Standard", " - DAR","")</f>
        <v/>
      </c>
      <c r="C135" s="6" t="str">
        <f>'Ingest Template'!C135</f>
        <v/>
      </c>
      <c r="D135" s="7" t="str">
        <f>'Ingest Template'!E135</f>
        <v/>
      </c>
      <c r="E135" s="5"/>
      <c r="F135" s="5"/>
      <c r="G135" s="5"/>
      <c r="H135" s="7"/>
      <c r="I135" s="5"/>
      <c r="J135" s="7" t="str">
        <f>'Ingest Template'!Q135</f>
        <v/>
      </c>
      <c r="K135" s="5" t="str">
        <f>'Ingest Template'!R135</f>
        <v/>
      </c>
      <c r="L135" s="8" t="s">
        <v>38</v>
      </c>
      <c r="M135" s="9"/>
      <c r="N135" s="5"/>
      <c r="O135" s="5"/>
      <c r="P135" s="5"/>
      <c r="Q135" s="5"/>
      <c r="R135" s="5" t="str">
        <f>'Ingest Template'!D135</f>
        <v/>
      </c>
      <c r="S135" s="5" t="str">
        <f>'Ingest Template'!G135</f>
        <v/>
      </c>
      <c r="T135" s="5" t="str">
        <f>'Ingest Template'!H135</f>
        <v/>
      </c>
      <c r="U135" s="5" t="str">
        <f>LOWER(SUBSTITUTE(SUBSTITUTE(SUBSTITUTE(SUBSTITUTE(SUBSTITUTE('Ingest Template'!I135,"https:",""),"www.",""),"/",""),"?hl=en",""),"instagram.com",""))</f>
        <v/>
      </c>
      <c r="V135" s="10" t="str">
        <f>'Ingest Template'!J135</f>
        <v/>
      </c>
      <c r="W135" s="10" t="str">
        <f>'Ingest Template'!K135</f>
        <v/>
      </c>
      <c r="X135" s="5"/>
      <c r="Y135" s="5" t="str">
        <f>SUBSTITUTE(SUBSTITUTE(SUBSTITUTE('Ingest Template'!L135,"http:",""),"https:",""),"/","")</f>
        <v/>
      </c>
      <c r="Z135" s="5" t="str">
        <f t="array" ref="Z135">IF('Ingest Template'!A135="Standard",(IF(ISBLANK('Ingest Template'!M135),"", 'Ingest Template'!M135&amp;"|DAR")),(IF(ISBLANK('Ingest Template'!M135),"", 'Ingest Template'!M135&amp;"|Operations - Core Title")))</f>
        <v/>
      </c>
      <c r="AA135" s="5"/>
      <c r="AB135" s="5" t="str">
        <f>'Ingest Template'!F135</f>
        <v/>
      </c>
      <c r="AC135" s="5"/>
      <c r="AD135" s="5"/>
      <c r="AE135" s="5"/>
      <c r="AF135" s="8"/>
      <c r="AG135" s="5" t="str">
        <f t="array" ref="AG135">IF('Ingest Template'!A135="Standard",(CONCATENATE(IF(ISBLANK('Ingest Template'!N135),"", 'Ingest Template'!N135&amp;"|DAR"),CHAR(10), IF(ISBLANK('Ingest Template'!O135),"", 'Ingest Template'!O135&amp;"|DAR"),CHAR(10), IF(ISBLANK('Ingest Template'!P135),"", 'Ingest Template'!P135&amp;"|DAR"))),(CONCATENATE(IF(ISBLANK('Ingest Template'!N135),"", 'Ingest Template'!N135&amp;"|Operations - Core Title"),CHAR(10), IF(ISBLANK('Ingest Template'!O135),"", 'Ingest Template'!O135&amp;"|Operations - Core Title"),CHAR(10), IF(ISBLANK('Ingest Template'!P135),"", 'Ingest Template'!P135&amp;"|Operations - Core Title"))))</f>
        <v>#|Operations - Core Title
</v>
      </c>
      <c r="AH135" s="5"/>
      <c r="AI135" s="5"/>
      <c r="AJ135" s="5"/>
      <c r="AK135" s="5"/>
      <c r="AL135" s="5"/>
    </row>
    <row r="136">
      <c r="A136" s="5"/>
      <c r="B136" s="5" t="str">
        <f>'Ingest Template'!B136&amp;IF('Ingest Template'!A136 = "Standard", " - DAR","")</f>
        <v/>
      </c>
      <c r="C136" s="6" t="str">
        <f>'Ingest Template'!C136</f>
        <v/>
      </c>
      <c r="D136" s="7" t="str">
        <f>'Ingest Template'!E136</f>
        <v/>
      </c>
      <c r="E136" s="5"/>
      <c r="F136" s="5"/>
      <c r="G136" s="5"/>
      <c r="H136" s="7"/>
      <c r="I136" s="5"/>
      <c r="J136" s="7" t="str">
        <f>'Ingest Template'!Q136</f>
        <v/>
      </c>
      <c r="K136" s="5" t="str">
        <f>'Ingest Template'!R136</f>
        <v/>
      </c>
      <c r="L136" s="8" t="s">
        <v>38</v>
      </c>
      <c r="M136" s="9"/>
      <c r="N136" s="5"/>
      <c r="O136" s="5"/>
      <c r="P136" s="5"/>
      <c r="Q136" s="5"/>
      <c r="R136" s="5" t="str">
        <f>'Ingest Template'!D136</f>
        <v/>
      </c>
      <c r="S136" s="5" t="str">
        <f>'Ingest Template'!G136</f>
        <v/>
      </c>
      <c r="T136" s="5" t="str">
        <f>'Ingest Template'!H136</f>
        <v/>
      </c>
      <c r="U136" s="5" t="str">
        <f>LOWER(SUBSTITUTE(SUBSTITUTE(SUBSTITUTE(SUBSTITUTE(SUBSTITUTE('Ingest Template'!I136,"https:",""),"www.",""),"/",""),"?hl=en",""),"instagram.com",""))</f>
        <v/>
      </c>
      <c r="V136" s="10" t="str">
        <f>'Ingest Template'!J136</f>
        <v/>
      </c>
      <c r="W136" s="10" t="str">
        <f>'Ingest Template'!K136</f>
        <v/>
      </c>
      <c r="X136" s="5"/>
      <c r="Y136" s="5" t="str">
        <f>SUBSTITUTE(SUBSTITUTE(SUBSTITUTE('Ingest Template'!L136,"http:",""),"https:",""),"/","")</f>
        <v/>
      </c>
      <c r="Z136" s="5" t="str">
        <f t="array" ref="Z136">IF('Ingest Template'!A136="Standard",(IF(ISBLANK('Ingest Template'!M136),"", 'Ingest Template'!M136&amp;"|DAR")),(IF(ISBLANK('Ingest Template'!M136),"", 'Ingest Template'!M136&amp;"|Operations - Core Title")))</f>
        <v/>
      </c>
      <c r="AA136" s="5"/>
      <c r="AB136" s="5" t="str">
        <f>'Ingest Template'!F136</f>
        <v/>
      </c>
      <c r="AC136" s="5"/>
      <c r="AD136" s="5"/>
      <c r="AE136" s="5"/>
      <c r="AF136" s="8"/>
      <c r="AG136" s="5" t="str">
        <f t="array" ref="AG136">IF('Ingest Template'!A136="Standard",(CONCATENATE(IF(ISBLANK('Ingest Template'!N136),"", 'Ingest Template'!N136&amp;"|DAR"),CHAR(10), IF(ISBLANK('Ingest Template'!O136),"", 'Ingest Template'!O136&amp;"|DAR"),CHAR(10), IF(ISBLANK('Ingest Template'!P136),"", 'Ingest Template'!P136&amp;"|DAR"))),(CONCATENATE(IF(ISBLANK('Ingest Template'!N136),"", 'Ingest Template'!N136&amp;"|Operations - Core Title"),CHAR(10), IF(ISBLANK('Ingest Template'!O136),"", 'Ingest Template'!O136&amp;"|Operations - Core Title"),CHAR(10), IF(ISBLANK('Ingest Template'!P136),"", 'Ingest Template'!P136&amp;"|Operations - Core Title"))))</f>
        <v>#|Operations - Core Title
</v>
      </c>
      <c r="AH136" s="5"/>
      <c r="AI136" s="5"/>
      <c r="AJ136" s="5"/>
      <c r="AK136" s="5"/>
      <c r="AL136" s="5"/>
    </row>
    <row r="137">
      <c r="A137" s="5"/>
      <c r="B137" s="5" t="str">
        <f>'Ingest Template'!B137&amp;IF('Ingest Template'!A137 = "Standard", " - DAR","")</f>
        <v/>
      </c>
      <c r="C137" s="6" t="str">
        <f>'Ingest Template'!C137</f>
        <v/>
      </c>
      <c r="D137" s="7" t="str">
        <f>'Ingest Template'!E137</f>
        <v/>
      </c>
      <c r="E137" s="5"/>
      <c r="F137" s="5"/>
      <c r="G137" s="5"/>
      <c r="H137" s="7"/>
      <c r="I137" s="5"/>
      <c r="J137" s="7" t="str">
        <f>'Ingest Template'!Q137</f>
        <v/>
      </c>
      <c r="K137" s="5" t="str">
        <f>'Ingest Template'!R137</f>
        <v/>
      </c>
      <c r="L137" s="8" t="s">
        <v>38</v>
      </c>
      <c r="M137" s="9"/>
      <c r="N137" s="5"/>
      <c r="O137" s="5"/>
      <c r="P137" s="5"/>
      <c r="Q137" s="5"/>
      <c r="R137" s="5" t="str">
        <f>'Ingest Template'!D137</f>
        <v/>
      </c>
      <c r="S137" s="5" t="str">
        <f>'Ingest Template'!G137</f>
        <v/>
      </c>
      <c r="T137" s="5" t="str">
        <f>'Ingest Template'!H137</f>
        <v/>
      </c>
      <c r="U137" s="5" t="str">
        <f>LOWER(SUBSTITUTE(SUBSTITUTE(SUBSTITUTE(SUBSTITUTE(SUBSTITUTE('Ingest Template'!I137,"https:",""),"www.",""),"/",""),"?hl=en",""),"instagram.com",""))</f>
        <v/>
      </c>
      <c r="V137" s="10" t="str">
        <f>'Ingest Template'!J137</f>
        <v/>
      </c>
      <c r="W137" s="10" t="str">
        <f>'Ingest Template'!K137</f>
        <v/>
      </c>
      <c r="X137" s="5"/>
      <c r="Y137" s="5" t="str">
        <f>SUBSTITUTE(SUBSTITUTE(SUBSTITUTE('Ingest Template'!L137,"http:",""),"https:",""),"/","")</f>
        <v/>
      </c>
      <c r="Z137" s="5" t="str">
        <f t="array" ref="Z137">IF('Ingest Template'!A137="Standard",(IF(ISBLANK('Ingest Template'!M137),"", 'Ingest Template'!M137&amp;"|DAR")),(IF(ISBLANK('Ingest Template'!M137),"", 'Ingest Template'!M137&amp;"|Operations - Core Title")))</f>
        <v/>
      </c>
      <c r="AA137" s="5"/>
      <c r="AB137" s="5" t="str">
        <f>'Ingest Template'!F137</f>
        <v/>
      </c>
      <c r="AC137" s="5"/>
      <c r="AD137" s="5"/>
      <c r="AE137" s="5"/>
      <c r="AF137" s="8"/>
      <c r="AG137" s="5" t="str">
        <f t="array" ref="AG137">IF('Ingest Template'!A137="Standard",(CONCATENATE(IF(ISBLANK('Ingest Template'!N137),"", 'Ingest Template'!N137&amp;"|DAR"),CHAR(10), IF(ISBLANK('Ingest Template'!O137),"", 'Ingest Template'!O137&amp;"|DAR"),CHAR(10), IF(ISBLANK('Ingest Template'!P137),"", 'Ingest Template'!P137&amp;"|DAR"))),(CONCATENATE(IF(ISBLANK('Ingest Template'!N137),"", 'Ingest Template'!N137&amp;"|Operations - Core Title"),CHAR(10), IF(ISBLANK('Ingest Template'!O137),"", 'Ingest Template'!O137&amp;"|Operations - Core Title"),CHAR(10), IF(ISBLANK('Ingest Template'!P137),"", 'Ingest Template'!P137&amp;"|Operations - Core Title"))))</f>
        <v>#|Operations - Core Title
</v>
      </c>
      <c r="AH137" s="5"/>
      <c r="AI137" s="5"/>
      <c r="AJ137" s="5"/>
      <c r="AK137" s="5"/>
      <c r="AL137" s="5"/>
    </row>
    <row r="138">
      <c r="A138" s="5"/>
      <c r="B138" s="5" t="str">
        <f>'Ingest Template'!B138&amp;IF('Ingest Template'!A138 = "Standard", " - DAR","")</f>
        <v/>
      </c>
      <c r="C138" s="6" t="str">
        <f>'Ingest Template'!C138</f>
        <v/>
      </c>
      <c r="D138" s="7" t="str">
        <f>'Ingest Template'!E138</f>
        <v/>
      </c>
      <c r="E138" s="5"/>
      <c r="F138" s="5"/>
      <c r="G138" s="5"/>
      <c r="H138" s="7"/>
      <c r="I138" s="5"/>
      <c r="J138" s="7" t="str">
        <f>'Ingest Template'!Q138</f>
        <v/>
      </c>
      <c r="K138" s="5" t="str">
        <f>'Ingest Template'!R138</f>
        <v/>
      </c>
      <c r="L138" s="8" t="s">
        <v>38</v>
      </c>
      <c r="M138" s="9"/>
      <c r="N138" s="5"/>
      <c r="O138" s="5"/>
      <c r="P138" s="5"/>
      <c r="Q138" s="5"/>
      <c r="R138" s="5" t="str">
        <f>'Ingest Template'!D138</f>
        <v/>
      </c>
      <c r="S138" s="5" t="str">
        <f>'Ingest Template'!G138</f>
        <v/>
      </c>
      <c r="T138" s="5" t="str">
        <f>'Ingest Template'!H138</f>
        <v/>
      </c>
      <c r="U138" s="5" t="str">
        <f>LOWER(SUBSTITUTE(SUBSTITUTE(SUBSTITUTE(SUBSTITUTE(SUBSTITUTE('Ingest Template'!I138,"https:",""),"www.",""),"/",""),"?hl=en",""),"instagram.com",""))</f>
        <v/>
      </c>
      <c r="V138" s="10" t="str">
        <f>'Ingest Template'!J138</f>
        <v/>
      </c>
      <c r="W138" s="10" t="str">
        <f>'Ingest Template'!K138</f>
        <v/>
      </c>
      <c r="X138" s="5"/>
      <c r="Y138" s="5" t="str">
        <f>SUBSTITUTE(SUBSTITUTE(SUBSTITUTE('Ingest Template'!L138,"http:",""),"https:",""),"/","")</f>
        <v/>
      </c>
      <c r="Z138" s="5" t="str">
        <f t="array" ref="Z138">IF('Ingest Template'!A138="Standard",(IF(ISBLANK('Ingest Template'!M138),"", 'Ingest Template'!M138&amp;"|DAR")),(IF(ISBLANK('Ingest Template'!M138),"", 'Ingest Template'!M138&amp;"|Operations - Core Title")))</f>
        <v/>
      </c>
      <c r="AA138" s="5"/>
      <c r="AB138" s="5" t="str">
        <f>'Ingest Template'!F138</f>
        <v/>
      </c>
      <c r="AC138" s="5"/>
      <c r="AD138" s="5"/>
      <c r="AE138" s="5"/>
      <c r="AF138" s="8"/>
      <c r="AG138" s="5" t="str">
        <f t="array" ref="AG138">IF('Ingest Template'!A138="Standard",(CONCATENATE(IF(ISBLANK('Ingest Template'!N138),"", 'Ingest Template'!N138&amp;"|DAR"),CHAR(10), IF(ISBLANK('Ingest Template'!O138),"", 'Ingest Template'!O138&amp;"|DAR"),CHAR(10), IF(ISBLANK('Ingest Template'!P138),"", 'Ingest Template'!P138&amp;"|DAR"))),(CONCATENATE(IF(ISBLANK('Ingest Template'!N138),"", 'Ingest Template'!N138&amp;"|Operations - Core Title"),CHAR(10), IF(ISBLANK('Ingest Template'!O138),"", 'Ingest Template'!O138&amp;"|Operations - Core Title"),CHAR(10), IF(ISBLANK('Ingest Template'!P138),"", 'Ingest Template'!P138&amp;"|Operations - Core Title"))))</f>
        <v>#|Operations - Core Title
</v>
      </c>
      <c r="AH138" s="5"/>
      <c r="AI138" s="5"/>
      <c r="AJ138" s="5"/>
      <c r="AK138" s="5"/>
      <c r="AL138" s="5"/>
    </row>
    <row r="139">
      <c r="A139" s="5"/>
      <c r="B139" s="5" t="str">
        <f>'Ingest Template'!B139&amp;IF('Ingest Template'!A139 = "Standard", " - DAR","")</f>
        <v/>
      </c>
      <c r="C139" s="6" t="str">
        <f>'Ingest Template'!C139</f>
        <v/>
      </c>
      <c r="D139" s="7" t="str">
        <f>'Ingest Template'!E139</f>
        <v/>
      </c>
      <c r="E139" s="5"/>
      <c r="F139" s="5"/>
      <c r="G139" s="5"/>
      <c r="H139" s="7"/>
      <c r="I139" s="5"/>
      <c r="J139" s="7" t="str">
        <f>'Ingest Template'!Q139</f>
        <v/>
      </c>
      <c r="K139" s="5" t="str">
        <f>'Ingest Template'!R139</f>
        <v/>
      </c>
      <c r="L139" s="8" t="s">
        <v>38</v>
      </c>
      <c r="M139" s="9"/>
      <c r="N139" s="5"/>
      <c r="O139" s="5"/>
      <c r="P139" s="5"/>
      <c r="Q139" s="5"/>
      <c r="R139" s="5" t="str">
        <f>'Ingest Template'!D139</f>
        <v/>
      </c>
      <c r="S139" s="5" t="str">
        <f>'Ingest Template'!G139</f>
        <v/>
      </c>
      <c r="T139" s="5" t="str">
        <f>'Ingest Template'!H139</f>
        <v/>
      </c>
      <c r="U139" s="5" t="str">
        <f>LOWER(SUBSTITUTE(SUBSTITUTE(SUBSTITUTE(SUBSTITUTE(SUBSTITUTE('Ingest Template'!I139,"https:",""),"www.",""),"/",""),"?hl=en",""),"instagram.com",""))</f>
        <v/>
      </c>
      <c r="V139" s="10" t="str">
        <f>'Ingest Template'!J139</f>
        <v/>
      </c>
      <c r="W139" s="10" t="str">
        <f>'Ingest Template'!K139</f>
        <v/>
      </c>
      <c r="X139" s="5"/>
      <c r="Y139" s="5" t="str">
        <f>SUBSTITUTE(SUBSTITUTE(SUBSTITUTE('Ingest Template'!L139,"http:",""),"https:",""),"/","")</f>
        <v/>
      </c>
      <c r="Z139" s="5" t="str">
        <f t="array" ref="Z139">IF('Ingest Template'!A139="Standard",(IF(ISBLANK('Ingest Template'!M139),"", 'Ingest Template'!M139&amp;"|DAR")),(IF(ISBLANK('Ingest Template'!M139),"", 'Ingest Template'!M139&amp;"|Operations - Core Title")))</f>
        <v/>
      </c>
      <c r="AA139" s="5"/>
      <c r="AB139" s="5" t="str">
        <f>'Ingest Template'!F139</f>
        <v/>
      </c>
      <c r="AC139" s="5"/>
      <c r="AD139" s="5"/>
      <c r="AE139" s="5"/>
      <c r="AF139" s="8"/>
      <c r="AG139" s="5" t="str">
        <f t="array" ref="AG139">IF('Ingest Template'!A139="Standard",(CONCATENATE(IF(ISBLANK('Ingest Template'!N139),"", 'Ingest Template'!N139&amp;"|DAR"),CHAR(10), IF(ISBLANK('Ingest Template'!O139),"", 'Ingest Template'!O139&amp;"|DAR"),CHAR(10), IF(ISBLANK('Ingest Template'!P139),"", 'Ingest Template'!P139&amp;"|DAR"))),(CONCATENATE(IF(ISBLANK('Ingest Template'!N139),"", 'Ingest Template'!N139&amp;"|Operations - Core Title"),CHAR(10), IF(ISBLANK('Ingest Template'!O139),"", 'Ingest Template'!O139&amp;"|Operations - Core Title"),CHAR(10), IF(ISBLANK('Ingest Template'!P139),"", 'Ingest Template'!P139&amp;"|Operations - Core Title"))))</f>
        <v>#|Operations - Core Title
</v>
      </c>
      <c r="AH139" s="5"/>
      <c r="AI139" s="5"/>
      <c r="AJ139" s="5"/>
      <c r="AK139" s="5"/>
      <c r="AL139" s="5"/>
    </row>
    <row r="140">
      <c r="A140" s="5"/>
      <c r="B140" s="5" t="str">
        <f>'Ingest Template'!B140&amp;IF('Ingest Template'!A140 = "Standard", " - DAR","")</f>
        <v/>
      </c>
      <c r="C140" s="6" t="str">
        <f>'Ingest Template'!C140</f>
        <v/>
      </c>
      <c r="D140" s="7" t="str">
        <f>'Ingest Template'!E140</f>
        <v/>
      </c>
      <c r="E140" s="5"/>
      <c r="F140" s="5"/>
      <c r="G140" s="5"/>
      <c r="H140" s="7"/>
      <c r="I140" s="5"/>
      <c r="J140" s="7" t="str">
        <f>'Ingest Template'!Q140</f>
        <v/>
      </c>
      <c r="K140" s="5" t="str">
        <f>'Ingest Template'!R140</f>
        <v/>
      </c>
      <c r="L140" s="8" t="s">
        <v>38</v>
      </c>
      <c r="M140" s="9"/>
      <c r="N140" s="5"/>
      <c r="O140" s="5"/>
      <c r="P140" s="5"/>
      <c r="Q140" s="5"/>
      <c r="R140" s="5" t="str">
        <f>'Ingest Template'!D140</f>
        <v/>
      </c>
      <c r="S140" s="5" t="str">
        <f>'Ingest Template'!G140</f>
        <v/>
      </c>
      <c r="T140" s="5" t="str">
        <f>'Ingest Template'!H140</f>
        <v/>
      </c>
      <c r="U140" s="5" t="str">
        <f>LOWER(SUBSTITUTE(SUBSTITUTE(SUBSTITUTE(SUBSTITUTE(SUBSTITUTE('Ingest Template'!I140,"https:",""),"www.",""),"/",""),"?hl=en",""),"instagram.com",""))</f>
        <v/>
      </c>
      <c r="V140" s="10" t="str">
        <f>'Ingest Template'!J140</f>
        <v/>
      </c>
      <c r="W140" s="10" t="str">
        <f>'Ingest Template'!K140</f>
        <v/>
      </c>
      <c r="X140" s="5"/>
      <c r="Y140" s="5" t="str">
        <f>SUBSTITUTE(SUBSTITUTE(SUBSTITUTE('Ingest Template'!L140,"http:",""),"https:",""),"/","")</f>
        <v/>
      </c>
      <c r="Z140" s="5" t="str">
        <f t="array" ref="Z140">IF('Ingest Template'!A140="Standard",(IF(ISBLANK('Ingest Template'!M140),"", 'Ingest Template'!M140&amp;"|DAR")),(IF(ISBLANK('Ingest Template'!M140),"", 'Ingest Template'!M140&amp;"|Operations - Core Title")))</f>
        <v/>
      </c>
      <c r="AA140" s="5"/>
      <c r="AB140" s="5" t="str">
        <f>'Ingest Template'!F140</f>
        <v/>
      </c>
      <c r="AC140" s="5"/>
      <c r="AD140" s="5"/>
      <c r="AE140" s="5"/>
      <c r="AF140" s="8"/>
      <c r="AG140" s="5" t="str">
        <f t="array" ref="AG140">IF('Ingest Template'!A140="Standard",(CONCATENATE(IF(ISBLANK('Ingest Template'!N140),"", 'Ingest Template'!N140&amp;"|DAR"),CHAR(10), IF(ISBLANK('Ingest Template'!O140),"", 'Ingest Template'!O140&amp;"|DAR"),CHAR(10), IF(ISBLANK('Ingest Template'!P140),"", 'Ingest Template'!P140&amp;"|DAR"))),(CONCATENATE(IF(ISBLANK('Ingest Template'!N140),"", 'Ingest Template'!N140&amp;"|Operations - Core Title"),CHAR(10), IF(ISBLANK('Ingest Template'!O140),"", 'Ingest Template'!O140&amp;"|Operations - Core Title"),CHAR(10), IF(ISBLANK('Ingest Template'!P140),"", 'Ingest Template'!P140&amp;"|Operations - Core Title"))))</f>
        <v>#|Operations - Core Title
</v>
      </c>
      <c r="AH140" s="5"/>
      <c r="AI140" s="5"/>
      <c r="AJ140" s="5"/>
      <c r="AK140" s="5"/>
      <c r="AL140" s="5"/>
    </row>
    <row r="141">
      <c r="A141" s="5"/>
      <c r="B141" s="5" t="str">
        <f>'Ingest Template'!B141&amp;IF('Ingest Template'!A141 = "Standard", " - DAR","")</f>
        <v/>
      </c>
      <c r="C141" s="6" t="str">
        <f>'Ingest Template'!C141</f>
        <v/>
      </c>
      <c r="D141" s="7" t="str">
        <f>'Ingest Template'!E141</f>
        <v/>
      </c>
      <c r="E141" s="5"/>
      <c r="F141" s="5"/>
      <c r="G141" s="5"/>
      <c r="H141" s="7"/>
      <c r="I141" s="5"/>
      <c r="J141" s="7" t="str">
        <f>'Ingest Template'!Q141</f>
        <v/>
      </c>
      <c r="K141" s="5" t="str">
        <f>'Ingest Template'!R141</f>
        <v/>
      </c>
      <c r="L141" s="8" t="s">
        <v>38</v>
      </c>
      <c r="M141" s="9"/>
      <c r="N141" s="5"/>
      <c r="O141" s="5"/>
      <c r="P141" s="5"/>
      <c r="Q141" s="5"/>
      <c r="R141" s="5" t="str">
        <f>'Ingest Template'!D141</f>
        <v/>
      </c>
      <c r="S141" s="5" t="str">
        <f>'Ingest Template'!G141</f>
        <v/>
      </c>
      <c r="T141" s="5" t="str">
        <f>'Ingest Template'!H141</f>
        <v/>
      </c>
      <c r="U141" s="5" t="str">
        <f>LOWER(SUBSTITUTE(SUBSTITUTE(SUBSTITUTE(SUBSTITUTE(SUBSTITUTE('Ingest Template'!I141,"https:",""),"www.",""),"/",""),"?hl=en",""),"instagram.com",""))</f>
        <v/>
      </c>
      <c r="V141" s="10" t="str">
        <f>'Ingest Template'!J141</f>
        <v/>
      </c>
      <c r="W141" s="10" t="str">
        <f>'Ingest Template'!K141</f>
        <v/>
      </c>
      <c r="X141" s="5"/>
      <c r="Y141" s="5" t="str">
        <f>SUBSTITUTE(SUBSTITUTE(SUBSTITUTE('Ingest Template'!L141,"http:",""),"https:",""),"/","")</f>
        <v/>
      </c>
      <c r="Z141" s="5" t="str">
        <f t="array" ref="Z141">IF('Ingest Template'!A141="Standard",(IF(ISBLANK('Ingest Template'!M141),"", 'Ingest Template'!M141&amp;"|DAR")),(IF(ISBLANK('Ingest Template'!M141),"", 'Ingest Template'!M141&amp;"|Operations - Core Title")))</f>
        <v/>
      </c>
      <c r="AA141" s="5"/>
      <c r="AB141" s="5" t="str">
        <f>'Ingest Template'!F141</f>
        <v/>
      </c>
      <c r="AC141" s="5"/>
      <c r="AD141" s="5"/>
      <c r="AE141" s="5"/>
      <c r="AF141" s="8"/>
      <c r="AG141" s="5" t="str">
        <f t="array" ref="AG141">IF('Ingest Template'!A141="Standard",(CONCATENATE(IF(ISBLANK('Ingest Template'!N141),"", 'Ingest Template'!N141&amp;"|DAR"),CHAR(10), IF(ISBLANK('Ingest Template'!O141),"", 'Ingest Template'!O141&amp;"|DAR"),CHAR(10), IF(ISBLANK('Ingest Template'!P141),"", 'Ingest Template'!P141&amp;"|DAR"))),(CONCATENATE(IF(ISBLANK('Ingest Template'!N141),"", 'Ingest Template'!N141&amp;"|Operations - Core Title"),CHAR(10), IF(ISBLANK('Ingest Template'!O141),"", 'Ingest Template'!O141&amp;"|Operations - Core Title"),CHAR(10), IF(ISBLANK('Ingest Template'!P141),"", 'Ingest Template'!P141&amp;"|Operations - Core Title"))))</f>
        <v>#|Operations - Core Title
</v>
      </c>
      <c r="AH141" s="5"/>
      <c r="AI141" s="5"/>
      <c r="AJ141" s="5"/>
      <c r="AK141" s="5"/>
      <c r="AL141" s="5"/>
    </row>
    <row r="142">
      <c r="A142" s="5"/>
      <c r="B142" s="5" t="str">
        <f>'Ingest Template'!B142&amp;IF('Ingest Template'!A142 = "Standard", " - DAR","")</f>
        <v/>
      </c>
      <c r="C142" s="6" t="str">
        <f>'Ingest Template'!C142</f>
        <v/>
      </c>
      <c r="D142" s="7" t="str">
        <f>'Ingest Template'!E142</f>
        <v/>
      </c>
      <c r="E142" s="5"/>
      <c r="F142" s="5"/>
      <c r="G142" s="5"/>
      <c r="H142" s="7"/>
      <c r="I142" s="5"/>
      <c r="J142" s="7" t="str">
        <f>'Ingest Template'!Q142</f>
        <v/>
      </c>
      <c r="K142" s="5" t="str">
        <f>'Ingest Template'!R142</f>
        <v/>
      </c>
      <c r="L142" s="8" t="s">
        <v>38</v>
      </c>
      <c r="M142" s="9"/>
      <c r="N142" s="5"/>
      <c r="O142" s="5"/>
      <c r="P142" s="5"/>
      <c r="Q142" s="5"/>
      <c r="R142" s="5" t="str">
        <f>'Ingest Template'!D142</f>
        <v/>
      </c>
      <c r="S142" s="5" t="str">
        <f>'Ingest Template'!G142</f>
        <v/>
      </c>
      <c r="T142" s="5" t="str">
        <f>'Ingest Template'!H142</f>
        <v/>
      </c>
      <c r="U142" s="5" t="str">
        <f>LOWER(SUBSTITUTE(SUBSTITUTE(SUBSTITUTE(SUBSTITUTE(SUBSTITUTE('Ingest Template'!I142,"https:",""),"www.",""),"/",""),"?hl=en",""),"instagram.com",""))</f>
        <v/>
      </c>
      <c r="V142" s="10" t="str">
        <f>'Ingest Template'!J142</f>
        <v/>
      </c>
      <c r="W142" s="10" t="str">
        <f>'Ingest Template'!K142</f>
        <v/>
      </c>
      <c r="X142" s="5"/>
      <c r="Y142" s="5" t="str">
        <f>SUBSTITUTE(SUBSTITUTE(SUBSTITUTE('Ingest Template'!L142,"http:",""),"https:",""),"/","")</f>
        <v/>
      </c>
      <c r="Z142" s="5" t="str">
        <f t="array" ref="Z142">IF('Ingest Template'!A142="Standard",(IF(ISBLANK('Ingest Template'!M142),"", 'Ingest Template'!M142&amp;"|DAR")),(IF(ISBLANK('Ingest Template'!M142),"", 'Ingest Template'!M142&amp;"|Operations - Core Title")))</f>
        <v/>
      </c>
      <c r="AA142" s="5"/>
      <c r="AB142" s="5" t="str">
        <f>'Ingest Template'!F142</f>
        <v/>
      </c>
      <c r="AC142" s="5"/>
      <c r="AD142" s="5"/>
      <c r="AE142" s="5"/>
      <c r="AF142" s="8"/>
      <c r="AG142" s="5" t="str">
        <f t="array" ref="AG142">IF('Ingest Template'!A142="Standard",(CONCATENATE(IF(ISBLANK('Ingest Template'!N142),"", 'Ingest Template'!N142&amp;"|DAR"),CHAR(10), IF(ISBLANK('Ingest Template'!O142),"", 'Ingest Template'!O142&amp;"|DAR"),CHAR(10), IF(ISBLANK('Ingest Template'!P142),"", 'Ingest Template'!P142&amp;"|DAR"))),(CONCATENATE(IF(ISBLANK('Ingest Template'!N142),"", 'Ingest Template'!N142&amp;"|Operations - Core Title"),CHAR(10), IF(ISBLANK('Ingest Template'!O142),"", 'Ingest Template'!O142&amp;"|Operations - Core Title"),CHAR(10), IF(ISBLANK('Ingest Template'!P142),"", 'Ingest Template'!P142&amp;"|Operations - Core Title"))))</f>
        <v>#|Operations - Core Title
</v>
      </c>
      <c r="AH142" s="5"/>
      <c r="AI142" s="5"/>
      <c r="AJ142" s="5"/>
      <c r="AK142" s="5"/>
      <c r="AL142" s="5"/>
    </row>
    <row r="143">
      <c r="A143" s="5"/>
      <c r="B143" s="5" t="str">
        <f>'Ingest Template'!B143&amp;IF('Ingest Template'!A143 = "Standard", " - DAR","")</f>
        <v/>
      </c>
      <c r="C143" s="6" t="str">
        <f>'Ingest Template'!C143</f>
        <v/>
      </c>
      <c r="D143" s="7" t="str">
        <f>'Ingest Template'!E143</f>
        <v/>
      </c>
      <c r="E143" s="5"/>
      <c r="F143" s="5"/>
      <c r="G143" s="5"/>
      <c r="H143" s="7"/>
      <c r="I143" s="5"/>
      <c r="J143" s="7" t="str">
        <f>'Ingest Template'!Q143</f>
        <v/>
      </c>
      <c r="K143" s="5" t="str">
        <f>'Ingest Template'!R143</f>
        <v/>
      </c>
      <c r="L143" s="8" t="s">
        <v>38</v>
      </c>
      <c r="M143" s="9"/>
      <c r="N143" s="5"/>
      <c r="O143" s="5"/>
      <c r="P143" s="5"/>
      <c r="Q143" s="5"/>
      <c r="R143" s="5" t="str">
        <f>'Ingest Template'!D143</f>
        <v/>
      </c>
      <c r="S143" s="5" t="str">
        <f>'Ingest Template'!G143</f>
        <v/>
      </c>
      <c r="T143" s="5" t="str">
        <f>'Ingest Template'!H143</f>
        <v/>
      </c>
      <c r="U143" s="5" t="str">
        <f>LOWER(SUBSTITUTE(SUBSTITUTE(SUBSTITUTE(SUBSTITUTE(SUBSTITUTE('Ingest Template'!I143,"https:",""),"www.",""),"/",""),"?hl=en",""),"instagram.com",""))</f>
        <v/>
      </c>
      <c r="V143" s="10" t="str">
        <f>'Ingest Template'!J143</f>
        <v/>
      </c>
      <c r="W143" s="10" t="str">
        <f>'Ingest Template'!K143</f>
        <v/>
      </c>
      <c r="X143" s="5"/>
      <c r="Y143" s="5" t="str">
        <f>SUBSTITUTE(SUBSTITUTE(SUBSTITUTE('Ingest Template'!L143,"http:",""),"https:",""),"/","")</f>
        <v/>
      </c>
      <c r="Z143" s="5" t="str">
        <f t="array" ref="Z143">IF('Ingest Template'!A143="Standard",(IF(ISBLANK('Ingest Template'!M143),"", 'Ingest Template'!M143&amp;"|DAR")),(IF(ISBLANK('Ingest Template'!M143),"", 'Ingest Template'!M143&amp;"|Operations - Core Title")))</f>
        <v/>
      </c>
      <c r="AA143" s="5"/>
      <c r="AB143" s="5" t="str">
        <f>'Ingest Template'!F143</f>
        <v/>
      </c>
      <c r="AC143" s="5"/>
      <c r="AD143" s="5"/>
      <c r="AE143" s="5"/>
      <c r="AF143" s="8"/>
      <c r="AG143" s="5" t="str">
        <f t="array" ref="AG143">IF('Ingest Template'!A143="Standard",(CONCATENATE(IF(ISBLANK('Ingest Template'!N143),"", 'Ingest Template'!N143&amp;"|DAR"),CHAR(10), IF(ISBLANK('Ingest Template'!O143),"", 'Ingest Template'!O143&amp;"|DAR"),CHAR(10), IF(ISBLANK('Ingest Template'!P143),"", 'Ingest Template'!P143&amp;"|DAR"))),(CONCATENATE(IF(ISBLANK('Ingest Template'!N143),"", 'Ingest Template'!N143&amp;"|Operations - Core Title"),CHAR(10), IF(ISBLANK('Ingest Template'!O143),"", 'Ingest Template'!O143&amp;"|Operations - Core Title"),CHAR(10), IF(ISBLANK('Ingest Template'!P143),"", 'Ingest Template'!P143&amp;"|Operations - Core Title"))))</f>
        <v>#|Operations - Core Title
</v>
      </c>
      <c r="AH143" s="5"/>
      <c r="AI143" s="5"/>
      <c r="AJ143" s="5"/>
      <c r="AK143" s="5"/>
      <c r="AL143" s="5"/>
    </row>
    <row r="144">
      <c r="A144" s="5"/>
      <c r="B144" s="5" t="str">
        <f>'Ingest Template'!B144&amp;IF('Ingest Template'!A144 = "Standard", " - DAR","")</f>
        <v/>
      </c>
      <c r="C144" s="6" t="str">
        <f>'Ingest Template'!C144</f>
        <v/>
      </c>
      <c r="D144" s="7" t="str">
        <f>'Ingest Template'!E144</f>
        <v/>
      </c>
      <c r="E144" s="5"/>
      <c r="F144" s="5"/>
      <c r="G144" s="5"/>
      <c r="H144" s="7"/>
      <c r="I144" s="5"/>
      <c r="J144" s="7" t="str">
        <f>'Ingest Template'!Q144</f>
        <v/>
      </c>
      <c r="K144" s="5" t="str">
        <f>'Ingest Template'!R144</f>
        <v/>
      </c>
      <c r="L144" s="8" t="s">
        <v>38</v>
      </c>
      <c r="M144" s="9"/>
      <c r="N144" s="5"/>
      <c r="O144" s="5"/>
      <c r="P144" s="5"/>
      <c r="Q144" s="5"/>
      <c r="R144" s="5" t="str">
        <f>'Ingest Template'!D144</f>
        <v/>
      </c>
      <c r="S144" s="5" t="str">
        <f>'Ingest Template'!G144</f>
        <v/>
      </c>
      <c r="T144" s="5" t="str">
        <f>'Ingest Template'!H144</f>
        <v/>
      </c>
      <c r="U144" s="5" t="str">
        <f>LOWER(SUBSTITUTE(SUBSTITUTE(SUBSTITUTE(SUBSTITUTE(SUBSTITUTE('Ingest Template'!I144,"https:",""),"www.",""),"/",""),"?hl=en",""),"instagram.com",""))</f>
        <v/>
      </c>
      <c r="V144" s="10" t="str">
        <f>'Ingest Template'!J144</f>
        <v/>
      </c>
      <c r="W144" s="10" t="str">
        <f>'Ingest Template'!K144</f>
        <v/>
      </c>
      <c r="X144" s="5"/>
      <c r="Y144" s="5" t="str">
        <f>SUBSTITUTE(SUBSTITUTE(SUBSTITUTE('Ingest Template'!L144,"http:",""),"https:",""),"/","")</f>
        <v/>
      </c>
      <c r="Z144" s="5" t="str">
        <f t="array" ref="Z144">IF('Ingest Template'!A144="Standard",(IF(ISBLANK('Ingest Template'!M144),"", 'Ingest Template'!M144&amp;"|DAR")),(IF(ISBLANK('Ingest Template'!M144),"", 'Ingest Template'!M144&amp;"|Operations - Core Title")))</f>
        <v/>
      </c>
      <c r="AA144" s="5"/>
      <c r="AB144" s="5" t="str">
        <f>'Ingest Template'!F144</f>
        <v/>
      </c>
      <c r="AC144" s="5"/>
      <c r="AD144" s="5"/>
      <c r="AE144" s="5"/>
      <c r="AF144" s="8"/>
      <c r="AG144" s="5" t="str">
        <f t="array" ref="AG144">IF('Ingest Template'!A144="Standard",(CONCATENATE(IF(ISBLANK('Ingest Template'!N144),"", 'Ingest Template'!N144&amp;"|DAR"),CHAR(10), IF(ISBLANK('Ingest Template'!O144),"", 'Ingest Template'!O144&amp;"|DAR"),CHAR(10), IF(ISBLANK('Ingest Template'!P144),"", 'Ingest Template'!P144&amp;"|DAR"))),(CONCATENATE(IF(ISBLANK('Ingest Template'!N144),"", 'Ingest Template'!N144&amp;"|Operations - Core Title"),CHAR(10), IF(ISBLANK('Ingest Template'!O144),"", 'Ingest Template'!O144&amp;"|Operations - Core Title"),CHAR(10), IF(ISBLANK('Ingest Template'!P144),"", 'Ingest Template'!P144&amp;"|Operations - Core Title"))))</f>
        <v>#|Operations - Core Title
</v>
      </c>
      <c r="AH144" s="5"/>
      <c r="AI144" s="5"/>
      <c r="AJ144" s="5"/>
      <c r="AK144" s="5"/>
      <c r="AL144" s="5"/>
    </row>
    <row r="145">
      <c r="A145" s="5"/>
      <c r="B145" s="5" t="str">
        <f>'Ingest Template'!B145&amp;IF('Ingest Template'!A145 = "Standard", " - DAR","")</f>
        <v/>
      </c>
      <c r="C145" s="6" t="str">
        <f>'Ingest Template'!C145</f>
        <v/>
      </c>
      <c r="D145" s="7" t="str">
        <f>'Ingest Template'!E145</f>
        <v/>
      </c>
      <c r="E145" s="5"/>
      <c r="F145" s="5"/>
      <c r="G145" s="5"/>
      <c r="H145" s="7"/>
      <c r="I145" s="5"/>
      <c r="J145" s="7" t="str">
        <f>'Ingest Template'!Q145</f>
        <v/>
      </c>
      <c r="K145" s="5" t="str">
        <f>'Ingest Template'!R145</f>
        <v/>
      </c>
      <c r="L145" s="8" t="s">
        <v>38</v>
      </c>
      <c r="M145" s="9"/>
      <c r="N145" s="5"/>
      <c r="O145" s="5"/>
      <c r="P145" s="5"/>
      <c r="Q145" s="5"/>
      <c r="R145" s="5" t="str">
        <f>'Ingest Template'!D145</f>
        <v/>
      </c>
      <c r="S145" s="5" t="str">
        <f>'Ingest Template'!G145</f>
        <v/>
      </c>
      <c r="T145" s="5" t="str">
        <f>'Ingest Template'!H145</f>
        <v/>
      </c>
      <c r="U145" s="5" t="str">
        <f>LOWER(SUBSTITUTE(SUBSTITUTE(SUBSTITUTE(SUBSTITUTE(SUBSTITUTE('Ingest Template'!I145,"https:",""),"www.",""),"/",""),"?hl=en",""),"instagram.com",""))</f>
        <v/>
      </c>
      <c r="V145" s="10" t="str">
        <f>'Ingest Template'!J145</f>
        <v/>
      </c>
      <c r="W145" s="10" t="str">
        <f>'Ingest Template'!K145</f>
        <v/>
      </c>
      <c r="X145" s="5"/>
      <c r="Y145" s="5" t="str">
        <f>SUBSTITUTE(SUBSTITUTE(SUBSTITUTE('Ingest Template'!L145,"http:",""),"https:",""),"/","")</f>
        <v/>
      </c>
      <c r="Z145" s="5" t="str">
        <f t="array" ref="Z145">IF('Ingest Template'!A145="Standard",(IF(ISBLANK('Ingest Template'!M145),"", 'Ingest Template'!M145&amp;"|DAR")),(IF(ISBLANK('Ingest Template'!M145),"", 'Ingest Template'!M145&amp;"|Operations - Core Title")))</f>
        <v/>
      </c>
      <c r="AA145" s="5"/>
      <c r="AB145" s="5" t="str">
        <f>'Ingest Template'!F145</f>
        <v/>
      </c>
      <c r="AC145" s="5"/>
      <c r="AD145" s="5"/>
      <c r="AE145" s="5"/>
      <c r="AF145" s="8"/>
      <c r="AG145" s="5" t="str">
        <f t="array" ref="AG145">IF('Ingest Template'!A145="Standard",(CONCATENATE(IF(ISBLANK('Ingest Template'!N145),"", 'Ingest Template'!N145&amp;"|DAR"),CHAR(10), IF(ISBLANK('Ingest Template'!O145),"", 'Ingest Template'!O145&amp;"|DAR"),CHAR(10), IF(ISBLANK('Ingest Template'!P145),"", 'Ingest Template'!P145&amp;"|DAR"))),(CONCATENATE(IF(ISBLANK('Ingest Template'!N145),"", 'Ingest Template'!N145&amp;"|Operations - Core Title"),CHAR(10), IF(ISBLANK('Ingest Template'!O145),"", 'Ingest Template'!O145&amp;"|Operations - Core Title"),CHAR(10), IF(ISBLANK('Ingest Template'!P145),"", 'Ingest Template'!P145&amp;"|Operations - Core Title"))))</f>
        <v>#|Operations - Core Title
</v>
      </c>
      <c r="AH145" s="5"/>
      <c r="AI145" s="5"/>
      <c r="AJ145" s="5"/>
      <c r="AK145" s="5"/>
      <c r="AL145" s="5"/>
    </row>
    <row r="146">
      <c r="A146" s="5"/>
      <c r="B146" s="5" t="str">
        <f>'Ingest Template'!B146&amp;IF('Ingest Template'!A146 = "Standard", " - DAR","")</f>
        <v/>
      </c>
      <c r="C146" s="6" t="str">
        <f>'Ingest Template'!C146</f>
        <v/>
      </c>
      <c r="D146" s="7" t="str">
        <f>'Ingest Template'!E146</f>
        <v/>
      </c>
      <c r="E146" s="5"/>
      <c r="F146" s="5"/>
      <c r="G146" s="5"/>
      <c r="H146" s="7"/>
      <c r="I146" s="5"/>
      <c r="J146" s="7" t="str">
        <f>'Ingest Template'!Q146</f>
        <v/>
      </c>
      <c r="K146" s="5" t="str">
        <f>'Ingest Template'!R146</f>
        <v/>
      </c>
      <c r="L146" s="8" t="s">
        <v>38</v>
      </c>
      <c r="M146" s="9"/>
      <c r="N146" s="5"/>
      <c r="O146" s="5"/>
      <c r="P146" s="5"/>
      <c r="Q146" s="5"/>
      <c r="R146" s="5" t="str">
        <f>'Ingest Template'!D146</f>
        <v/>
      </c>
      <c r="S146" s="5" t="str">
        <f>'Ingest Template'!G146</f>
        <v/>
      </c>
      <c r="T146" s="5" t="str">
        <f>'Ingest Template'!H146</f>
        <v/>
      </c>
      <c r="U146" s="5" t="str">
        <f>LOWER(SUBSTITUTE(SUBSTITUTE(SUBSTITUTE(SUBSTITUTE(SUBSTITUTE('Ingest Template'!I146,"https:",""),"www.",""),"/",""),"?hl=en",""),"instagram.com",""))</f>
        <v/>
      </c>
      <c r="V146" s="10" t="str">
        <f>'Ingest Template'!J146</f>
        <v/>
      </c>
      <c r="W146" s="10" t="str">
        <f>'Ingest Template'!K146</f>
        <v/>
      </c>
      <c r="X146" s="5"/>
      <c r="Y146" s="5" t="str">
        <f>SUBSTITUTE(SUBSTITUTE(SUBSTITUTE('Ingest Template'!L146,"http:",""),"https:",""),"/","")</f>
        <v/>
      </c>
      <c r="Z146" s="5" t="str">
        <f t="array" ref="Z146">IF('Ingest Template'!A146="Standard",(IF(ISBLANK('Ingest Template'!M146),"", 'Ingest Template'!M146&amp;"|DAR")),(IF(ISBLANK('Ingest Template'!M146),"", 'Ingest Template'!M146&amp;"|Operations - Core Title")))</f>
        <v/>
      </c>
      <c r="AA146" s="5"/>
      <c r="AB146" s="5" t="str">
        <f>'Ingest Template'!F146</f>
        <v/>
      </c>
      <c r="AC146" s="5"/>
      <c r="AD146" s="5"/>
      <c r="AE146" s="5"/>
      <c r="AF146" s="8"/>
      <c r="AG146" s="5" t="str">
        <f t="array" ref="AG146">IF('Ingest Template'!A146="Standard",(CONCATENATE(IF(ISBLANK('Ingest Template'!N146),"", 'Ingest Template'!N146&amp;"|DAR"),CHAR(10), IF(ISBLANK('Ingest Template'!O146),"", 'Ingest Template'!O146&amp;"|DAR"),CHAR(10), IF(ISBLANK('Ingest Template'!P146),"", 'Ingest Template'!P146&amp;"|DAR"))),(CONCATENATE(IF(ISBLANK('Ingest Template'!N146),"", 'Ingest Template'!N146&amp;"|Operations - Core Title"),CHAR(10), IF(ISBLANK('Ingest Template'!O146),"", 'Ingest Template'!O146&amp;"|Operations - Core Title"),CHAR(10), IF(ISBLANK('Ingest Template'!P146),"", 'Ingest Template'!P146&amp;"|Operations - Core Title"))))</f>
        <v>#|Operations - Core Title
</v>
      </c>
      <c r="AH146" s="5"/>
      <c r="AI146" s="5"/>
      <c r="AJ146" s="5"/>
      <c r="AK146" s="5"/>
      <c r="AL146" s="5"/>
    </row>
    <row r="147">
      <c r="A147" s="5"/>
      <c r="B147" s="5" t="str">
        <f>'Ingest Template'!B147&amp;IF('Ingest Template'!A147 = "Standard", " - DAR","")</f>
        <v/>
      </c>
      <c r="C147" s="6" t="str">
        <f>'Ingest Template'!C147</f>
        <v/>
      </c>
      <c r="D147" s="7" t="str">
        <f>'Ingest Template'!E147</f>
        <v/>
      </c>
      <c r="E147" s="5"/>
      <c r="F147" s="5"/>
      <c r="G147" s="5"/>
      <c r="H147" s="7"/>
      <c r="I147" s="5"/>
      <c r="J147" s="7" t="str">
        <f>'Ingest Template'!Q147</f>
        <v/>
      </c>
      <c r="K147" s="5" t="str">
        <f>'Ingest Template'!R147</f>
        <v/>
      </c>
      <c r="L147" s="8" t="s">
        <v>38</v>
      </c>
      <c r="M147" s="9"/>
      <c r="N147" s="5"/>
      <c r="O147" s="5"/>
      <c r="P147" s="5"/>
      <c r="Q147" s="5"/>
      <c r="R147" s="5" t="str">
        <f>'Ingest Template'!D147</f>
        <v/>
      </c>
      <c r="S147" s="5" t="str">
        <f>'Ingest Template'!G147</f>
        <v/>
      </c>
      <c r="T147" s="5" t="str">
        <f>'Ingest Template'!H147</f>
        <v/>
      </c>
      <c r="U147" s="5" t="str">
        <f>LOWER(SUBSTITUTE(SUBSTITUTE(SUBSTITUTE(SUBSTITUTE(SUBSTITUTE('Ingest Template'!I147,"https:",""),"www.",""),"/",""),"?hl=en",""),"instagram.com",""))</f>
        <v/>
      </c>
      <c r="V147" s="10" t="str">
        <f>'Ingest Template'!J147</f>
        <v/>
      </c>
      <c r="W147" s="10" t="str">
        <f>'Ingest Template'!K147</f>
        <v/>
      </c>
      <c r="X147" s="5"/>
      <c r="Y147" s="5" t="str">
        <f>SUBSTITUTE(SUBSTITUTE(SUBSTITUTE('Ingest Template'!L147,"http:",""),"https:",""),"/","")</f>
        <v/>
      </c>
      <c r="Z147" s="5" t="str">
        <f t="array" ref="Z147">IF('Ingest Template'!A147="Standard",(IF(ISBLANK('Ingest Template'!M147),"", 'Ingest Template'!M147&amp;"|DAR")),(IF(ISBLANK('Ingest Template'!M147),"", 'Ingest Template'!M147&amp;"|Operations - Core Title")))</f>
        <v/>
      </c>
      <c r="AA147" s="5"/>
      <c r="AB147" s="5" t="str">
        <f>'Ingest Template'!F147</f>
        <v/>
      </c>
      <c r="AC147" s="5"/>
      <c r="AD147" s="5"/>
      <c r="AE147" s="5"/>
      <c r="AF147" s="8"/>
      <c r="AG147" s="5" t="str">
        <f t="array" ref="AG147">IF('Ingest Template'!A147="Standard",(CONCATENATE(IF(ISBLANK('Ingest Template'!N147),"", 'Ingest Template'!N147&amp;"|DAR"),CHAR(10), IF(ISBLANK('Ingest Template'!O147),"", 'Ingest Template'!O147&amp;"|DAR"),CHAR(10), IF(ISBLANK('Ingest Template'!P147),"", 'Ingest Template'!P147&amp;"|DAR"))),(CONCATENATE(IF(ISBLANK('Ingest Template'!N147),"", 'Ingest Template'!N147&amp;"|Operations - Core Title"),CHAR(10), IF(ISBLANK('Ingest Template'!O147),"", 'Ingest Template'!O147&amp;"|Operations - Core Title"),CHAR(10), IF(ISBLANK('Ingest Template'!P147),"", 'Ingest Template'!P147&amp;"|Operations - Core Title"))))</f>
        <v>#|Operations - Core Title
</v>
      </c>
      <c r="AH147" s="5"/>
      <c r="AI147" s="5"/>
      <c r="AJ147" s="5"/>
      <c r="AK147" s="5"/>
      <c r="AL147" s="5"/>
    </row>
    <row r="148">
      <c r="A148" s="5"/>
      <c r="B148" s="5" t="str">
        <f>'Ingest Template'!B148&amp;IF('Ingest Template'!A148 = "Standard", " - DAR","")</f>
        <v/>
      </c>
      <c r="C148" s="6" t="str">
        <f>'Ingest Template'!C148</f>
        <v/>
      </c>
      <c r="D148" s="7" t="str">
        <f>'Ingest Template'!E148</f>
        <v/>
      </c>
      <c r="E148" s="5"/>
      <c r="F148" s="5"/>
      <c r="G148" s="5"/>
      <c r="H148" s="7"/>
      <c r="I148" s="5"/>
      <c r="J148" s="7" t="str">
        <f>'Ingest Template'!Q148</f>
        <v/>
      </c>
      <c r="K148" s="5" t="str">
        <f>'Ingest Template'!R148</f>
        <v/>
      </c>
      <c r="L148" s="8" t="s">
        <v>38</v>
      </c>
      <c r="M148" s="9"/>
      <c r="N148" s="5"/>
      <c r="O148" s="5"/>
      <c r="P148" s="5"/>
      <c r="Q148" s="5"/>
      <c r="R148" s="5" t="str">
        <f>'Ingest Template'!D148</f>
        <v/>
      </c>
      <c r="S148" s="5" t="str">
        <f>'Ingest Template'!G148</f>
        <v/>
      </c>
      <c r="T148" s="5" t="str">
        <f>'Ingest Template'!H148</f>
        <v/>
      </c>
      <c r="U148" s="5" t="str">
        <f>LOWER(SUBSTITUTE(SUBSTITUTE(SUBSTITUTE(SUBSTITUTE(SUBSTITUTE('Ingest Template'!I148,"https:",""),"www.",""),"/",""),"?hl=en",""),"instagram.com",""))</f>
        <v/>
      </c>
      <c r="V148" s="10" t="str">
        <f>'Ingest Template'!J148</f>
        <v/>
      </c>
      <c r="W148" s="10" t="str">
        <f>'Ingest Template'!K148</f>
        <v/>
      </c>
      <c r="X148" s="5"/>
      <c r="Y148" s="5" t="str">
        <f>SUBSTITUTE(SUBSTITUTE(SUBSTITUTE('Ingest Template'!L148,"http:",""),"https:",""),"/","")</f>
        <v/>
      </c>
      <c r="Z148" s="5" t="str">
        <f t="array" ref="Z148">IF('Ingest Template'!A148="Standard",(IF(ISBLANK('Ingest Template'!M148),"", 'Ingest Template'!M148&amp;"|DAR")),(IF(ISBLANK('Ingest Template'!M148),"", 'Ingest Template'!M148&amp;"|Operations - Core Title")))</f>
        <v/>
      </c>
      <c r="AA148" s="5"/>
      <c r="AB148" s="5" t="str">
        <f>'Ingest Template'!F148</f>
        <v/>
      </c>
      <c r="AC148" s="5"/>
      <c r="AD148" s="5"/>
      <c r="AE148" s="5"/>
      <c r="AF148" s="8"/>
      <c r="AG148" s="5" t="str">
        <f t="array" ref="AG148">IF('Ingest Template'!A148="Standard",(CONCATENATE(IF(ISBLANK('Ingest Template'!N148),"", 'Ingest Template'!N148&amp;"|DAR"),CHAR(10), IF(ISBLANK('Ingest Template'!O148),"", 'Ingest Template'!O148&amp;"|DAR"),CHAR(10), IF(ISBLANK('Ingest Template'!P148),"", 'Ingest Template'!P148&amp;"|DAR"))),(CONCATENATE(IF(ISBLANK('Ingest Template'!N148),"", 'Ingest Template'!N148&amp;"|Operations - Core Title"),CHAR(10), IF(ISBLANK('Ingest Template'!O148),"", 'Ingest Template'!O148&amp;"|Operations - Core Title"),CHAR(10), IF(ISBLANK('Ingest Template'!P148),"", 'Ingest Template'!P148&amp;"|Operations - Core Title"))))</f>
        <v>#|Operations - Core Title
</v>
      </c>
      <c r="AH148" s="5"/>
      <c r="AI148" s="5"/>
      <c r="AJ148" s="5"/>
      <c r="AK148" s="5"/>
      <c r="AL148" s="5"/>
    </row>
    <row r="149">
      <c r="A149" s="5"/>
      <c r="B149" s="5" t="str">
        <f>'Ingest Template'!B149&amp;IF('Ingest Template'!A149 = "Standard", " - DAR","")</f>
        <v/>
      </c>
      <c r="C149" s="6" t="str">
        <f>'Ingest Template'!C149</f>
        <v/>
      </c>
      <c r="D149" s="7" t="str">
        <f>'Ingest Template'!E149</f>
        <v/>
      </c>
      <c r="E149" s="5"/>
      <c r="F149" s="5"/>
      <c r="G149" s="5"/>
      <c r="H149" s="7"/>
      <c r="I149" s="5"/>
      <c r="J149" s="7" t="str">
        <f>'Ingest Template'!Q149</f>
        <v/>
      </c>
      <c r="K149" s="5" t="str">
        <f>'Ingest Template'!R149</f>
        <v/>
      </c>
      <c r="L149" s="8" t="s">
        <v>38</v>
      </c>
      <c r="M149" s="9"/>
      <c r="N149" s="5"/>
      <c r="O149" s="5"/>
      <c r="P149" s="5"/>
      <c r="Q149" s="5"/>
      <c r="R149" s="5" t="str">
        <f>'Ingest Template'!D149</f>
        <v/>
      </c>
      <c r="S149" s="5" t="str">
        <f>'Ingest Template'!G149</f>
        <v/>
      </c>
      <c r="T149" s="5" t="str">
        <f>'Ingest Template'!H149</f>
        <v/>
      </c>
      <c r="U149" s="5" t="str">
        <f>LOWER(SUBSTITUTE(SUBSTITUTE(SUBSTITUTE(SUBSTITUTE(SUBSTITUTE('Ingest Template'!I149,"https:",""),"www.",""),"/",""),"?hl=en",""),"instagram.com",""))</f>
        <v/>
      </c>
      <c r="V149" s="10" t="str">
        <f>'Ingest Template'!J149</f>
        <v/>
      </c>
      <c r="W149" s="10" t="str">
        <f>'Ingest Template'!K149</f>
        <v/>
      </c>
      <c r="X149" s="5"/>
      <c r="Y149" s="5" t="str">
        <f>SUBSTITUTE(SUBSTITUTE(SUBSTITUTE('Ingest Template'!L149,"http:",""),"https:",""),"/","")</f>
        <v/>
      </c>
      <c r="Z149" s="5" t="str">
        <f t="array" ref="Z149">IF('Ingest Template'!A149="Standard",(IF(ISBLANK('Ingest Template'!M149),"", 'Ingest Template'!M149&amp;"|DAR")),(IF(ISBLANK('Ingest Template'!M149),"", 'Ingest Template'!M149&amp;"|Operations - Core Title")))</f>
        <v/>
      </c>
      <c r="AA149" s="5"/>
      <c r="AB149" s="5" t="str">
        <f>'Ingest Template'!F149</f>
        <v/>
      </c>
      <c r="AC149" s="5"/>
      <c r="AD149" s="5"/>
      <c r="AE149" s="5"/>
      <c r="AF149" s="8"/>
      <c r="AG149" s="5" t="str">
        <f t="array" ref="AG149">IF('Ingest Template'!A149="Standard",(CONCATENATE(IF(ISBLANK('Ingest Template'!N149),"", 'Ingest Template'!N149&amp;"|DAR"),CHAR(10), IF(ISBLANK('Ingest Template'!O149),"", 'Ingest Template'!O149&amp;"|DAR"),CHAR(10), IF(ISBLANK('Ingest Template'!P149),"", 'Ingest Template'!P149&amp;"|DAR"))),(CONCATENATE(IF(ISBLANK('Ingest Template'!N149),"", 'Ingest Template'!N149&amp;"|Operations - Core Title"),CHAR(10), IF(ISBLANK('Ingest Template'!O149),"", 'Ingest Template'!O149&amp;"|Operations - Core Title"),CHAR(10), IF(ISBLANK('Ingest Template'!P149),"", 'Ingest Template'!P149&amp;"|Operations - Core Title"))))</f>
        <v>#|Operations - Core Title
</v>
      </c>
      <c r="AH149" s="5"/>
      <c r="AI149" s="5"/>
      <c r="AJ149" s="5"/>
      <c r="AK149" s="5"/>
      <c r="AL149" s="5"/>
    </row>
    <row r="150">
      <c r="A150" s="5"/>
      <c r="B150" s="5" t="str">
        <f>'Ingest Template'!B150&amp;IF('Ingest Template'!A150 = "Standard", " - DAR","")</f>
        <v/>
      </c>
      <c r="C150" s="6" t="str">
        <f>'Ingest Template'!C150</f>
        <v/>
      </c>
      <c r="D150" s="7" t="str">
        <f>'Ingest Template'!E150</f>
        <v/>
      </c>
      <c r="E150" s="5"/>
      <c r="F150" s="5"/>
      <c r="G150" s="5"/>
      <c r="H150" s="7"/>
      <c r="I150" s="5"/>
      <c r="J150" s="7" t="str">
        <f>'Ingest Template'!Q150</f>
        <v/>
      </c>
      <c r="K150" s="5" t="str">
        <f>'Ingest Template'!R150</f>
        <v/>
      </c>
      <c r="L150" s="8" t="s">
        <v>38</v>
      </c>
      <c r="M150" s="9"/>
      <c r="N150" s="5"/>
      <c r="O150" s="5"/>
      <c r="P150" s="5"/>
      <c r="Q150" s="5"/>
      <c r="R150" s="5" t="str">
        <f>'Ingest Template'!D150</f>
        <v/>
      </c>
      <c r="S150" s="5" t="str">
        <f>'Ingest Template'!G150</f>
        <v/>
      </c>
      <c r="T150" s="5" t="str">
        <f>'Ingest Template'!H150</f>
        <v/>
      </c>
      <c r="U150" s="5" t="str">
        <f>LOWER(SUBSTITUTE(SUBSTITUTE(SUBSTITUTE(SUBSTITUTE(SUBSTITUTE('Ingest Template'!I150,"https:",""),"www.",""),"/",""),"?hl=en",""),"instagram.com",""))</f>
        <v/>
      </c>
      <c r="V150" s="10" t="str">
        <f>'Ingest Template'!J150</f>
        <v/>
      </c>
      <c r="W150" s="10" t="str">
        <f>'Ingest Template'!K150</f>
        <v/>
      </c>
      <c r="X150" s="5"/>
      <c r="Y150" s="5" t="str">
        <f>SUBSTITUTE(SUBSTITUTE(SUBSTITUTE('Ingest Template'!L150,"http:",""),"https:",""),"/","")</f>
        <v/>
      </c>
      <c r="Z150" s="5" t="str">
        <f t="array" ref="Z150">IF('Ingest Template'!A150="Standard",(IF(ISBLANK('Ingest Template'!M150),"", 'Ingest Template'!M150&amp;"|DAR")),(IF(ISBLANK('Ingest Template'!M150),"", 'Ingest Template'!M150&amp;"|Operations - Core Title")))</f>
        <v/>
      </c>
      <c r="AA150" s="5"/>
      <c r="AB150" s="5" t="str">
        <f>'Ingest Template'!F150</f>
        <v/>
      </c>
      <c r="AC150" s="5"/>
      <c r="AD150" s="5"/>
      <c r="AE150" s="5"/>
      <c r="AF150" s="8"/>
      <c r="AG150" s="5" t="str">
        <f t="array" ref="AG150">IF('Ingest Template'!A150="Standard",(CONCATENATE(IF(ISBLANK('Ingest Template'!N150),"", 'Ingest Template'!N150&amp;"|DAR"),CHAR(10), IF(ISBLANK('Ingest Template'!O150),"", 'Ingest Template'!O150&amp;"|DAR"),CHAR(10), IF(ISBLANK('Ingest Template'!P150),"", 'Ingest Template'!P150&amp;"|DAR"))),(CONCATENATE(IF(ISBLANK('Ingest Template'!N150),"", 'Ingest Template'!N150&amp;"|Operations - Core Title"),CHAR(10), IF(ISBLANK('Ingest Template'!O150),"", 'Ingest Template'!O150&amp;"|Operations - Core Title"),CHAR(10), IF(ISBLANK('Ingest Template'!P150),"", 'Ingest Template'!P150&amp;"|Operations - Core Title"))))</f>
        <v>#|Operations - Core Title
</v>
      </c>
      <c r="AH150" s="5"/>
      <c r="AI150" s="5"/>
      <c r="AJ150" s="5"/>
      <c r="AK150" s="5"/>
      <c r="AL150" s="5"/>
    </row>
    <row r="151">
      <c r="A151" s="5"/>
      <c r="B151" s="5" t="str">
        <f>'Ingest Template'!B151&amp;IF('Ingest Template'!A151 = "Standard", " - DAR","")</f>
        <v/>
      </c>
      <c r="C151" s="6" t="str">
        <f>'Ingest Template'!C151</f>
        <v/>
      </c>
      <c r="D151" s="7" t="str">
        <f>'Ingest Template'!E151</f>
        <v/>
      </c>
      <c r="E151" s="5"/>
      <c r="F151" s="5"/>
      <c r="G151" s="5"/>
      <c r="H151" s="7"/>
      <c r="I151" s="5"/>
      <c r="J151" s="7" t="str">
        <f>'Ingest Template'!Q151</f>
        <v/>
      </c>
      <c r="K151" s="5" t="str">
        <f>'Ingest Template'!R151</f>
        <v/>
      </c>
      <c r="L151" s="8" t="s">
        <v>38</v>
      </c>
      <c r="M151" s="9"/>
      <c r="N151" s="5"/>
      <c r="O151" s="5"/>
      <c r="P151" s="5"/>
      <c r="Q151" s="5"/>
      <c r="R151" s="5" t="str">
        <f>'Ingest Template'!D151</f>
        <v/>
      </c>
      <c r="S151" s="5" t="str">
        <f>'Ingest Template'!G151</f>
        <v/>
      </c>
      <c r="T151" s="5" t="str">
        <f>'Ingest Template'!H151</f>
        <v/>
      </c>
      <c r="U151" s="5" t="str">
        <f>LOWER(SUBSTITUTE(SUBSTITUTE(SUBSTITUTE(SUBSTITUTE(SUBSTITUTE('Ingest Template'!I151,"https:",""),"www.",""),"/",""),"?hl=en",""),"instagram.com",""))</f>
        <v/>
      </c>
      <c r="V151" s="10" t="str">
        <f>'Ingest Template'!J151</f>
        <v/>
      </c>
      <c r="W151" s="10" t="str">
        <f>'Ingest Template'!K151</f>
        <v/>
      </c>
      <c r="X151" s="5"/>
      <c r="Y151" s="5" t="str">
        <f>SUBSTITUTE(SUBSTITUTE(SUBSTITUTE('Ingest Template'!L151,"http:",""),"https:",""),"/","")</f>
        <v/>
      </c>
      <c r="Z151" s="5" t="str">
        <f t="array" ref="Z151">IF('Ingest Template'!A151="Standard",(IF(ISBLANK('Ingest Template'!M151),"", 'Ingest Template'!M151&amp;"|DAR")),(IF(ISBLANK('Ingest Template'!M151),"", 'Ingest Template'!M151&amp;"|Operations - Core Title")))</f>
        <v/>
      </c>
      <c r="AA151" s="5"/>
      <c r="AB151" s="5" t="str">
        <f>'Ingest Template'!F151</f>
        <v/>
      </c>
      <c r="AC151" s="5"/>
      <c r="AD151" s="5"/>
      <c r="AE151" s="5"/>
      <c r="AF151" s="8"/>
      <c r="AG151" s="5" t="str">
        <f t="array" ref="AG151">IF('Ingest Template'!A151="Standard",(CONCATENATE(IF(ISBLANK('Ingest Template'!N151),"", 'Ingest Template'!N151&amp;"|DAR"),CHAR(10), IF(ISBLANK('Ingest Template'!O151),"", 'Ingest Template'!O151&amp;"|DAR"),CHAR(10), IF(ISBLANK('Ingest Template'!P151),"", 'Ingest Template'!P151&amp;"|DAR"))),(CONCATENATE(IF(ISBLANK('Ingest Template'!N151),"", 'Ingest Template'!N151&amp;"|Operations - Core Title"),CHAR(10), IF(ISBLANK('Ingest Template'!O151),"", 'Ingest Template'!O151&amp;"|Operations - Core Title"),CHAR(10), IF(ISBLANK('Ingest Template'!P151),"", 'Ingest Template'!P151&amp;"|Operations - Core Title"))))</f>
        <v>#|Operations - Core Title
</v>
      </c>
      <c r="AH151" s="5"/>
      <c r="AI151" s="5"/>
      <c r="AJ151" s="5"/>
      <c r="AK151" s="5"/>
      <c r="AL151" s="5"/>
    </row>
    <row r="152">
      <c r="A152" s="5"/>
      <c r="B152" s="5" t="str">
        <f>'Ingest Template'!B152&amp;IF('Ingest Template'!A152 = "Standard", " - DAR","")</f>
        <v/>
      </c>
      <c r="C152" s="6" t="str">
        <f>'Ingest Template'!C152</f>
        <v/>
      </c>
      <c r="D152" s="7" t="str">
        <f>'Ingest Template'!E152</f>
        <v/>
      </c>
      <c r="E152" s="5"/>
      <c r="F152" s="5"/>
      <c r="G152" s="5"/>
      <c r="H152" s="7"/>
      <c r="I152" s="5"/>
      <c r="J152" s="7" t="str">
        <f>'Ingest Template'!Q152</f>
        <v/>
      </c>
      <c r="K152" s="5" t="str">
        <f>'Ingest Template'!R152</f>
        <v/>
      </c>
      <c r="L152" s="8" t="s">
        <v>38</v>
      </c>
      <c r="M152" s="9"/>
      <c r="N152" s="5"/>
      <c r="O152" s="5"/>
      <c r="P152" s="5"/>
      <c r="Q152" s="5"/>
      <c r="R152" s="5" t="str">
        <f>'Ingest Template'!D152</f>
        <v/>
      </c>
      <c r="S152" s="5" t="str">
        <f>'Ingest Template'!G152</f>
        <v/>
      </c>
      <c r="T152" s="5" t="str">
        <f>'Ingest Template'!H152</f>
        <v/>
      </c>
      <c r="U152" s="5" t="str">
        <f>LOWER(SUBSTITUTE(SUBSTITUTE(SUBSTITUTE(SUBSTITUTE(SUBSTITUTE('Ingest Template'!I152,"https:",""),"www.",""),"/",""),"?hl=en",""),"instagram.com",""))</f>
        <v/>
      </c>
      <c r="V152" s="10" t="str">
        <f>'Ingest Template'!J152</f>
        <v/>
      </c>
      <c r="W152" s="10" t="str">
        <f>'Ingest Template'!K152</f>
        <v/>
      </c>
      <c r="X152" s="5"/>
      <c r="Y152" s="5" t="str">
        <f>SUBSTITUTE(SUBSTITUTE(SUBSTITUTE('Ingest Template'!L152,"http:",""),"https:",""),"/","")</f>
        <v/>
      </c>
      <c r="Z152" s="5" t="str">
        <f t="array" ref="Z152">IF('Ingest Template'!A152="Standard",(IF(ISBLANK('Ingest Template'!M152),"", 'Ingest Template'!M152&amp;"|DAR")),(IF(ISBLANK('Ingest Template'!M152),"", 'Ingest Template'!M152&amp;"|Operations - Core Title")))</f>
        <v/>
      </c>
      <c r="AA152" s="5"/>
      <c r="AB152" s="5" t="str">
        <f>'Ingest Template'!F152</f>
        <v/>
      </c>
      <c r="AC152" s="5"/>
      <c r="AD152" s="5"/>
      <c r="AE152" s="5"/>
      <c r="AF152" s="8"/>
      <c r="AG152" s="5" t="str">
        <f t="array" ref="AG152">IF('Ingest Template'!A152="Standard",(CONCATENATE(IF(ISBLANK('Ingest Template'!N152),"", 'Ingest Template'!N152&amp;"|DAR"),CHAR(10), IF(ISBLANK('Ingest Template'!O152),"", 'Ingest Template'!O152&amp;"|DAR"),CHAR(10), IF(ISBLANK('Ingest Template'!P152),"", 'Ingest Template'!P152&amp;"|DAR"))),(CONCATENATE(IF(ISBLANK('Ingest Template'!N152),"", 'Ingest Template'!N152&amp;"|Operations - Core Title"),CHAR(10), IF(ISBLANK('Ingest Template'!O152),"", 'Ingest Template'!O152&amp;"|Operations - Core Title"),CHAR(10), IF(ISBLANK('Ingest Template'!P152),"", 'Ingest Template'!P152&amp;"|Operations - Core Title"))))</f>
        <v>#|Operations - Core Title
</v>
      </c>
      <c r="AH152" s="5"/>
      <c r="AI152" s="5"/>
      <c r="AJ152" s="5"/>
      <c r="AK152" s="5"/>
      <c r="AL152" s="5"/>
    </row>
    <row r="153">
      <c r="A153" s="5"/>
      <c r="B153" s="5" t="str">
        <f>'Ingest Template'!B153&amp;IF('Ingest Template'!A153 = "Standard", " - DAR","")</f>
        <v/>
      </c>
      <c r="C153" s="6" t="str">
        <f>'Ingest Template'!C153</f>
        <v/>
      </c>
      <c r="D153" s="7" t="str">
        <f>'Ingest Template'!E153</f>
        <v/>
      </c>
      <c r="E153" s="5"/>
      <c r="F153" s="5"/>
      <c r="G153" s="5"/>
      <c r="H153" s="7"/>
      <c r="I153" s="5"/>
      <c r="J153" s="7" t="str">
        <f>'Ingest Template'!Q153</f>
        <v/>
      </c>
      <c r="K153" s="5" t="str">
        <f>'Ingest Template'!R153</f>
        <v/>
      </c>
      <c r="L153" s="8" t="s">
        <v>38</v>
      </c>
      <c r="M153" s="9"/>
      <c r="N153" s="5"/>
      <c r="O153" s="5"/>
      <c r="P153" s="5"/>
      <c r="Q153" s="5"/>
      <c r="R153" s="5" t="str">
        <f>'Ingest Template'!D153</f>
        <v/>
      </c>
      <c r="S153" s="5" t="str">
        <f>'Ingest Template'!G153</f>
        <v/>
      </c>
      <c r="T153" s="5" t="str">
        <f>'Ingest Template'!H153</f>
        <v/>
      </c>
      <c r="U153" s="5" t="str">
        <f>LOWER(SUBSTITUTE(SUBSTITUTE(SUBSTITUTE(SUBSTITUTE(SUBSTITUTE('Ingest Template'!I153,"https:",""),"www.",""),"/",""),"?hl=en",""),"instagram.com",""))</f>
        <v/>
      </c>
      <c r="V153" s="10" t="str">
        <f>'Ingest Template'!J153</f>
        <v/>
      </c>
      <c r="W153" s="10" t="str">
        <f>'Ingest Template'!K153</f>
        <v/>
      </c>
      <c r="X153" s="5"/>
      <c r="Y153" s="5" t="str">
        <f>SUBSTITUTE(SUBSTITUTE(SUBSTITUTE('Ingest Template'!L153,"http:",""),"https:",""),"/","")</f>
        <v/>
      </c>
      <c r="Z153" s="5" t="str">
        <f t="array" ref="Z153">IF('Ingest Template'!A153="Standard",(IF(ISBLANK('Ingest Template'!M153),"", 'Ingest Template'!M153&amp;"|DAR")),(IF(ISBLANK('Ingest Template'!M153),"", 'Ingest Template'!M153&amp;"|Operations - Core Title")))</f>
        <v/>
      </c>
      <c r="AA153" s="5"/>
      <c r="AB153" s="5" t="str">
        <f>'Ingest Template'!F153</f>
        <v/>
      </c>
      <c r="AC153" s="5"/>
      <c r="AD153" s="5"/>
      <c r="AE153" s="5"/>
      <c r="AF153" s="8"/>
      <c r="AG153" s="5" t="str">
        <f t="array" ref="AG153">IF('Ingest Template'!A153="Standard",(CONCATENATE(IF(ISBLANK('Ingest Template'!N153),"", 'Ingest Template'!N153&amp;"|DAR"),CHAR(10), IF(ISBLANK('Ingest Template'!O153),"", 'Ingest Template'!O153&amp;"|DAR"),CHAR(10), IF(ISBLANK('Ingest Template'!P153),"", 'Ingest Template'!P153&amp;"|DAR"))),(CONCATENATE(IF(ISBLANK('Ingest Template'!N153),"", 'Ingest Template'!N153&amp;"|Operations - Core Title"),CHAR(10), IF(ISBLANK('Ingest Template'!O153),"", 'Ingest Template'!O153&amp;"|Operations - Core Title"),CHAR(10), IF(ISBLANK('Ingest Template'!P153),"", 'Ingest Template'!P153&amp;"|Operations - Core Title"))))</f>
        <v>#|Operations - Core Title
</v>
      </c>
      <c r="AH153" s="5"/>
      <c r="AI153" s="5"/>
      <c r="AJ153" s="5"/>
      <c r="AK153" s="5"/>
      <c r="AL153" s="5"/>
    </row>
    <row r="154">
      <c r="A154" s="5"/>
      <c r="B154" s="5" t="str">
        <f>'Ingest Template'!B154&amp;IF('Ingest Template'!A154 = "Standard", " - DAR","")</f>
        <v/>
      </c>
      <c r="C154" s="6" t="str">
        <f>'Ingest Template'!C154</f>
        <v/>
      </c>
      <c r="D154" s="7" t="str">
        <f>'Ingest Template'!E154</f>
        <v/>
      </c>
      <c r="E154" s="5"/>
      <c r="F154" s="5"/>
      <c r="G154" s="5"/>
      <c r="H154" s="7"/>
      <c r="I154" s="5"/>
      <c r="J154" s="7" t="str">
        <f>'Ingest Template'!Q154</f>
        <v/>
      </c>
      <c r="K154" s="5" t="str">
        <f>'Ingest Template'!R154</f>
        <v/>
      </c>
      <c r="L154" s="8" t="s">
        <v>38</v>
      </c>
      <c r="M154" s="9"/>
      <c r="N154" s="5"/>
      <c r="O154" s="5"/>
      <c r="P154" s="5"/>
      <c r="Q154" s="5"/>
      <c r="R154" s="5" t="str">
        <f>'Ingest Template'!D154</f>
        <v/>
      </c>
      <c r="S154" s="5" t="str">
        <f>'Ingest Template'!G154</f>
        <v/>
      </c>
      <c r="T154" s="5" t="str">
        <f>'Ingest Template'!H154</f>
        <v/>
      </c>
      <c r="U154" s="5" t="str">
        <f>LOWER(SUBSTITUTE(SUBSTITUTE(SUBSTITUTE(SUBSTITUTE(SUBSTITUTE('Ingest Template'!I154,"https:",""),"www.",""),"/",""),"?hl=en",""),"instagram.com",""))</f>
        <v/>
      </c>
      <c r="V154" s="10" t="str">
        <f>'Ingest Template'!J154</f>
        <v/>
      </c>
      <c r="W154" s="10" t="str">
        <f>'Ingest Template'!K154</f>
        <v/>
      </c>
      <c r="X154" s="5"/>
      <c r="Y154" s="5" t="str">
        <f>SUBSTITUTE(SUBSTITUTE(SUBSTITUTE('Ingest Template'!L154,"http:",""),"https:",""),"/","")</f>
        <v/>
      </c>
      <c r="Z154" s="5" t="str">
        <f t="array" ref="Z154">IF('Ingest Template'!A154="Standard",(IF(ISBLANK('Ingest Template'!M154),"", 'Ingest Template'!M154&amp;"|DAR")),(IF(ISBLANK('Ingest Template'!M154),"", 'Ingest Template'!M154&amp;"|Operations - Core Title")))</f>
        <v/>
      </c>
      <c r="AA154" s="5"/>
      <c r="AB154" s="5" t="str">
        <f>'Ingest Template'!F154</f>
        <v/>
      </c>
      <c r="AC154" s="5"/>
      <c r="AD154" s="5"/>
      <c r="AE154" s="5"/>
      <c r="AF154" s="8"/>
      <c r="AG154" s="5" t="str">
        <f t="array" ref="AG154">IF('Ingest Template'!A154="Standard",(CONCATENATE(IF(ISBLANK('Ingest Template'!N154),"", 'Ingest Template'!N154&amp;"|DAR"),CHAR(10), IF(ISBLANK('Ingest Template'!O154),"", 'Ingest Template'!O154&amp;"|DAR"),CHAR(10), IF(ISBLANK('Ingest Template'!P154),"", 'Ingest Template'!P154&amp;"|DAR"))),(CONCATENATE(IF(ISBLANK('Ingest Template'!N154),"", 'Ingest Template'!N154&amp;"|Operations - Core Title"),CHAR(10), IF(ISBLANK('Ingest Template'!O154),"", 'Ingest Template'!O154&amp;"|Operations - Core Title"),CHAR(10), IF(ISBLANK('Ingest Template'!P154),"", 'Ingest Template'!P154&amp;"|Operations - Core Title"))))</f>
        <v>#|Operations - Core Title
</v>
      </c>
      <c r="AH154" s="5"/>
      <c r="AI154" s="5"/>
      <c r="AJ154" s="5"/>
      <c r="AK154" s="5"/>
      <c r="AL154" s="5"/>
    </row>
    <row r="155">
      <c r="A155" s="5"/>
      <c r="B155" s="5" t="str">
        <f>'Ingest Template'!B155&amp;IF('Ingest Template'!A155 = "Standard", " - DAR","")</f>
        <v/>
      </c>
      <c r="C155" s="6" t="str">
        <f>'Ingest Template'!C155</f>
        <v/>
      </c>
      <c r="D155" s="7" t="str">
        <f>'Ingest Template'!E155</f>
        <v/>
      </c>
      <c r="E155" s="5"/>
      <c r="F155" s="5"/>
      <c r="G155" s="5"/>
      <c r="H155" s="7"/>
      <c r="I155" s="5"/>
      <c r="J155" s="7" t="str">
        <f>'Ingest Template'!Q155</f>
        <v/>
      </c>
      <c r="K155" s="5" t="str">
        <f>'Ingest Template'!R155</f>
        <v/>
      </c>
      <c r="L155" s="8" t="s">
        <v>38</v>
      </c>
      <c r="M155" s="9"/>
      <c r="N155" s="5"/>
      <c r="O155" s="5"/>
      <c r="P155" s="5"/>
      <c r="Q155" s="5"/>
      <c r="R155" s="5" t="str">
        <f>'Ingest Template'!D155</f>
        <v/>
      </c>
      <c r="S155" s="5" t="str">
        <f>'Ingest Template'!G155</f>
        <v/>
      </c>
      <c r="T155" s="5" t="str">
        <f>'Ingest Template'!H155</f>
        <v/>
      </c>
      <c r="U155" s="5" t="str">
        <f>LOWER(SUBSTITUTE(SUBSTITUTE(SUBSTITUTE(SUBSTITUTE(SUBSTITUTE('Ingest Template'!I155,"https:",""),"www.",""),"/",""),"?hl=en",""),"instagram.com",""))</f>
        <v/>
      </c>
      <c r="V155" s="10" t="str">
        <f>'Ingest Template'!J155</f>
        <v/>
      </c>
      <c r="W155" s="10" t="str">
        <f>'Ingest Template'!K155</f>
        <v/>
      </c>
      <c r="X155" s="5"/>
      <c r="Y155" s="5" t="str">
        <f>SUBSTITUTE(SUBSTITUTE(SUBSTITUTE('Ingest Template'!L155,"http:",""),"https:",""),"/","")</f>
        <v/>
      </c>
      <c r="Z155" s="5" t="str">
        <f t="array" ref="Z155">IF('Ingest Template'!A155="Standard",(IF(ISBLANK('Ingest Template'!M155),"", 'Ingest Template'!M155&amp;"|DAR")),(IF(ISBLANK('Ingest Template'!M155),"", 'Ingest Template'!M155&amp;"|Operations - Core Title")))</f>
        <v/>
      </c>
      <c r="AA155" s="5"/>
      <c r="AB155" s="5" t="str">
        <f>'Ingest Template'!F155</f>
        <v/>
      </c>
      <c r="AC155" s="5"/>
      <c r="AD155" s="5"/>
      <c r="AE155" s="5"/>
      <c r="AF155" s="8"/>
      <c r="AG155" s="5" t="str">
        <f t="array" ref="AG155">IF('Ingest Template'!A155="Standard",(CONCATENATE(IF(ISBLANK('Ingest Template'!N155),"", 'Ingest Template'!N155&amp;"|DAR"),CHAR(10), IF(ISBLANK('Ingest Template'!O155),"", 'Ingest Template'!O155&amp;"|DAR"),CHAR(10), IF(ISBLANK('Ingest Template'!P155),"", 'Ingest Template'!P155&amp;"|DAR"))),(CONCATENATE(IF(ISBLANK('Ingest Template'!N155),"", 'Ingest Template'!N155&amp;"|Operations - Core Title"),CHAR(10), IF(ISBLANK('Ingest Template'!O155),"", 'Ingest Template'!O155&amp;"|Operations - Core Title"),CHAR(10), IF(ISBLANK('Ingest Template'!P155),"", 'Ingest Template'!P155&amp;"|Operations - Core Title"))))</f>
        <v>#|Operations - Core Title
</v>
      </c>
      <c r="AH155" s="5"/>
      <c r="AI155" s="5"/>
      <c r="AJ155" s="5"/>
      <c r="AK155" s="5"/>
      <c r="AL155" s="5"/>
    </row>
    <row r="156">
      <c r="A156" s="5"/>
      <c r="B156" s="5" t="str">
        <f>'Ingest Template'!B156&amp;IF('Ingest Template'!A156 = "Standard", " - DAR","")</f>
        <v/>
      </c>
      <c r="C156" s="6" t="str">
        <f>'Ingest Template'!C156</f>
        <v/>
      </c>
      <c r="D156" s="7" t="str">
        <f>'Ingest Template'!E156</f>
        <v/>
      </c>
      <c r="E156" s="5"/>
      <c r="F156" s="5"/>
      <c r="G156" s="5"/>
      <c r="H156" s="7"/>
      <c r="I156" s="5"/>
      <c r="J156" s="7" t="str">
        <f>'Ingest Template'!Q156</f>
        <v/>
      </c>
      <c r="K156" s="5" t="str">
        <f>'Ingest Template'!R156</f>
        <v/>
      </c>
      <c r="L156" s="8" t="s">
        <v>38</v>
      </c>
      <c r="M156" s="9"/>
      <c r="N156" s="5"/>
      <c r="O156" s="5"/>
      <c r="P156" s="5"/>
      <c r="Q156" s="5"/>
      <c r="R156" s="5" t="str">
        <f>'Ingest Template'!D156</f>
        <v/>
      </c>
      <c r="S156" s="5" t="str">
        <f>'Ingest Template'!G156</f>
        <v/>
      </c>
      <c r="T156" s="5" t="str">
        <f>'Ingest Template'!H156</f>
        <v/>
      </c>
      <c r="U156" s="5" t="str">
        <f>LOWER(SUBSTITUTE(SUBSTITUTE(SUBSTITUTE(SUBSTITUTE(SUBSTITUTE('Ingest Template'!I156,"https:",""),"www.",""),"/",""),"?hl=en",""),"instagram.com",""))</f>
        <v/>
      </c>
      <c r="V156" s="10" t="str">
        <f>'Ingest Template'!J156</f>
        <v/>
      </c>
      <c r="W156" s="10" t="str">
        <f>'Ingest Template'!K156</f>
        <v/>
      </c>
      <c r="X156" s="5"/>
      <c r="Y156" s="5" t="str">
        <f>SUBSTITUTE(SUBSTITUTE(SUBSTITUTE('Ingest Template'!L156,"http:",""),"https:",""),"/","")</f>
        <v/>
      </c>
      <c r="Z156" s="5" t="str">
        <f t="array" ref="Z156">IF('Ingest Template'!A156="Standard",(IF(ISBLANK('Ingest Template'!M156),"", 'Ingest Template'!M156&amp;"|DAR")),(IF(ISBLANK('Ingest Template'!M156),"", 'Ingest Template'!M156&amp;"|Operations - Core Title")))</f>
        <v/>
      </c>
      <c r="AA156" s="5"/>
      <c r="AB156" s="5" t="str">
        <f>'Ingest Template'!F156</f>
        <v/>
      </c>
      <c r="AC156" s="5"/>
      <c r="AD156" s="5"/>
      <c r="AE156" s="5"/>
      <c r="AF156" s="8"/>
      <c r="AG156" s="5" t="str">
        <f t="array" ref="AG156">IF('Ingest Template'!A156="Standard",(CONCATENATE(IF(ISBLANK('Ingest Template'!N156),"", 'Ingest Template'!N156&amp;"|DAR"),CHAR(10), IF(ISBLANK('Ingest Template'!O156),"", 'Ingest Template'!O156&amp;"|DAR"),CHAR(10), IF(ISBLANK('Ingest Template'!P156),"", 'Ingest Template'!P156&amp;"|DAR"))),(CONCATENATE(IF(ISBLANK('Ingest Template'!N156),"", 'Ingest Template'!N156&amp;"|Operations - Core Title"),CHAR(10), IF(ISBLANK('Ingest Template'!O156),"", 'Ingest Template'!O156&amp;"|Operations - Core Title"),CHAR(10), IF(ISBLANK('Ingest Template'!P156),"", 'Ingest Template'!P156&amp;"|Operations - Core Title"))))</f>
        <v>#|Operations - Core Title
</v>
      </c>
      <c r="AH156" s="5"/>
      <c r="AI156" s="5"/>
      <c r="AJ156" s="5"/>
      <c r="AK156" s="5"/>
      <c r="AL156" s="5"/>
    </row>
    <row r="157">
      <c r="A157" s="5"/>
      <c r="B157" s="5" t="str">
        <f>'Ingest Template'!B157&amp;IF('Ingest Template'!A157 = "Standard", " - DAR","")</f>
        <v/>
      </c>
      <c r="C157" s="6" t="str">
        <f>'Ingest Template'!C157</f>
        <v/>
      </c>
      <c r="D157" s="7" t="str">
        <f>'Ingest Template'!E157</f>
        <v/>
      </c>
      <c r="E157" s="5"/>
      <c r="F157" s="5"/>
      <c r="G157" s="5"/>
      <c r="H157" s="7"/>
      <c r="I157" s="5"/>
      <c r="J157" s="7" t="str">
        <f>'Ingest Template'!Q157</f>
        <v/>
      </c>
      <c r="K157" s="5" t="str">
        <f>'Ingest Template'!R157</f>
        <v/>
      </c>
      <c r="L157" s="8" t="s">
        <v>38</v>
      </c>
      <c r="M157" s="9"/>
      <c r="N157" s="5"/>
      <c r="O157" s="5"/>
      <c r="P157" s="5"/>
      <c r="Q157" s="5"/>
      <c r="R157" s="5" t="str">
        <f>'Ingest Template'!D157</f>
        <v/>
      </c>
      <c r="S157" s="5" t="str">
        <f>'Ingest Template'!G157</f>
        <v/>
      </c>
      <c r="T157" s="5" t="str">
        <f>'Ingest Template'!H157</f>
        <v/>
      </c>
      <c r="U157" s="5" t="str">
        <f>LOWER(SUBSTITUTE(SUBSTITUTE(SUBSTITUTE(SUBSTITUTE(SUBSTITUTE('Ingest Template'!I157,"https:",""),"www.",""),"/",""),"?hl=en",""),"instagram.com",""))</f>
        <v/>
      </c>
      <c r="V157" s="10" t="str">
        <f>'Ingest Template'!J157</f>
        <v/>
      </c>
      <c r="W157" s="10" t="str">
        <f>'Ingest Template'!K157</f>
        <v/>
      </c>
      <c r="X157" s="5"/>
      <c r="Y157" s="5" t="str">
        <f>SUBSTITUTE(SUBSTITUTE(SUBSTITUTE('Ingest Template'!L157,"http:",""),"https:",""),"/","")</f>
        <v/>
      </c>
      <c r="Z157" s="5" t="str">
        <f t="array" ref="Z157">IF('Ingest Template'!A157="Standard",(IF(ISBLANK('Ingest Template'!M157),"", 'Ingest Template'!M157&amp;"|DAR")),(IF(ISBLANK('Ingest Template'!M157),"", 'Ingest Template'!M157&amp;"|Operations - Core Title")))</f>
        <v/>
      </c>
      <c r="AA157" s="5"/>
      <c r="AB157" s="5" t="str">
        <f>'Ingest Template'!F157</f>
        <v/>
      </c>
      <c r="AC157" s="5"/>
      <c r="AD157" s="5"/>
      <c r="AE157" s="5"/>
      <c r="AF157" s="8"/>
      <c r="AG157" s="5" t="str">
        <f t="array" ref="AG157">IF('Ingest Template'!A157="Standard",(CONCATENATE(IF(ISBLANK('Ingest Template'!N157),"", 'Ingest Template'!N157&amp;"|DAR"),CHAR(10), IF(ISBLANK('Ingest Template'!O157),"", 'Ingest Template'!O157&amp;"|DAR"),CHAR(10), IF(ISBLANK('Ingest Template'!P157),"", 'Ingest Template'!P157&amp;"|DAR"))),(CONCATENATE(IF(ISBLANK('Ingest Template'!N157),"", 'Ingest Template'!N157&amp;"|Operations - Core Title"),CHAR(10), IF(ISBLANK('Ingest Template'!O157),"", 'Ingest Template'!O157&amp;"|Operations - Core Title"),CHAR(10), IF(ISBLANK('Ingest Template'!P157),"", 'Ingest Template'!P157&amp;"|Operations - Core Title"))))</f>
        <v>#|Operations - Core Title
</v>
      </c>
      <c r="AH157" s="5"/>
      <c r="AI157" s="5"/>
      <c r="AJ157" s="5"/>
      <c r="AK157" s="5"/>
      <c r="AL157" s="5"/>
    </row>
    <row r="158">
      <c r="A158" s="5"/>
      <c r="B158" s="5" t="str">
        <f>'Ingest Template'!B158&amp;IF('Ingest Template'!A158 = "Standard", " - DAR","")</f>
        <v/>
      </c>
      <c r="C158" s="6" t="str">
        <f>'Ingest Template'!C158</f>
        <v/>
      </c>
      <c r="D158" s="7" t="str">
        <f>'Ingest Template'!E158</f>
        <v/>
      </c>
      <c r="E158" s="5"/>
      <c r="F158" s="5"/>
      <c r="G158" s="5"/>
      <c r="H158" s="7"/>
      <c r="I158" s="5"/>
      <c r="J158" s="7" t="str">
        <f>'Ingest Template'!Q158</f>
        <v/>
      </c>
      <c r="K158" s="5" t="str">
        <f>'Ingest Template'!R158</f>
        <v/>
      </c>
      <c r="L158" s="8" t="s">
        <v>38</v>
      </c>
      <c r="M158" s="9"/>
      <c r="N158" s="5"/>
      <c r="O158" s="5"/>
      <c r="P158" s="5"/>
      <c r="Q158" s="5"/>
      <c r="R158" s="5" t="str">
        <f>'Ingest Template'!D158</f>
        <v/>
      </c>
      <c r="S158" s="5" t="str">
        <f>'Ingest Template'!G158</f>
        <v/>
      </c>
      <c r="T158" s="5" t="str">
        <f>'Ingest Template'!H158</f>
        <v/>
      </c>
      <c r="U158" s="5" t="str">
        <f>LOWER(SUBSTITUTE(SUBSTITUTE(SUBSTITUTE(SUBSTITUTE(SUBSTITUTE('Ingest Template'!I158,"https:",""),"www.",""),"/",""),"?hl=en",""),"instagram.com",""))</f>
        <v/>
      </c>
      <c r="V158" s="10" t="str">
        <f>'Ingest Template'!J158</f>
        <v/>
      </c>
      <c r="W158" s="10" t="str">
        <f>'Ingest Template'!K158</f>
        <v/>
      </c>
      <c r="X158" s="5"/>
      <c r="Y158" s="5" t="str">
        <f>SUBSTITUTE(SUBSTITUTE(SUBSTITUTE('Ingest Template'!L158,"http:",""),"https:",""),"/","")</f>
        <v/>
      </c>
      <c r="Z158" s="5" t="str">
        <f t="array" ref="Z158">IF('Ingest Template'!A158="Standard",(IF(ISBLANK('Ingest Template'!M158),"", 'Ingest Template'!M158&amp;"|DAR")),(IF(ISBLANK('Ingest Template'!M158),"", 'Ingest Template'!M158&amp;"|Operations - Core Title")))</f>
        <v/>
      </c>
      <c r="AA158" s="5"/>
      <c r="AB158" s="5" t="str">
        <f>'Ingest Template'!F158</f>
        <v/>
      </c>
      <c r="AC158" s="5"/>
      <c r="AD158" s="5"/>
      <c r="AE158" s="5"/>
      <c r="AF158" s="8"/>
      <c r="AG158" s="5" t="str">
        <f t="array" ref="AG158">IF('Ingest Template'!A158="Standard",(CONCATENATE(IF(ISBLANK('Ingest Template'!N158),"", 'Ingest Template'!N158&amp;"|DAR"),CHAR(10), IF(ISBLANK('Ingest Template'!O158),"", 'Ingest Template'!O158&amp;"|DAR"),CHAR(10), IF(ISBLANK('Ingest Template'!P158),"", 'Ingest Template'!P158&amp;"|DAR"))),(CONCATENATE(IF(ISBLANK('Ingest Template'!N158),"", 'Ingest Template'!N158&amp;"|Operations - Core Title"),CHAR(10), IF(ISBLANK('Ingest Template'!O158),"", 'Ingest Template'!O158&amp;"|Operations - Core Title"),CHAR(10), IF(ISBLANK('Ingest Template'!P158),"", 'Ingest Template'!P158&amp;"|Operations - Core Title"))))</f>
        <v>#|Operations - Core Title
</v>
      </c>
      <c r="AH158" s="5"/>
      <c r="AI158" s="5"/>
      <c r="AJ158" s="5"/>
      <c r="AK158" s="5"/>
      <c r="AL158" s="5"/>
    </row>
    <row r="159">
      <c r="A159" s="5"/>
      <c r="B159" s="5" t="str">
        <f>'Ingest Template'!B159&amp;IF('Ingest Template'!A159 = "Standard", " - DAR","")</f>
        <v/>
      </c>
      <c r="C159" s="6" t="str">
        <f>'Ingest Template'!C159</f>
        <v/>
      </c>
      <c r="D159" s="7" t="str">
        <f>'Ingest Template'!E159</f>
        <v/>
      </c>
      <c r="E159" s="5"/>
      <c r="F159" s="5"/>
      <c r="G159" s="5"/>
      <c r="H159" s="7"/>
      <c r="I159" s="5"/>
      <c r="J159" s="7" t="str">
        <f>'Ingest Template'!Q159</f>
        <v/>
      </c>
      <c r="K159" s="5" t="str">
        <f>'Ingest Template'!R159</f>
        <v/>
      </c>
      <c r="L159" s="8" t="s">
        <v>38</v>
      </c>
      <c r="M159" s="9"/>
      <c r="N159" s="5"/>
      <c r="O159" s="5"/>
      <c r="P159" s="5"/>
      <c r="Q159" s="5"/>
      <c r="R159" s="5" t="str">
        <f>'Ingest Template'!D159</f>
        <v/>
      </c>
      <c r="S159" s="5" t="str">
        <f>'Ingest Template'!G159</f>
        <v/>
      </c>
      <c r="T159" s="5" t="str">
        <f>'Ingest Template'!H159</f>
        <v/>
      </c>
      <c r="U159" s="5" t="str">
        <f>LOWER(SUBSTITUTE(SUBSTITUTE(SUBSTITUTE(SUBSTITUTE(SUBSTITUTE('Ingest Template'!I159,"https:",""),"www.",""),"/",""),"?hl=en",""),"instagram.com",""))</f>
        <v/>
      </c>
      <c r="V159" s="10" t="str">
        <f>'Ingest Template'!J159</f>
        <v/>
      </c>
      <c r="W159" s="10" t="str">
        <f>'Ingest Template'!K159</f>
        <v/>
      </c>
      <c r="X159" s="5"/>
      <c r="Y159" s="5" t="str">
        <f>SUBSTITUTE(SUBSTITUTE(SUBSTITUTE('Ingest Template'!L159,"http:",""),"https:",""),"/","")</f>
        <v/>
      </c>
      <c r="Z159" s="5" t="str">
        <f t="array" ref="Z159">IF('Ingest Template'!A159="Standard",(IF(ISBLANK('Ingest Template'!M159),"", 'Ingest Template'!M159&amp;"|DAR")),(IF(ISBLANK('Ingest Template'!M159),"", 'Ingest Template'!M159&amp;"|Operations - Core Title")))</f>
        <v/>
      </c>
      <c r="AA159" s="5"/>
      <c r="AB159" s="5" t="str">
        <f>'Ingest Template'!F159</f>
        <v/>
      </c>
      <c r="AC159" s="5"/>
      <c r="AD159" s="5"/>
      <c r="AE159" s="5"/>
      <c r="AF159" s="8"/>
      <c r="AG159" s="5" t="str">
        <f t="array" ref="AG159">IF('Ingest Template'!A159="Standard",(CONCATENATE(IF(ISBLANK('Ingest Template'!N159),"", 'Ingest Template'!N159&amp;"|DAR"),CHAR(10), IF(ISBLANK('Ingest Template'!O159),"", 'Ingest Template'!O159&amp;"|DAR"),CHAR(10), IF(ISBLANK('Ingest Template'!P159),"", 'Ingest Template'!P159&amp;"|DAR"))),(CONCATENATE(IF(ISBLANK('Ingest Template'!N159),"", 'Ingest Template'!N159&amp;"|Operations - Core Title"),CHAR(10), IF(ISBLANK('Ingest Template'!O159),"", 'Ingest Template'!O159&amp;"|Operations - Core Title"),CHAR(10), IF(ISBLANK('Ingest Template'!P159),"", 'Ingest Template'!P159&amp;"|Operations - Core Title"))))</f>
        <v>#|Operations - Core Title
</v>
      </c>
      <c r="AH159" s="5"/>
      <c r="AI159" s="5"/>
      <c r="AJ159" s="5"/>
      <c r="AK159" s="5"/>
      <c r="AL159" s="5"/>
    </row>
    <row r="160">
      <c r="A160" s="5"/>
      <c r="B160" s="5" t="str">
        <f>'Ingest Template'!B160&amp;IF('Ingest Template'!A160 = "Standard", " - DAR","")</f>
        <v/>
      </c>
      <c r="C160" s="6" t="str">
        <f>'Ingest Template'!C160</f>
        <v/>
      </c>
      <c r="D160" s="7" t="str">
        <f>'Ingest Template'!E160</f>
        <v/>
      </c>
      <c r="E160" s="5"/>
      <c r="F160" s="5"/>
      <c r="G160" s="5"/>
      <c r="H160" s="7"/>
      <c r="I160" s="5"/>
      <c r="J160" s="7" t="str">
        <f>'Ingest Template'!Q160</f>
        <v/>
      </c>
      <c r="K160" s="5" t="str">
        <f>'Ingest Template'!R160</f>
        <v/>
      </c>
      <c r="L160" s="8" t="s">
        <v>38</v>
      </c>
      <c r="M160" s="9"/>
      <c r="N160" s="5"/>
      <c r="O160" s="5"/>
      <c r="P160" s="5"/>
      <c r="Q160" s="5"/>
      <c r="R160" s="5" t="str">
        <f>'Ingest Template'!D160</f>
        <v/>
      </c>
      <c r="S160" s="5" t="str">
        <f>'Ingest Template'!G160</f>
        <v/>
      </c>
      <c r="T160" s="5" t="str">
        <f>'Ingest Template'!H160</f>
        <v/>
      </c>
      <c r="U160" s="5" t="str">
        <f>LOWER(SUBSTITUTE(SUBSTITUTE(SUBSTITUTE(SUBSTITUTE(SUBSTITUTE('Ingest Template'!I160,"https:",""),"www.",""),"/",""),"?hl=en",""),"instagram.com",""))</f>
        <v/>
      </c>
      <c r="V160" s="10" t="str">
        <f>'Ingest Template'!J160</f>
        <v/>
      </c>
      <c r="W160" s="10" t="str">
        <f>'Ingest Template'!K160</f>
        <v/>
      </c>
      <c r="X160" s="5"/>
      <c r="Y160" s="5" t="str">
        <f>SUBSTITUTE(SUBSTITUTE(SUBSTITUTE('Ingest Template'!L160,"http:",""),"https:",""),"/","")</f>
        <v/>
      </c>
      <c r="Z160" s="5" t="str">
        <f t="array" ref="Z160">IF('Ingest Template'!A160="Standard",(IF(ISBLANK('Ingest Template'!M160),"", 'Ingest Template'!M160&amp;"|DAR")),(IF(ISBLANK('Ingest Template'!M160),"", 'Ingest Template'!M160&amp;"|Operations - Core Title")))</f>
        <v/>
      </c>
      <c r="AA160" s="5"/>
      <c r="AB160" s="5" t="str">
        <f>'Ingest Template'!F160</f>
        <v/>
      </c>
      <c r="AC160" s="5"/>
      <c r="AD160" s="5"/>
      <c r="AE160" s="5"/>
      <c r="AF160" s="8"/>
      <c r="AG160" s="5" t="str">
        <f t="array" ref="AG160">IF('Ingest Template'!A160="Standard",(CONCATENATE(IF(ISBLANK('Ingest Template'!N160),"", 'Ingest Template'!N160&amp;"|DAR"),CHAR(10), IF(ISBLANK('Ingest Template'!O160),"", 'Ingest Template'!O160&amp;"|DAR"),CHAR(10), IF(ISBLANK('Ingest Template'!P160),"", 'Ingest Template'!P160&amp;"|DAR"))),(CONCATENATE(IF(ISBLANK('Ingest Template'!N160),"", 'Ingest Template'!N160&amp;"|Operations - Core Title"),CHAR(10), IF(ISBLANK('Ingest Template'!O160),"", 'Ingest Template'!O160&amp;"|Operations - Core Title"),CHAR(10), IF(ISBLANK('Ingest Template'!P160),"", 'Ingest Template'!P160&amp;"|Operations - Core Title"))))</f>
        <v>#|Operations - Core Title
</v>
      </c>
      <c r="AH160" s="5"/>
      <c r="AI160" s="5"/>
      <c r="AJ160" s="5"/>
      <c r="AK160" s="5"/>
      <c r="AL160" s="5"/>
    </row>
    <row r="161">
      <c r="A161" s="5"/>
      <c r="B161" s="5" t="str">
        <f>'Ingest Template'!B161&amp;IF('Ingest Template'!A161 = "Standard", " - DAR","")</f>
        <v/>
      </c>
      <c r="C161" s="6" t="str">
        <f>'Ingest Template'!C161</f>
        <v/>
      </c>
      <c r="D161" s="7" t="str">
        <f>'Ingest Template'!E161</f>
        <v/>
      </c>
      <c r="E161" s="5"/>
      <c r="F161" s="5"/>
      <c r="G161" s="5"/>
      <c r="H161" s="7"/>
      <c r="I161" s="5"/>
      <c r="J161" s="7" t="str">
        <f>'Ingest Template'!Q161</f>
        <v/>
      </c>
      <c r="K161" s="5" t="str">
        <f>'Ingest Template'!R161</f>
        <v/>
      </c>
      <c r="L161" s="8" t="s">
        <v>38</v>
      </c>
      <c r="M161" s="9"/>
      <c r="N161" s="5"/>
      <c r="O161" s="5"/>
      <c r="P161" s="5"/>
      <c r="Q161" s="5"/>
      <c r="R161" s="5" t="str">
        <f>'Ingest Template'!D161</f>
        <v/>
      </c>
      <c r="S161" s="5" t="str">
        <f>'Ingest Template'!G161</f>
        <v/>
      </c>
      <c r="T161" s="5" t="str">
        <f>'Ingest Template'!H161</f>
        <v/>
      </c>
      <c r="U161" s="5" t="str">
        <f>LOWER(SUBSTITUTE(SUBSTITUTE(SUBSTITUTE(SUBSTITUTE(SUBSTITUTE('Ingest Template'!I161,"https:",""),"www.",""),"/",""),"?hl=en",""),"instagram.com",""))</f>
        <v/>
      </c>
      <c r="V161" s="10" t="str">
        <f>'Ingest Template'!J161</f>
        <v/>
      </c>
      <c r="W161" s="10" t="str">
        <f>'Ingest Template'!K161</f>
        <v/>
      </c>
      <c r="X161" s="5"/>
      <c r="Y161" s="5" t="str">
        <f>SUBSTITUTE(SUBSTITUTE(SUBSTITUTE('Ingest Template'!L161,"http:",""),"https:",""),"/","")</f>
        <v/>
      </c>
      <c r="Z161" s="5" t="str">
        <f t="array" ref="Z161">IF('Ingest Template'!A161="Standard",(IF(ISBLANK('Ingest Template'!M161),"", 'Ingest Template'!M161&amp;"|DAR")),(IF(ISBLANK('Ingest Template'!M161),"", 'Ingest Template'!M161&amp;"|Operations - Core Title")))</f>
        <v/>
      </c>
      <c r="AA161" s="5"/>
      <c r="AB161" s="5" t="str">
        <f>'Ingest Template'!F161</f>
        <v/>
      </c>
      <c r="AC161" s="5"/>
      <c r="AD161" s="5"/>
      <c r="AE161" s="5"/>
      <c r="AF161" s="8"/>
      <c r="AG161" s="5" t="str">
        <f t="array" ref="AG161">IF('Ingest Template'!A161="Standard",(CONCATENATE(IF(ISBLANK('Ingest Template'!N161),"", 'Ingest Template'!N161&amp;"|DAR"),CHAR(10), IF(ISBLANK('Ingest Template'!O161),"", 'Ingest Template'!O161&amp;"|DAR"),CHAR(10), IF(ISBLANK('Ingest Template'!P161),"", 'Ingest Template'!P161&amp;"|DAR"))),(CONCATENATE(IF(ISBLANK('Ingest Template'!N161),"", 'Ingest Template'!N161&amp;"|Operations - Core Title"),CHAR(10), IF(ISBLANK('Ingest Template'!O161),"", 'Ingest Template'!O161&amp;"|Operations - Core Title"),CHAR(10), IF(ISBLANK('Ingest Template'!P161),"", 'Ingest Template'!P161&amp;"|Operations - Core Title"))))</f>
        <v>#|Operations - Core Title
</v>
      </c>
      <c r="AH161" s="5"/>
      <c r="AI161" s="5"/>
      <c r="AJ161" s="5"/>
      <c r="AK161" s="5"/>
      <c r="AL161" s="5"/>
    </row>
    <row r="162">
      <c r="A162" s="5"/>
      <c r="B162" s="5" t="str">
        <f>'Ingest Template'!B162&amp;IF('Ingest Template'!A162 = "Standard", " - DAR","")</f>
        <v/>
      </c>
      <c r="C162" s="6" t="str">
        <f>'Ingest Template'!C162</f>
        <v/>
      </c>
      <c r="D162" s="7" t="str">
        <f>'Ingest Template'!E162</f>
        <v/>
      </c>
      <c r="E162" s="5"/>
      <c r="F162" s="5"/>
      <c r="G162" s="5"/>
      <c r="H162" s="7"/>
      <c r="I162" s="5"/>
      <c r="J162" s="7" t="str">
        <f>'Ingest Template'!Q162</f>
        <v/>
      </c>
      <c r="K162" s="5" t="str">
        <f>'Ingest Template'!R162</f>
        <v/>
      </c>
      <c r="L162" s="8" t="s">
        <v>38</v>
      </c>
      <c r="M162" s="9"/>
      <c r="N162" s="5"/>
      <c r="O162" s="5"/>
      <c r="P162" s="5"/>
      <c r="Q162" s="5"/>
      <c r="R162" s="5" t="str">
        <f>'Ingest Template'!D162</f>
        <v/>
      </c>
      <c r="S162" s="5" t="str">
        <f>'Ingest Template'!G162</f>
        <v/>
      </c>
      <c r="T162" s="5" t="str">
        <f>'Ingest Template'!H162</f>
        <v/>
      </c>
      <c r="U162" s="5" t="str">
        <f>LOWER(SUBSTITUTE(SUBSTITUTE(SUBSTITUTE(SUBSTITUTE(SUBSTITUTE('Ingest Template'!I162,"https:",""),"www.",""),"/",""),"?hl=en",""),"instagram.com",""))</f>
        <v/>
      </c>
      <c r="V162" s="10" t="str">
        <f>'Ingest Template'!J162</f>
        <v/>
      </c>
      <c r="W162" s="10" t="str">
        <f>'Ingest Template'!K162</f>
        <v/>
      </c>
      <c r="X162" s="5"/>
      <c r="Y162" s="5" t="str">
        <f>SUBSTITUTE(SUBSTITUTE(SUBSTITUTE('Ingest Template'!L162,"http:",""),"https:",""),"/","")</f>
        <v/>
      </c>
      <c r="Z162" s="5" t="str">
        <f t="array" ref="Z162">IF('Ingest Template'!A162="Standard",(IF(ISBLANK('Ingest Template'!M162),"", 'Ingest Template'!M162&amp;"|DAR")),(IF(ISBLANK('Ingest Template'!M162),"", 'Ingest Template'!M162&amp;"|Operations - Core Title")))</f>
        <v/>
      </c>
      <c r="AA162" s="5"/>
      <c r="AB162" s="5" t="str">
        <f>'Ingest Template'!F162</f>
        <v/>
      </c>
      <c r="AC162" s="5"/>
      <c r="AD162" s="5"/>
      <c r="AE162" s="5"/>
      <c r="AF162" s="8"/>
      <c r="AG162" s="5" t="str">
        <f t="array" ref="AG162">IF('Ingest Template'!A162="Standard",(CONCATENATE(IF(ISBLANK('Ingest Template'!N162),"", 'Ingest Template'!N162&amp;"|DAR"),CHAR(10), IF(ISBLANK('Ingest Template'!O162),"", 'Ingest Template'!O162&amp;"|DAR"),CHAR(10), IF(ISBLANK('Ingest Template'!P162),"", 'Ingest Template'!P162&amp;"|DAR"))),(CONCATENATE(IF(ISBLANK('Ingest Template'!N162),"", 'Ingest Template'!N162&amp;"|Operations - Core Title"),CHAR(10), IF(ISBLANK('Ingest Template'!O162),"", 'Ingest Template'!O162&amp;"|Operations - Core Title"),CHAR(10), IF(ISBLANK('Ingest Template'!P162),"", 'Ingest Template'!P162&amp;"|Operations - Core Title"))))</f>
        <v>#|Operations - Core Title
</v>
      </c>
      <c r="AH162" s="5"/>
      <c r="AI162" s="5"/>
      <c r="AJ162" s="5"/>
      <c r="AK162" s="5"/>
      <c r="AL162" s="5"/>
    </row>
    <row r="163">
      <c r="A163" s="5"/>
      <c r="B163" s="5" t="str">
        <f>'Ingest Template'!B163&amp;IF('Ingest Template'!A163 = "Standard", " - DAR","")</f>
        <v/>
      </c>
      <c r="C163" s="6" t="str">
        <f>'Ingest Template'!C163</f>
        <v/>
      </c>
      <c r="D163" s="7" t="str">
        <f>'Ingest Template'!E163</f>
        <v/>
      </c>
      <c r="E163" s="5"/>
      <c r="F163" s="5"/>
      <c r="G163" s="5"/>
      <c r="H163" s="7"/>
      <c r="I163" s="5"/>
      <c r="J163" s="7" t="str">
        <f>'Ingest Template'!Q163</f>
        <v/>
      </c>
      <c r="K163" s="5" t="str">
        <f>'Ingest Template'!R163</f>
        <v/>
      </c>
      <c r="L163" s="8" t="s">
        <v>38</v>
      </c>
      <c r="M163" s="9"/>
      <c r="N163" s="5"/>
      <c r="O163" s="5"/>
      <c r="P163" s="5"/>
      <c r="Q163" s="5"/>
      <c r="R163" s="5" t="str">
        <f>'Ingest Template'!D163</f>
        <v/>
      </c>
      <c r="S163" s="5" t="str">
        <f>'Ingest Template'!G163</f>
        <v/>
      </c>
      <c r="T163" s="5" t="str">
        <f>'Ingest Template'!H163</f>
        <v/>
      </c>
      <c r="U163" s="5" t="str">
        <f>LOWER(SUBSTITUTE(SUBSTITUTE(SUBSTITUTE(SUBSTITUTE(SUBSTITUTE('Ingest Template'!I163,"https:",""),"www.",""),"/",""),"?hl=en",""),"instagram.com",""))</f>
        <v/>
      </c>
      <c r="V163" s="10" t="str">
        <f>'Ingest Template'!J163</f>
        <v/>
      </c>
      <c r="W163" s="10" t="str">
        <f>'Ingest Template'!K163</f>
        <v/>
      </c>
      <c r="X163" s="5"/>
      <c r="Y163" s="5" t="str">
        <f>SUBSTITUTE(SUBSTITUTE(SUBSTITUTE('Ingest Template'!L163,"http:",""),"https:",""),"/","")</f>
        <v/>
      </c>
      <c r="Z163" s="5" t="str">
        <f t="array" ref="Z163">IF('Ingest Template'!A163="Standard",(IF(ISBLANK('Ingest Template'!M163),"", 'Ingest Template'!M163&amp;"|DAR")),(IF(ISBLANK('Ingest Template'!M163),"", 'Ingest Template'!M163&amp;"|Operations - Core Title")))</f>
        <v/>
      </c>
      <c r="AA163" s="5"/>
      <c r="AB163" s="5" t="str">
        <f>'Ingest Template'!F163</f>
        <v/>
      </c>
      <c r="AC163" s="5"/>
      <c r="AD163" s="5"/>
      <c r="AE163" s="5"/>
      <c r="AF163" s="8"/>
      <c r="AG163" s="5" t="str">
        <f t="array" ref="AG163">IF('Ingest Template'!A163="Standard",(CONCATENATE(IF(ISBLANK('Ingest Template'!N163),"", 'Ingest Template'!N163&amp;"|DAR"),CHAR(10), IF(ISBLANK('Ingest Template'!O163),"", 'Ingest Template'!O163&amp;"|DAR"),CHAR(10), IF(ISBLANK('Ingest Template'!P163),"", 'Ingest Template'!P163&amp;"|DAR"))),(CONCATENATE(IF(ISBLANK('Ingest Template'!N163),"", 'Ingest Template'!N163&amp;"|Operations - Core Title"),CHAR(10), IF(ISBLANK('Ingest Template'!O163),"", 'Ingest Template'!O163&amp;"|Operations - Core Title"),CHAR(10), IF(ISBLANK('Ingest Template'!P163),"", 'Ingest Template'!P163&amp;"|Operations - Core Title"))))</f>
        <v>#|Operations - Core Title
</v>
      </c>
      <c r="AH163" s="5"/>
      <c r="AI163" s="5"/>
      <c r="AJ163" s="5"/>
      <c r="AK163" s="5"/>
      <c r="AL163" s="5"/>
    </row>
    <row r="164">
      <c r="A164" s="5"/>
      <c r="B164" s="5" t="str">
        <f>'Ingest Template'!B164&amp;IF('Ingest Template'!A164 = "Standard", " - DAR","")</f>
        <v/>
      </c>
      <c r="C164" s="6" t="str">
        <f>'Ingest Template'!C164</f>
        <v/>
      </c>
      <c r="D164" s="7" t="str">
        <f>'Ingest Template'!E164</f>
        <v/>
      </c>
      <c r="E164" s="5"/>
      <c r="F164" s="5"/>
      <c r="G164" s="5"/>
      <c r="H164" s="7"/>
      <c r="I164" s="5"/>
      <c r="J164" s="7" t="str">
        <f>'Ingest Template'!Q164</f>
        <v/>
      </c>
      <c r="K164" s="5" t="str">
        <f>'Ingest Template'!R164</f>
        <v/>
      </c>
      <c r="L164" s="8" t="s">
        <v>38</v>
      </c>
      <c r="M164" s="9"/>
      <c r="N164" s="5"/>
      <c r="O164" s="5"/>
      <c r="P164" s="5"/>
      <c r="Q164" s="5"/>
      <c r="R164" s="5" t="str">
        <f>'Ingest Template'!D164</f>
        <v/>
      </c>
      <c r="S164" s="5" t="str">
        <f>'Ingest Template'!G164</f>
        <v/>
      </c>
      <c r="T164" s="5" t="str">
        <f>'Ingest Template'!H164</f>
        <v/>
      </c>
      <c r="U164" s="5" t="str">
        <f>LOWER(SUBSTITUTE(SUBSTITUTE(SUBSTITUTE(SUBSTITUTE(SUBSTITUTE('Ingest Template'!I164,"https:",""),"www.",""),"/",""),"?hl=en",""),"instagram.com",""))</f>
        <v/>
      </c>
      <c r="V164" s="10" t="str">
        <f>'Ingest Template'!J164</f>
        <v/>
      </c>
      <c r="W164" s="10" t="str">
        <f>'Ingest Template'!K164</f>
        <v/>
      </c>
      <c r="X164" s="5"/>
      <c r="Y164" s="5" t="str">
        <f>SUBSTITUTE(SUBSTITUTE(SUBSTITUTE('Ingest Template'!L164,"http:",""),"https:",""),"/","")</f>
        <v/>
      </c>
      <c r="Z164" s="5" t="str">
        <f t="array" ref="Z164">IF('Ingest Template'!A164="Standard",(IF(ISBLANK('Ingest Template'!M164),"", 'Ingest Template'!M164&amp;"|DAR")),(IF(ISBLANK('Ingest Template'!M164),"", 'Ingest Template'!M164&amp;"|Operations - Core Title")))</f>
        <v/>
      </c>
      <c r="AA164" s="5"/>
      <c r="AB164" s="5" t="str">
        <f>'Ingest Template'!F164</f>
        <v/>
      </c>
      <c r="AC164" s="5"/>
      <c r="AD164" s="5"/>
      <c r="AE164" s="5"/>
      <c r="AF164" s="8"/>
      <c r="AG164" s="5" t="str">
        <f t="array" ref="AG164">IF('Ingest Template'!A164="Standard",(CONCATENATE(IF(ISBLANK('Ingest Template'!N164),"", 'Ingest Template'!N164&amp;"|DAR"),CHAR(10), IF(ISBLANK('Ingest Template'!O164),"", 'Ingest Template'!O164&amp;"|DAR"),CHAR(10), IF(ISBLANK('Ingest Template'!P164),"", 'Ingest Template'!P164&amp;"|DAR"))),(CONCATENATE(IF(ISBLANK('Ingest Template'!N164),"", 'Ingest Template'!N164&amp;"|Operations - Core Title"),CHAR(10), IF(ISBLANK('Ingest Template'!O164),"", 'Ingest Template'!O164&amp;"|Operations - Core Title"),CHAR(10), IF(ISBLANK('Ingest Template'!P164),"", 'Ingest Template'!P164&amp;"|Operations - Core Title"))))</f>
        <v>#|Operations - Core Title
</v>
      </c>
      <c r="AH164" s="5"/>
      <c r="AI164" s="5"/>
      <c r="AJ164" s="5"/>
      <c r="AK164" s="5"/>
      <c r="AL164" s="5"/>
    </row>
    <row r="165">
      <c r="A165" s="5"/>
      <c r="B165" s="5" t="str">
        <f>'Ingest Template'!B165&amp;IF('Ingest Template'!A165 = "Standard", " - DAR","")</f>
        <v/>
      </c>
      <c r="C165" s="6" t="str">
        <f>'Ingest Template'!C165</f>
        <v/>
      </c>
      <c r="D165" s="7" t="str">
        <f>'Ingest Template'!E165</f>
        <v/>
      </c>
      <c r="E165" s="5"/>
      <c r="F165" s="5"/>
      <c r="G165" s="5"/>
      <c r="H165" s="7"/>
      <c r="I165" s="5"/>
      <c r="J165" s="7" t="str">
        <f>'Ingest Template'!Q165</f>
        <v/>
      </c>
      <c r="K165" s="5" t="str">
        <f>'Ingest Template'!R165</f>
        <v/>
      </c>
      <c r="L165" s="8" t="s">
        <v>38</v>
      </c>
      <c r="M165" s="9"/>
      <c r="N165" s="5"/>
      <c r="O165" s="5"/>
      <c r="P165" s="5"/>
      <c r="Q165" s="5"/>
      <c r="R165" s="5" t="str">
        <f>'Ingest Template'!D165</f>
        <v/>
      </c>
      <c r="S165" s="5" t="str">
        <f>'Ingest Template'!G165</f>
        <v/>
      </c>
      <c r="T165" s="5" t="str">
        <f>'Ingest Template'!H165</f>
        <v/>
      </c>
      <c r="U165" s="5" t="str">
        <f>LOWER(SUBSTITUTE(SUBSTITUTE(SUBSTITUTE(SUBSTITUTE(SUBSTITUTE('Ingest Template'!I165,"https:",""),"www.",""),"/",""),"?hl=en",""),"instagram.com",""))</f>
        <v/>
      </c>
      <c r="V165" s="10" t="str">
        <f>'Ingest Template'!J165</f>
        <v/>
      </c>
      <c r="W165" s="10" t="str">
        <f>'Ingest Template'!K165</f>
        <v/>
      </c>
      <c r="X165" s="5"/>
      <c r="Y165" s="5" t="str">
        <f>SUBSTITUTE(SUBSTITUTE(SUBSTITUTE('Ingest Template'!L165,"http:",""),"https:",""),"/","")</f>
        <v/>
      </c>
      <c r="Z165" s="5" t="str">
        <f t="array" ref="Z165">IF('Ingest Template'!A165="Standard",(IF(ISBLANK('Ingest Template'!M165),"", 'Ingest Template'!M165&amp;"|DAR")),(IF(ISBLANK('Ingest Template'!M165),"", 'Ingest Template'!M165&amp;"|Operations - Core Title")))</f>
        <v/>
      </c>
      <c r="AA165" s="5"/>
      <c r="AB165" s="5" t="str">
        <f>'Ingest Template'!F165</f>
        <v/>
      </c>
      <c r="AC165" s="5"/>
      <c r="AD165" s="5"/>
      <c r="AE165" s="5"/>
      <c r="AF165" s="8"/>
      <c r="AG165" s="5" t="str">
        <f t="array" ref="AG165">IF('Ingest Template'!A165="Standard",(CONCATENATE(IF(ISBLANK('Ingest Template'!N165),"", 'Ingest Template'!N165&amp;"|DAR"),CHAR(10), IF(ISBLANK('Ingest Template'!O165),"", 'Ingest Template'!O165&amp;"|DAR"),CHAR(10), IF(ISBLANK('Ingest Template'!P165),"", 'Ingest Template'!P165&amp;"|DAR"))),(CONCATENATE(IF(ISBLANK('Ingest Template'!N165),"", 'Ingest Template'!N165&amp;"|Operations - Core Title"),CHAR(10), IF(ISBLANK('Ingest Template'!O165),"", 'Ingest Template'!O165&amp;"|Operations - Core Title"),CHAR(10), IF(ISBLANK('Ingest Template'!P165),"", 'Ingest Template'!P165&amp;"|Operations - Core Title"))))</f>
        <v>#|Operations - Core Title
</v>
      </c>
      <c r="AH165" s="5"/>
      <c r="AI165" s="5"/>
      <c r="AJ165" s="5"/>
      <c r="AK165" s="5"/>
      <c r="AL165" s="5"/>
    </row>
    <row r="166">
      <c r="A166" s="5"/>
      <c r="B166" s="5" t="str">
        <f>'Ingest Template'!B166&amp;IF('Ingest Template'!A166 = "Standard", " - DAR","")</f>
        <v/>
      </c>
      <c r="C166" s="6" t="str">
        <f>'Ingest Template'!C166</f>
        <v/>
      </c>
      <c r="D166" s="7" t="str">
        <f>'Ingest Template'!E166</f>
        <v/>
      </c>
      <c r="E166" s="5"/>
      <c r="F166" s="5"/>
      <c r="G166" s="5"/>
      <c r="H166" s="7"/>
      <c r="I166" s="5"/>
      <c r="J166" s="7" t="str">
        <f>'Ingest Template'!Q166</f>
        <v/>
      </c>
      <c r="K166" s="5" t="str">
        <f>'Ingest Template'!R166</f>
        <v/>
      </c>
      <c r="L166" s="8" t="s">
        <v>38</v>
      </c>
      <c r="M166" s="9"/>
      <c r="N166" s="5"/>
      <c r="O166" s="5"/>
      <c r="P166" s="5"/>
      <c r="Q166" s="5"/>
      <c r="R166" s="5" t="str">
        <f>'Ingest Template'!D166</f>
        <v/>
      </c>
      <c r="S166" s="5" t="str">
        <f>'Ingest Template'!G166</f>
        <v/>
      </c>
      <c r="T166" s="5" t="str">
        <f>'Ingest Template'!H166</f>
        <v/>
      </c>
      <c r="U166" s="5" t="str">
        <f>LOWER(SUBSTITUTE(SUBSTITUTE(SUBSTITUTE(SUBSTITUTE(SUBSTITUTE('Ingest Template'!I166,"https:",""),"www.",""),"/",""),"?hl=en",""),"instagram.com",""))</f>
        <v/>
      </c>
      <c r="V166" s="10" t="str">
        <f>'Ingest Template'!J166</f>
        <v/>
      </c>
      <c r="W166" s="10" t="str">
        <f>'Ingest Template'!K166</f>
        <v/>
      </c>
      <c r="X166" s="5"/>
      <c r="Y166" s="5" t="str">
        <f>SUBSTITUTE(SUBSTITUTE(SUBSTITUTE('Ingest Template'!L166,"http:",""),"https:",""),"/","")</f>
        <v/>
      </c>
      <c r="Z166" s="5" t="str">
        <f t="array" ref="Z166">IF('Ingest Template'!A166="Standard",(IF(ISBLANK('Ingest Template'!M166),"", 'Ingest Template'!M166&amp;"|DAR")),(IF(ISBLANK('Ingest Template'!M166),"", 'Ingest Template'!M166&amp;"|Operations - Core Title")))</f>
        <v/>
      </c>
      <c r="AA166" s="5"/>
      <c r="AB166" s="5" t="str">
        <f>'Ingest Template'!F166</f>
        <v/>
      </c>
      <c r="AC166" s="5"/>
      <c r="AD166" s="5"/>
      <c r="AE166" s="5"/>
      <c r="AF166" s="8"/>
      <c r="AG166" s="5" t="str">
        <f t="array" ref="AG166">IF('Ingest Template'!A166="Standard",(CONCATENATE(IF(ISBLANK('Ingest Template'!N166),"", 'Ingest Template'!N166&amp;"|DAR"),CHAR(10), IF(ISBLANK('Ingest Template'!O166),"", 'Ingest Template'!O166&amp;"|DAR"),CHAR(10), IF(ISBLANK('Ingest Template'!P166),"", 'Ingest Template'!P166&amp;"|DAR"))),(CONCATENATE(IF(ISBLANK('Ingest Template'!N166),"", 'Ingest Template'!N166&amp;"|Operations - Core Title"),CHAR(10), IF(ISBLANK('Ingest Template'!O166),"", 'Ingest Template'!O166&amp;"|Operations - Core Title"),CHAR(10), IF(ISBLANK('Ingest Template'!P166),"", 'Ingest Template'!P166&amp;"|Operations - Core Title"))))</f>
        <v>#|Operations - Core Title
</v>
      </c>
      <c r="AH166" s="5"/>
      <c r="AI166" s="5"/>
      <c r="AJ166" s="5"/>
      <c r="AK166" s="5"/>
      <c r="AL166" s="5"/>
    </row>
    <row r="167">
      <c r="A167" s="5"/>
      <c r="B167" s="5" t="str">
        <f>'Ingest Template'!B167&amp;IF('Ingest Template'!A167 = "Standard", " - DAR","")</f>
        <v/>
      </c>
      <c r="C167" s="6" t="str">
        <f>'Ingest Template'!C167</f>
        <v/>
      </c>
      <c r="D167" s="7" t="str">
        <f>'Ingest Template'!E167</f>
        <v/>
      </c>
      <c r="E167" s="5"/>
      <c r="F167" s="5"/>
      <c r="G167" s="5"/>
      <c r="H167" s="7"/>
      <c r="I167" s="5"/>
      <c r="J167" s="7" t="str">
        <f>'Ingest Template'!Q167</f>
        <v/>
      </c>
      <c r="K167" s="5" t="str">
        <f>'Ingest Template'!R167</f>
        <v/>
      </c>
      <c r="L167" s="8" t="s">
        <v>38</v>
      </c>
      <c r="M167" s="9"/>
      <c r="N167" s="5"/>
      <c r="O167" s="5"/>
      <c r="P167" s="5"/>
      <c r="Q167" s="5"/>
      <c r="R167" s="5" t="str">
        <f>'Ingest Template'!D167</f>
        <v/>
      </c>
      <c r="S167" s="5" t="str">
        <f>'Ingest Template'!G167</f>
        <v/>
      </c>
      <c r="T167" s="5" t="str">
        <f>'Ingest Template'!H167</f>
        <v/>
      </c>
      <c r="U167" s="5" t="str">
        <f>LOWER(SUBSTITUTE(SUBSTITUTE(SUBSTITUTE(SUBSTITUTE(SUBSTITUTE('Ingest Template'!I167,"https:",""),"www.",""),"/",""),"?hl=en",""),"instagram.com",""))</f>
        <v/>
      </c>
      <c r="V167" s="10" t="str">
        <f>'Ingest Template'!J167</f>
        <v/>
      </c>
      <c r="W167" s="10" t="str">
        <f>'Ingest Template'!K167</f>
        <v/>
      </c>
      <c r="X167" s="5"/>
      <c r="Y167" s="5" t="str">
        <f>SUBSTITUTE(SUBSTITUTE(SUBSTITUTE('Ingest Template'!L167,"http:",""),"https:",""),"/","")</f>
        <v/>
      </c>
      <c r="Z167" s="5" t="str">
        <f t="array" ref="Z167">IF('Ingest Template'!A167="Standard",(IF(ISBLANK('Ingest Template'!M167),"", 'Ingest Template'!M167&amp;"|DAR")),(IF(ISBLANK('Ingest Template'!M167),"", 'Ingest Template'!M167&amp;"|Operations - Core Title")))</f>
        <v/>
      </c>
      <c r="AA167" s="5"/>
      <c r="AB167" s="5" t="str">
        <f>'Ingest Template'!F167</f>
        <v/>
      </c>
      <c r="AC167" s="5"/>
      <c r="AD167" s="5"/>
      <c r="AE167" s="5"/>
      <c r="AF167" s="8"/>
      <c r="AG167" s="5" t="str">
        <f t="array" ref="AG167">IF('Ingest Template'!A167="Standard",(CONCATENATE(IF(ISBLANK('Ingest Template'!N167),"", 'Ingest Template'!N167&amp;"|DAR"),CHAR(10), IF(ISBLANK('Ingest Template'!O167),"", 'Ingest Template'!O167&amp;"|DAR"),CHAR(10), IF(ISBLANK('Ingest Template'!P167),"", 'Ingest Template'!P167&amp;"|DAR"))),(CONCATENATE(IF(ISBLANK('Ingest Template'!N167),"", 'Ingest Template'!N167&amp;"|Operations - Core Title"),CHAR(10), IF(ISBLANK('Ingest Template'!O167),"", 'Ingest Template'!O167&amp;"|Operations - Core Title"),CHAR(10), IF(ISBLANK('Ingest Template'!P167),"", 'Ingest Template'!P167&amp;"|Operations - Core Title"))))</f>
        <v>#|Operations - Core Title
</v>
      </c>
      <c r="AH167" s="5"/>
      <c r="AI167" s="5"/>
      <c r="AJ167" s="5"/>
      <c r="AK167" s="5"/>
      <c r="AL167" s="5"/>
    </row>
    <row r="168">
      <c r="A168" s="5"/>
      <c r="B168" s="5" t="str">
        <f>'Ingest Template'!B168&amp;IF('Ingest Template'!A168 = "Standard", " - DAR","")</f>
        <v/>
      </c>
      <c r="C168" s="6" t="str">
        <f>'Ingest Template'!C168</f>
        <v/>
      </c>
      <c r="D168" s="7" t="str">
        <f>'Ingest Template'!E168</f>
        <v/>
      </c>
      <c r="E168" s="5"/>
      <c r="F168" s="5"/>
      <c r="G168" s="5"/>
      <c r="H168" s="7"/>
      <c r="I168" s="5"/>
      <c r="J168" s="7" t="str">
        <f>'Ingest Template'!Q168</f>
        <v/>
      </c>
      <c r="K168" s="5" t="str">
        <f>'Ingest Template'!R168</f>
        <v/>
      </c>
      <c r="L168" s="8" t="s">
        <v>38</v>
      </c>
      <c r="M168" s="9"/>
      <c r="N168" s="5"/>
      <c r="O168" s="5"/>
      <c r="P168" s="5"/>
      <c r="Q168" s="5"/>
      <c r="R168" s="5" t="str">
        <f>'Ingest Template'!D168</f>
        <v/>
      </c>
      <c r="S168" s="5" t="str">
        <f>'Ingest Template'!G168</f>
        <v/>
      </c>
      <c r="T168" s="5" t="str">
        <f>'Ingest Template'!H168</f>
        <v/>
      </c>
      <c r="U168" s="5" t="str">
        <f>LOWER(SUBSTITUTE(SUBSTITUTE(SUBSTITUTE(SUBSTITUTE(SUBSTITUTE('Ingest Template'!I168,"https:",""),"www.",""),"/",""),"?hl=en",""),"instagram.com",""))</f>
        <v/>
      </c>
      <c r="V168" s="10" t="str">
        <f>'Ingest Template'!J168</f>
        <v/>
      </c>
      <c r="W168" s="10" t="str">
        <f>'Ingest Template'!K168</f>
        <v/>
      </c>
      <c r="X168" s="5"/>
      <c r="Y168" s="5" t="str">
        <f>SUBSTITUTE(SUBSTITUTE(SUBSTITUTE('Ingest Template'!L168,"http:",""),"https:",""),"/","")</f>
        <v/>
      </c>
      <c r="Z168" s="5" t="str">
        <f t="array" ref="Z168">IF('Ingest Template'!A168="Standard",(IF(ISBLANK('Ingest Template'!M168),"", 'Ingest Template'!M168&amp;"|DAR")),(IF(ISBLANK('Ingest Template'!M168),"", 'Ingest Template'!M168&amp;"|Operations - Core Title")))</f>
        <v/>
      </c>
      <c r="AA168" s="5"/>
      <c r="AB168" s="5" t="str">
        <f>'Ingest Template'!F168</f>
        <v/>
      </c>
      <c r="AC168" s="5"/>
      <c r="AD168" s="5"/>
      <c r="AE168" s="5"/>
      <c r="AF168" s="8"/>
      <c r="AG168" s="5" t="str">
        <f t="array" ref="AG168">IF('Ingest Template'!A168="Standard",(CONCATENATE(IF(ISBLANK('Ingest Template'!N168),"", 'Ingest Template'!N168&amp;"|DAR"),CHAR(10), IF(ISBLANK('Ingest Template'!O168),"", 'Ingest Template'!O168&amp;"|DAR"),CHAR(10), IF(ISBLANK('Ingest Template'!P168),"", 'Ingest Template'!P168&amp;"|DAR"))),(CONCATENATE(IF(ISBLANK('Ingest Template'!N168),"", 'Ingest Template'!N168&amp;"|Operations - Core Title"),CHAR(10), IF(ISBLANK('Ingest Template'!O168),"", 'Ingest Template'!O168&amp;"|Operations - Core Title"),CHAR(10), IF(ISBLANK('Ingest Template'!P168),"", 'Ingest Template'!P168&amp;"|Operations - Core Title"))))</f>
        <v>#|Operations - Core Title
</v>
      </c>
      <c r="AH168" s="5"/>
      <c r="AI168" s="5"/>
      <c r="AJ168" s="5"/>
      <c r="AK168" s="5"/>
      <c r="AL168" s="5"/>
    </row>
    <row r="169">
      <c r="A169" s="5"/>
      <c r="B169" s="5" t="str">
        <f>'Ingest Template'!B169&amp;IF('Ingest Template'!A169 = "Standard", " - DAR","")</f>
        <v/>
      </c>
      <c r="C169" s="6" t="str">
        <f>'Ingest Template'!C169</f>
        <v/>
      </c>
      <c r="D169" s="7" t="str">
        <f>'Ingest Template'!E169</f>
        <v/>
      </c>
      <c r="E169" s="5"/>
      <c r="F169" s="5"/>
      <c r="G169" s="5"/>
      <c r="H169" s="7"/>
      <c r="I169" s="5"/>
      <c r="J169" s="7" t="str">
        <f>'Ingest Template'!Q169</f>
        <v/>
      </c>
      <c r="K169" s="5" t="str">
        <f>'Ingest Template'!R169</f>
        <v/>
      </c>
      <c r="L169" s="8" t="s">
        <v>38</v>
      </c>
      <c r="M169" s="9"/>
      <c r="N169" s="5"/>
      <c r="O169" s="5"/>
      <c r="P169" s="5"/>
      <c r="Q169" s="5"/>
      <c r="R169" s="5" t="str">
        <f>'Ingest Template'!D169</f>
        <v/>
      </c>
      <c r="S169" s="5" t="str">
        <f>'Ingest Template'!G169</f>
        <v/>
      </c>
      <c r="T169" s="5" t="str">
        <f>'Ingest Template'!H169</f>
        <v/>
      </c>
      <c r="U169" s="5" t="str">
        <f>LOWER(SUBSTITUTE(SUBSTITUTE(SUBSTITUTE(SUBSTITUTE(SUBSTITUTE('Ingest Template'!I169,"https:",""),"www.",""),"/",""),"?hl=en",""),"instagram.com",""))</f>
        <v/>
      </c>
      <c r="V169" s="10" t="str">
        <f>'Ingest Template'!J169</f>
        <v/>
      </c>
      <c r="W169" s="10" t="str">
        <f>'Ingest Template'!K169</f>
        <v/>
      </c>
      <c r="X169" s="5"/>
      <c r="Y169" s="5" t="str">
        <f>SUBSTITUTE(SUBSTITUTE(SUBSTITUTE('Ingest Template'!L169,"http:",""),"https:",""),"/","")</f>
        <v/>
      </c>
      <c r="Z169" s="5" t="str">
        <f t="array" ref="Z169">IF('Ingest Template'!A169="Standard",(IF(ISBLANK('Ingest Template'!M169),"", 'Ingest Template'!M169&amp;"|DAR")),(IF(ISBLANK('Ingest Template'!M169),"", 'Ingest Template'!M169&amp;"|Operations - Core Title")))</f>
        <v/>
      </c>
      <c r="AA169" s="5"/>
      <c r="AB169" s="5" t="str">
        <f>'Ingest Template'!F169</f>
        <v/>
      </c>
      <c r="AC169" s="5"/>
      <c r="AD169" s="5"/>
      <c r="AE169" s="5"/>
      <c r="AF169" s="8"/>
      <c r="AG169" s="5" t="str">
        <f t="array" ref="AG169">IF('Ingest Template'!A169="Standard",(CONCATENATE(IF(ISBLANK('Ingest Template'!N169),"", 'Ingest Template'!N169&amp;"|DAR"),CHAR(10), IF(ISBLANK('Ingest Template'!O169),"", 'Ingest Template'!O169&amp;"|DAR"),CHAR(10), IF(ISBLANK('Ingest Template'!P169),"", 'Ingest Template'!P169&amp;"|DAR"))),(CONCATENATE(IF(ISBLANK('Ingest Template'!N169),"", 'Ingest Template'!N169&amp;"|Operations - Core Title"),CHAR(10), IF(ISBLANK('Ingest Template'!O169),"", 'Ingest Template'!O169&amp;"|Operations - Core Title"),CHAR(10), IF(ISBLANK('Ingest Template'!P169),"", 'Ingest Template'!P169&amp;"|Operations - Core Title"))))</f>
        <v>#|Operations - Core Title
</v>
      </c>
      <c r="AH169" s="5"/>
      <c r="AI169" s="5"/>
      <c r="AJ169" s="5"/>
      <c r="AK169" s="5"/>
      <c r="AL169" s="5"/>
    </row>
    <row r="170">
      <c r="A170" s="5"/>
      <c r="B170" s="5" t="str">
        <f>'Ingest Template'!B170&amp;IF('Ingest Template'!A170 = "Standard", " - DAR","")</f>
        <v/>
      </c>
      <c r="C170" s="6" t="str">
        <f>'Ingest Template'!C170</f>
        <v/>
      </c>
      <c r="D170" s="7" t="str">
        <f>'Ingest Template'!E170</f>
        <v/>
      </c>
      <c r="E170" s="5"/>
      <c r="F170" s="5"/>
      <c r="G170" s="5"/>
      <c r="H170" s="7"/>
      <c r="I170" s="5"/>
      <c r="J170" s="7" t="str">
        <f>'Ingest Template'!Q170</f>
        <v/>
      </c>
      <c r="K170" s="5" t="str">
        <f>'Ingest Template'!R170</f>
        <v/>
      </c>
      <c r="L170" s="8" t="s">
        <v>38</v>
      </c>
      <c r="M170" s="9"/>
      <c r="N170" s="5"/>
      <c r="O170" s="5"/>
      <c r="P170" s="5"/>
      <c r="Q170" s="5"/>
      <c r="R170" s="5" t="str">
        <f>'Ingest Template'!D170</f>
        <v/>
      </c>
      <c r="S170" s="5" t="str">
        <f>'Ingest Template'!G170</f>
        <v/>
      </c>
      <c r="T170" s="5" t="str">
        <f>'Ingest Template'!H170</f>
        <v/>
      </c>
      <c r="U170" s="5" t="str">
        <f>LOWER(SUBSTITUTE(SUBSTITUTE(SUBSTITUTE(SUBSTITUTE(SUBSTITUTE('Ingest Template'!I170,"https:",""),"www.",""),"/",""),"?hl=en",""),"instagram.com",""))</f>
        <v/>
      </c>
      <c r="V170" s="10" t="str">
        <f>'Ingest Template'!J170</f>
        <v/>
      </c>
      <c r="W170" s="10" t="str">
        <f>'Ingest Template'!K170</f>
        <v/>
      </c>
      <c r="X170" s="5"/>
      <c r="Y170" s="5" t="str">
        <f>SUBSTITUTE(SUBSTITUTE(SUBSTITUTE('Ingest Template'!L170,"http:",""),"https:",""),"/","")</f>
        <v/>
      </c>
      <c r="Z170" s="5" t="str">
        <f t="array" ref="Z170">IF('Ingest Template'!A170="Standard",(IF(ISBLANK('Ingest Template'!M170),"", 'Ingest Template'!M170&amp;"|DAR")),(IF(ISBLANK('Ingest Template'!M170),"", 'Ingest Template'!M170&amp;"|Operations - Core Title")))</f>
        <v/>
      </c>
      <c r="AA170" s="5"/>
      <c r="AB170" s="5" t="str">
        <f>'Ingest Template'!F170</f>
        <v/>
      </c>
      <c r="AC170" s="5"/>
      <c r="AD170" s="5"/>
      <c r="AE170" s="5"/>
      <c r="AF170" s="8"/>
      <c r="AG170" s="5" t="str">
        <f t="array" ref="AG170">IF('Ingest Template'!A170="Standard",(CONCATENATE(IF(ISBLANK('Ingest Template'!N170),"", 'Ingest Template'!N170&amp;"|DAR"),CHAR(10), IF(ISBLANK('Ingest Template'!O170),"", 'Ingest Template'!O170&amp;"|DAR"),CHAR(10), IF(ISBLANK('Ingest Template'!P170),"", 'Ingest Template'!P170&amp;"|DAR"))),(CONCATENATE(IF(ISBLANK('Ingest Template'!N170),"", 'Ingest Template'!N170&amp;"|Operations - Core Title"),CHAR(10), IF(ISBLANK('Ingest Template'!O170),"", 'Ingest Template'!O170&amp;"|Operations - Core Title"),CHAR(10), IF(ISBLANK('Ingest Template'!P170),"", 'Ingest Template'!P170&amp;"|Operations - Core Title"))))</f>
        <v>#|Operations - Core Title
</v>
      </c>
      <c r="AH170" s="5"/>
      <c r="AI170" s="5"/>
      <c r="AJ170" s="5"/>
      <c r="AK170" s="5"/>
      <c r="AL170" s="5"/>
    </row>
    <row r="171">
      <c r="A171" s="5"/>
      <c r="B171" s="5" t="str">
        <f>'Ingest Template'!B171&amp;IF('Ingest Template'!A171 = "Standard", " - DAR","")</f>
        <v/>
      </c>
      <c r="C171" s="6" t="str">
        <f>'Ingest Template'!C171</f>
        <v/>
      </c>
      <c r="D171" s="7" t="str">
        <f>'Ingest Template'!E171</f>
        <v/>
      </c>
      <c r="E171" s="5"/>
      <c r="F171" s="5"/>
      <c r="G171" s="5"/>
      <c r="H171" s="7"/>
      <c r="I171" s="5"/>
      <c r="J171" s="7" t="str">
        <f>'Ingest Template'!Q171</f>
        <v/>
      </c>
      <c r="K171" s="5" t="str">
        <f>'Ingest Template'!R171</f>
        <v/>
      </c>
      <c r="L171" s="8" t="s">
        <v>38</v>
      </c>
      <c r="M171" s="9"/>
      <c r="N171" s="5"/>
      <c r="O171" s="5"/>
      <c r="P171" s="5"/>
      <c r="Q171" s="5"/>
      <c r="R171" s="5" t="str">
        <f>'Ingest Template'!D171</f>
        <v/>
      </c>
      <c r="S171" s="5" t="str">
        <f>'Ingest Template'!G171</f>
        <v/>
      </c>
      <c r="T171" s="5" t="str">
        <f>'Ingest Template'!H171</f>
        <v/>
      </c>
      <c r="U171" s="5" t="str">
        <f>LOWER(SUBSTITUTE(SUBSTITUTE(SUBSTITUTE(SUBSTITUTE(SUBSTITUTE('Ingest Template'!I171,"https:",""),"www.",""),"/",""),"?hl=en",""),"instagram.com",""))</f>
        <v/>
      </c>
      <c r="V171" s="10" t="str">
        <f>'Ingest Template'!J171</f>
        <v/>
      </c>
      <c r="W171" s="10" t="str">
        <f>'Ingest Template'!K171</f>
        <v/>
      </c>
      <c r="X171" s="5"/>
      <c r="Y171" s="5" t="str">
        <f>SUBSTITUTE(SUBSTITUTE(SUBSTITUTE('Ingest Template'!L171,"http:",""),"https:",""),"/","")</f>
        <v/>
      </c>
      <c r="Z171" s="5" t="str">
        <f t="array" ref="Z171">IF('Ingest Template'!A171="Standard",(IF(ISBLANK('Ingest Template'!M171),"", 'Ingest Template'!M171&amp;"|DAR")),(IF(ISBLANK('Ingest Template'!M171),"", 'Ingest Template'!M171&amp;"|Operations - Core Title")))</f>
        <v/>
      </c>
      <c r="AA171" s="5"/>
      <c r="AB171" s="5" t="str">
        <f>'Ingest Template'!F171</f>
        <v/>
      </c>
      <c r="AC171" s="5"/>
      <c r="AD171" s="5"/>
      <c r="AE171" s="5"/>
      <c r="AF171" s="8"/>
      <c r="AG171" s="5" t="str">
        <f t="array" ref="AG171">IF('Ingest Template'!A171="Standard",(CONCATENATE(IF(ISBLANK('Ingest Template'!N171),"", 'Ingest Template'!N171&amp;"|DAR"),CHAR(10), IF(ISBLANK('Ingest Template'!O171),"", 'Ingest Template'!O171&amp;"|DAR"),CHAR(10), IF(ISBLANK('Ingest Template'!P171),"", 'Ingest Template'!P171&amp;"|DAR"))),(CONCATENATE(IF(ISBLANK('Ingest Template'!N171),"", 'Ingest Template'!N171&amp;"|Operations - Core Title"),CHAR(10), IF(ISBLANK('Ingest Template'!O171),"", 'Ingest Template'!O171&amp;"|Operations - Core Title"),CHAR(10), IF(ISBLANK('Ingest Template'!P171),"", 'Ingest Template'!P171&amp;"|Operations - Core Title"))))</f>
        <v>#|Operations - Core Title
</v>
      </c>
      <c r="AH171" s="5"/>
      <c r="AI171" s="5"/>
      <c r="AJ171" s="5"/>
      <c r="AK171" s="5"/>
      <c r="AL171" s="5"/>
    </row>
    <row r="172">
      <c r="A172" s="5"/>
      <c r="B172" s="5" t="str">
        <f>'Ingest Template'!B172&amp;IF('Ingest Template'!A172 = "Standard", " - DAR","")</f>
        <v/>
      </c>
      <c r="C172" s="6" t="str">
        <f>'Ingest Template'!C172</f>
        <v/>
      </c>
      <c r="D172" s="7" t="str">
        <f>'Ingest Template'!E172</f>
        <v/>
      </c>
      <c r="E172" s="5"/>
      <c r="F172" s="5"/>
      <c r="G172" s="5"/>
      <c r="H172" s="7"/>
      <c r="I172" s="5"/>
      <c r="J172" s="7" t="str">
        <f>'Ingest Template'!Q172</f>
        <v/>
      </c>
      <c r="K172" s="5" t="str">
        <f>'Ingest Template'!R172</f>
        <v/>
      </c>
      <c r="L172" s="8" t="s">
        <v>38</v>
      </c>
      <c r="M172" s="9"/>
      <c r="N172" s="5"/>
      <c r="O172" s="5"/>
      <c r="P172" s="5"/>
      <c r="Q172" s="5"/>
      <c r="R172" s="5" t="str">
        <f>'Ingest Template'!D172</f>
        <v/>
      </c>
      <c r="S172" s="5" t="str">
        <f>'Ingest Template'!G172</f>
        <v/>
      </c>
      <c r="T172" s="5" t="str">
        <f>'Ingest Template'!H172</f>
        <v/>
      </c>
      <c r="U172" s="5" t="str">
        <f>LOWER(SUBSTITUTE(SUBSTITUTE(SUBSTITUTE(SUBSTITUTE(SUBSTITUTE('Ingest Template'!I172,"https:",""),"www.",""),"/",""),"?hl=en",""),"instagram.com",""))</f>
        <v/>
      </c>
      <c r="V172" s="10" t="str">
        <f>'Ingest Template'!J172</f>
        <v/>
      </c>
      <c r="W172" s="10" t="str">
        <f>'Ingest Template'!K172</f>
        <v/>
      </c>
      <c r="X172" s="5"/>
      <c r="Y172" s="5" t="str">
        <f>SUBSTITUTE(SUBSTITUTE(SUBSTITUTE('Ingest Template'!L172,"http:",""),"https:",""),"/","")</f>
        <v/>
      </c>
      <c r="Z172" s="5" t="str">
        <f t="array" ref="Z172">IF('Ingest Template'!A172="Standard",(IF(ISBLANK('Ingest Template'!M172),"", 'Ingest Template'!M172&amp;"|DAR")),(IF(ISBLANK('Ingest Template'!M172),"", 'Ingest Template'!M172&amp;"|Operations - Core Title")))</f>
        <v/>
      </c>
      <c r="AA172" s="5"/>
      <c r="AB172" s="5" t="str">
        <f>'Ingest Template'!F172</f>
        <v/>
      </c>
      <c r="AC172" s="5"/>
      <c r="AD172" s="5"/>
      <c r="AE172" s="5"/>
      <c r="AF172" s="8"/>
      <c r="AG172" s="5" t="str">
        <f t="array" ref="AG172">IF('Ingest Template'!A172="Standard",(CONCATENATE(IF(ISBLANK('Ingest Template'!N172),"", 'Ingest Template'!N172&amp;"|DAR"),CHAR(10), IF(ISBLANK('Ingest Template'!O172),"", 'Ingest Template'!O172&amp;"|DAR"),CHAR(10), IF(ISBLANK('Ingest Template'!P172),"", 'Ingest Template'!P172&amp;"|DAR"))),(CONCATENATE(IF(ISBLANK('Ingest Template'!N172),"", 'Ingest Template'!N172&amp;"|Operations - Core Title"),CHAR(10), IF(ISBLANK('Ingest Template'!O172),"", 'Ingest Template'!O172&amp;"|Operations - Core Title"),CHAR(10), IF(ISBLANK('Ingest Template'!P172),"", 'Ingest Template'!P172&amp;"|Operations - Core Title"))))</f>
        <v>#|Operations - Core Title
</v>
      </c>
      <c r="AH172" s="5"/>
      <c r="AI172" s="5"/>
      <c r="AJ172" s="5"/>
      <c r="AK172" s="5"/>
      <c r="AL172" s="5"/>
    </row>
    <row r="173">
      <c r="A173" s="5"/>
      <c r="B173" s="5" t="str">
        <f>'Ingest Template'!B173&amp;IF('Ingest Template'!A173 = "Standard", " - DAR","")</f>
        <v/>
      </c>
      <c r="C173" s="6" t="str">
        <f>'Ingest Template'!C173</f>
        <v/>
      </c>
      <c r="D173" s="7" t="str">
        <f>'Ingest Template'!E173</f>
        <v/>
      </c>
      <c r="E173" s="5"/>
      <c r="F173" s="5"/>
      <c r="G173" s="5"/>
      <c r="H173" s="7"/>
      <c r="I173" s="5"/>
      <c r="J173" s="7" t="str">
        <f>'Ingest Template'!Q173</f>
        <v/>
      </c>
      <c r="K173" s="5" t="str">
        <f>'Ingest Template'!R173</f>
        <v/>
      </c>
      <c r="L173" s="8" t="s">
        <v>38</v>
      </c>
      <c r="M173" s="9"/>
      <c r="N173" s="5"/>
      <c r="O173" s="5"/>
      <c r="P173" s="5"/>
      <c r="Q173" s="5"/>
      <c r="R173" s="5" t="str">
        <f>'Ingest Template'!D173</f>
        <v/>
      </c>
      <c r="S173" s="5" t="str">
        <f>'Ingest Template'!G173</f>
        <v/>
      </c>
      <c r="T173" s="5" t="str">
        <f>'Ingest Template'!H173</f>
        <v/>
      </c>
      <c r="U173" s="5" t="str">
        <f>LOWER(SUBSTITUTE(SUBSTITUTE(SUBSTITUTE(SUBSTITUTE(SUBSTITUTE('Ingest Template'!I173,"https:",""),"www.",""),"/",""),"?hl=en",""),"instagram.com",""))</f>
        <v/>
      </c>
      <c r="V173" s="10" t="str">
        <f>'Ingest Template'!J173</f>
        <v/>
      </c>
      <c r="W173" s="10" t="str">
        <f>'Ingest Template'!K173</f>
        <v/>
      </c>
      <c r="X173" s="5"/>
      <c r="Y173" s="5" t="str">
        <f>SUBSTITUTE(SUBSTITUTE(SUBSTITUTE('Ingest Template'!L173,"http:",""),"https:",""),"/","")</f>
        <v/>
      </c>
      <c r="Z173" s="5" t="str">
        <f t="array" ref="Z173">IF('Ingest Template'!A173="Standard",(IF(ISBLANK('Ingest Template'!M173),"", 'Ingest Template'!M173&amp;"|DAR")),(IF(ISBLANK('Ingest Template'!M173),"", 'Ingest Template'!M173&amp;"|Operations - Core Title")))</f>
        <v/>
      </c>
      <c r="AA173" s="5"/>
      <c r="AB173" s="5" t="str">
        <f>'Ingest Template'!F173</f>
        <v/>
      </c>
      <c r="AC173" s="5"/>
      <c r="AD173" s="5"/>
      <c r="AE173" s="5"/>
      <c r="AF173" s="8"/>
      <c r="AG173" s="5" t="str">
        <f t="array" ref="AG173">IF('Ingest Template'!A173="Standard",(CONCATENATE(IF(ISBLANK('Ingest Template'!N173),"", 'Ingest Template'!N173&amp;"|DAR"),CHAR(10), IF(ISBLANK('Ingest Template'!O173),"", 'Ingest Template'!O173&amp;"|DAR"),CHAR(10), IF(ISBLANK('Ingest Template'!P173),"", 'Ingest Template'!P173&amp;"|DAR"))),(CONCATENATE(IF(ISBLANK('Ingest Template'!N173),"", 'Ingest Template'!N173&amp;"|Operations - Core Title"),CHAR(10), IF(ISBLANK('Ingest Template'!O173),"", 'Ingest Template'!O173&amp;"|Operations - Core Title"),CHAR(10), IF(ISBLANK('Ingest Template'!P173),"", 'Ingest Template'!P173&amp;"|Operations - Core Title"))))</f>
        <v>#|Operations - Core Title
</v>
      </c>
      <c r="AH173" s="5"/>
      <c r="AI173" s="5"/>
      <c r="AJ173" s="5"/>
      <c r="AK173" s="5"/>
      <c r="AL173" s="5"/>
    </row>
    <row r="174">
      <c r="A174" s="5"/>
      <c r="B174" s="5" t="str">
        <f>'Ingest Template'!B174&amp;IF('Ingest Template'!A174 = "Standard", " - DAR","")</f>
        <v/>
      </c>
      <c r="C174" s="6" t="str">
        <f>'Ingest Template'!C174</f>
        <v/>
      </c>
      <c r="D174" s="7" t="str">
        <f>'Ingest Template'!E174</f>
        <v/>
      </c>
      <c r="E174" s="5"/>
      <c r="F174" s="5"/>
      <c r="G174" s="5"/>
      <c r="H174" s="7"/>
      <c r="I174" s="5"/>
      <c r="J174" s="7" t="str">
        <f>'Ingest Template'!Q174</f>
        <v/>
      </c>
      <c r="K174" s="5" t="str">
        <f>'Ingest Template'!R174</f>
        <v/>
      </c>
      <c r="L174" s="8" t="s">
        <v>38</v>
      </c>
      <c r="M174" s="9"/>
      <c r="N174" s="5"/>
      <c r="O174" s="5"/>
      <c r="P174" s="5"/>
      <c r="Q174" s="5"/>
      <c r="R174" s="5" t="str">
        <f>'Ingest Template'!D174</f>
        <v/>
      </c>
      <c r="S174" s="5" t="str">
        <f>'Ingest Template'!G174</f>
        <v/>
      </c>
      <c r="T174" s="5" t="str">
        <f>'Ingest Template'!H174</f>
        <v/>
      </c>
      <c r="U174" s="5" t="str">
        <f>LOWER(SUBSTITUTE(SUBSTITUTE(SUBSTITUTE(SUBSTITUTE(SUBSTITUTE('Ingest Template'!I174,"https:",""),"www.",""),"/",""),"?hl=en",""),"instagram.com",""))</f>
        <v/>
      </c>
      <c r="V174" s="10" t="str">
        <f>'Ingest Template'!J174</f>
        <v/>
      </c>
      <c r="W174" s="10" t="str">
        <f>'Ingest Template'!K174</f>
        <v/>
      </c>
      <c r="X174" s="5"/>
      <c r="Y174" s="5" t="str">
        <f>SUBSTITUTE(SUBSTITUTE(SUBSTITUTE('Ingest Template'!L174,"http:",""),"https:",""),"/","")</f>
        <v/>
      </c>
      <c r="Z174" s="5" t="str">
        <f t="array" ref="Z174">IF('Ingest Template'!A174="Standard",(IF(ISBLANK('Ingest Template'!M174),"", 'Ingest Template'!M174&amp;"|DAR")),(IF(ISBLANK('Ingest Template'!M174),"", 'Ingest Template'!M174&amp;"|Operations - Core Title")))</f>
        <v/>
      </c>
      <c r="AA174" s="5"/>
      <c r="AB174" s="5" t="str">
        <f>'Ingest Template'!F174</f>
        <v/>
      </c>
      <c r="AC174" s="5"/>
      <c r="AD174" s="5"/>
      <c r="AE174" s="5"/>
      <c r="AF174" s="8"/>
      <c r="AG174" s="5" t="str">
        <f t="array" ref="AG174">IF('Ingest Template'!A174="Standard",(CONCATENATE(IF(ISBLANK('Ingest Template'!N174),"", 'Ingest Template'!N174&amp;"|DAR"),CHAR(10), IF(ISBLANK('Ingest Template'!O174),"", 'Ingest Template'!O174&amp;"|DAR"),CHAR(10), IF(ISBLANK('Ingest Template'!P174),"", 'Ingest Template'!P174&amp;"|DAR"))),(CONCATENATE(IF(ISBLANK('Ingest Template'!N174),"", 'Ingest Template'!N174&amp;"|Operations - Core Title"),CHAR(10), IF(ISBLANK('Ingest Template'!O174),"", 'Ingest Template'!O174&amp;"|Operations - Core Title"),CHAR(10), IF(ISBLANK('Ingest Template'!P174),"", 'Ingest Template'!P174&amp;"|Operations - Core Title"))))</f>
        <v>#|Operations - Core Title
</v>
      </c>
      <c r="AH174" s="5"/>
      <c r="AI174" s="5"/>
      <c r="AJ174" s="5"/>
      <c r="AK174" s="5"/>
      <c r="AL174" s="5"/>
    </row>
    <row r="175">
      <c r="A175" s="5"/>
      <c r="B175" s="5" t="str">
        <f>'Ingest Template'!B175&amp;IF('Ingest Template'!A175 = "Standard", " - DAR","")</f>
        <v/>
      </c>
      <c r="C175" s="6" t="str">
        <f>'Ingest Template'!C175</f>
        <v/>
      </c>
      <c r="D175" s="7" t="str">
        <f>'Ingest Template'!E175</f>
        <v/>
      </c>
      <c r="E175" s="5"/>
      <c r="F175" s="5"/>
      <c r="G175" s="5"/>
      <c r="H175" s="7"/>
      <c r="I175" s="5"/>
      <c r="J175" s="7" t="str">
        <f>'Ingest Template'!Q175</f>
        <v/>
      </c>
      <c r="K175" s="5" t="str">
        <f>'Ingest Template'!R175</f>
        <v/>
      </c>
      <c r="L175" s="8" t="s">
        <v>38</v>
      </c>
      <c r="M175" s="9"/>
      <c r="N175" s="5"/>
      <c r="O175" s="5"/>
      <c r="P175" s="5"/>
      <c r="Q175" s="5"/>
      <c r="R175" s="5" t="str">
        <f>'Ingest Template'!D175</f>
        <v/>
      </c>
      <c r="S175" s="5" t="str">
        <f>'Ingest Template'!G175</f>
        <v/>
      </c>
      <c r="T175" s="5" t="str">
        <f>'Ingest Template'!H175</f>
        <v/>
      </c>
      <c r="U175" s="5" t="str">
        <f>LOWER(SUBSTITUTE(SUBSTITUTE(SUBSTITUTE(SUBSTITUTE(SUBSTITUTE('Ingest Template'!I175,"https:",""),"www.",""),"/",""),"?hl=en",""),"instagram.com",""))</f>
        <v/>
      </c>
      <c r="V175" s="10" t="str">
        <f>'Ingest Template'!J175</f>
        <v/>
      </c>
      <c r="W175" s="10" t="str">
        <f>'Ingest Template'!K175</f>
        <v/>
      </c>
      <c r="X175" s="5"/>
      <c r="Y175" s="5" t="str">
        <f>SUBSTITUTE(SUBSTITUTE(SUBSTITUTE('Ingest Template'!L175,"http:",""),"https:",""),"/","")</f>
        <v/>
      </c>
      <c r="Z175" s="5" t="str">
        <f t="array" ref="Z175">IF('Ingest Template'!A175="Standard",(IF(ISBLANK('Ingest Template'!M175),"", 'Ingest Template'!M175&amp;"|DAR")),(IF(ISBLANK('Ingest Template'!M175),"", 'Ingest Template'!M175&amp;"|Operations - Core Title")))</f>
        <v/>
      </c>
      <c r="AA175" s="5"/>
      <c r="AB175" s="5" t="str">
        <f>'Ingest Template'!F175</f>
        <v/>
      </c>
      <c r="AC175" s="5"/>
      <c r="AD175" s="5"/>
      <c r="AE175" s="5"/>
      <c r="AF175" s="8"/>
      <c r="AG175" s="5" t="str">
        <f t="array" ref="AG175">IF('Ingest Template'!A175="Standard",(CONCATENATE(IF(ISBLANK('Ingest Template'!N175),"", 'Ingest Template'!N175&amp;"|DAR"),CHAR(10), IF(ISBLANK('Ingest Template'!O175),"", 'Ingest Template'!O175&amp;"|DAR"),CHAR(10), IF(ISBLANK('Ingest Template'!P175),"", 'Ingest Template'!P175&amp;"|DAR"))),(CONCATENATE(IF(ISBLANK('Ingest Template'!N175),"", 'Ingest Template'!N175&amp;"|Operations - Core Title"),CHAR(10), IF(ISBLANK('Ingest Template'!O175),"", 'Ingest Template'!O175&amp;"|Operations - Core Title"),CHAR(10), IF(ISBLANK('Ingest Template'!P175),"", 'Ingest Template'!P175&amp;"|Operations - Core Title"))))</f>
        <v>#|Operations - Core Title
</v>
      </c>
      <c r="AH175" s="5"/>
      <c r="AI175" s="5"/>
      <c r="AJ175" s="5"/>
      <c r="AK175" s="5"/>
      <c r="AL175" s="5"/>
    </row>
    <row r="176">
      <c r="A176" s="5"/>
      <c r="B176" s="5" t="str">
        <f>'Ingest Template'!B176&amp;IF('Ingest Template'!A176 = "Standard", " - DAR","")</f>
        <v/>
      </c>
      <c r="C176" s="6" t="str">
        <f>'Ingest Template'!C176</f>
        <v/>
      </c>
      <c r="D176" s="7" t="str">
        <f>'Ingest Template'!E176</f>
        <v/>
      </c>
      <c r="E176" s="5"/>
      <c r="F176" s="5"/>
      <c r="G176" s="5"/>
      <c r="H176" s="7"/>
      <c r="I176" s="5"/>
      <c r="J176" s="7" t="str">
        <f>'Ingest Template'!Q176</f>
        <v/>
      </c>
      <c r="K176" s="5" t="str">
        <f>'Ingest Template'!R176</f>
        <v/>
      </c>
      <c r="L176" s="8" t="s">
        <v>38</v>
      </c>
      <c r="M176" s="9"/>
      <c r="N176" s="5"/>
      <c r="O176" s="5"/>
      <c r="P176" s="5"/>
      <c r="Q176" s="5"/>
      <c r="R176" s="5" t="str">
        <f>'Ingest Template'!D176</f>
        <v/>
      </c>
      <c r="S176" s="5" t="str">
        <f>'Ingest Template'!G176</f>
        <v/>
      </c>
      <c r="T176" s="5" t="str">
        <f>'Ingest Template'!H176</f>
        <v/>
      </c>
      <c r="U176" s="5" t="str">
        <f>LOWER(SUBSTITUTE(SUBSTITUTE(SUBSTITUTE(SUBSTITUTE(SUBSTITUTE('Ingest Template'!I176,"https:",""),"www.",""),"/",""),"?hl=en",""),"instagram.com",""))</f>
        <v/>
      </c>
      <c r="V176" s="10" t="str">
        <f>'Ingest Template'!J176</f>
        <v/>
      </c>
      <c r="W176" s="10" t="str">
        <f>'Ingest Template'!K176</f>
        <v/>
      </c>
      <c r="X176" s="5"/>
      <c r="Y176" s="5" t="str">
        <f>SUBSTITUTE(SUBSTITUTE(SUBSTITUTE('Ingest Template'!L176,"http:",""),"https:",""),"/","")</f>
        <v/>
      </c>
      <c r="Z176" s="5" t="str">
        <f t="array" ref="Z176">IF('Ingest Template'!A176="Standard",(IF(ISBLANK('Ingest Template'!M176),"", 'Ingest Template'!M176&amp;"|DAR")),(IF(ISBLANK('Ingest Template'!M176),"", 'Ingest Template'!M176&amp;"|Operations - Core Title")))</f>
        <v/>
      </c>
      <c r="AA176" s="5"/>
      <c r="AB176" s="5" t="str">
        <f>'Ingest Template'!F176</f>
        <v/>
      </c>
      <c r="AC176" s="5"/>
      <c r="AD176" s="5"/>
      <c r="AE176" s="5"/>
      <c r="AF176" s="8"/>
      <c r="AG176" s="5" t="str">
        <f t="array" ref="AG176">IF('Ingest Template'!A176="Standard",(CONCATENATE(IF(ISBLANK('Ingest Template'!N176),"", 'Ingest Template'!N176&amp;"|DAR"),CHAR(10), IF(ISBLANK('Ingest Template'!O176),"", 'Ingest Template'!O176&amp;"|DAR"),CHAR(10), IF(ISBLANK('Ingest Template'!P176),"", 'Ingest Template'!P176&amp;"|DAR"))),(CONCATENATE(IF(ISBLANK('Ingest Template'!N176),"", 'Ingest Template'!N176&amp;"|Operations - Core Title"),CHAR(10), IF(ISBLANK('Ingest Template'!O176),"", 'Ingest Template'!O176&amp;"|Operations - Core Title"),CHAR(10), IF(ISBLANK('Ingest Template'!P176),"", 'Ingest Template'!P176&amp;"|Operations - Core Title"))))</f>
        <v>#|Operations - Core Title
</v>
      </c>
      <c r="AH176" s="5"/>
      <c r="AI176" s="5"/>
      <c r="AJ176" s="5"/>
      <c r="AK176" s="5"/>
      <c r="AL176" s="5"/>
    </row>
    <row r="177">
      <c r="A177" s="5"/>
      <c r="B177" s="5" t="str">
        <f>'Ingest Template'!B177&amp;IF('Ingest Template'!A177 = "Standard", " - DAR","")</f>
        <v/>
      </c>
      <c r="C177" s="6" t="str">
        <f>'Ingest Template'!C177</f>
        <v/>
      </c>
      <c r="D177" s="7" t="str">
        <f>'Ingest Template'!E177</f>
        <v/>
      </c>
      <c r="E177" s="5"/>
      <c r="F177" s="5"/>
      <c r="G177" s="5"/>
      <c r="H177" s="7"/>
      <c r="I177" s="5"/>
      <c r="J177" s="7" t="str">
        <f>'Ingest Template'!Q177</f>
        <v/>
      </c>
      <c r="K177" s="5" t="str">
        <f>'Ingest Template'!R177</f>
        <v/>
      </c>
      <c r="L177" s="8" t="s">
        <v>38</v>
      </c>
      <c r="M177" s="9"/>
      <c r="N177" s="5"/>
      <c r="O177" s="5"/>
      <c r="P177" s="5"/>
      <c r="Q177" s="5"/>
      <c r="R177" s="5" t="str">
        <f>'Ingest Template'!D177</f>
        <v/>
      </c>
      <c r="S177" s="5" t="str">
        <f>'Ingest Template'!G177</f>
        <v/>
      </c>
      <c r="T177" s="5" t="str">
        <f>'Ingest Template'!H177</f>
        <v/>
      </c>
      <c r="U177" s="5" t="str">
        <f>LOWER(SUBSTITUTE(SUBSTITUTE(SUBSTITUTE(SUBSTITUTE(SUBSTITUTE('Ingest Template'!I177,"https:",""),"www.",""),"/",""),"?hl=en",""),"instagram.com",""))</f>
        <v/>
      </c>
      <c r="V177" s="10" t="str">
        <f>'Ingest Template'!J177</f>
        <v/>
      </c>
      <c r="W177" s="10" t="str">
        <f>'Ingest Template'!K177</f>
        <v/>
      </c>
      <c r="X177" s="5"/>
      <c r="Y177" s="5" t="str">
        <f>SUBSTITUTE(SUBSTITUTE(SUBSTITUTE('Ingest Template'!L177,"http:",""),"https:",""),"/","")</f>
        <v/>
      </c>
      <c r="Z177" s="5" t="str">
        <f t="array" ref="Z177">IF('Ingest Template'!A177="Standard",(IF(ISBLANK('Ingest Template'!M177),"", 'Ingest Template'!M177&amp;"|DAR")),(IF(ISBLANK('Ingest Template'!M177),"", 'Ingest Template'!M177&amp;"|Operations - Core Title")))</f>
        <v/>
      </c>
      <c r="AA177" s="5"/>
      <c r="AB177" s="5" t="str">
        <f>'Ingest Template'!F177</f>
        <v/>
      </c>
      <c r="AC177" s="5"/>
      <c r="AD177" s="5"/>
      <c r="AE177" s="5"/>
      <c r="AF177" s="8"/>
      <c r="AG177" s="5" t="str">
        <f t="array" ref="AG177">IF('Ingest Template'!A177="Standard",(CONCATENATE(IF(ISBLANK('Ingest Template'!N177),"", 'Ingest Template'!N177&amp;"|DAR"),CHAR(10), IF(ISBLANK('Ingest Template'!O177),"", 'Ingest Template'!O177&amp;"|DAR"),CHAR(10), IF(ISBLANK('Ingest Template'!P177),"", 'Ingest Template'!P177&amp;"|DAR"))),(CONCATENATE(IF(ISBLANK('Ingest Template'!N177),"", 'Ingest Template'!N177&amp;"|Operations - Core Title"),CHAR(10), IF(ISBLANK('Ingest Template'!O177),"", 'Ingest Template'!O177&amp;"|Operations - Core Title"),CHAR(10), IF(ISBLANK('Ingest Template'!P177),"", 'Ingest Template'!P177&amp;"|Operations - Core Title"))))</f>
        <v>#|Operations - Core Title
</v>
      </c>
      <c r="AH177" s="5"/>
      <c r="AI177" s="5"/>
      <c r="AJ177" s="5"/>
      <c r="AK177" s="5"/>
      <c r="AL177" s="5"/>
    </row>
    <row r="178">
      <c r="A178" s="5"/>
      <c r="B178" s="5" t="str">
        <f>'Ingest Template'!B178&amp;IF('Ingest Template'!A178 = "Standard", " - DAR","")</f>
        <v/>
      </c>
      <c r="C178" s="6" t="str">
        <f>'Ingest Template'!C178</f>
        <v/>
      </c>
      <c r="D178" s="7" t="str">
        <f>'Ingest Template'!E178</f>
        <v/>
      </c>
      <c r="E178" s="5"/>
      <c r="F178" s="5"/>
      <c r="G178" s="5"/>
      <c r="H178" s="7"/>
      <c r="I178" s="5"/>
      <c r="J178" s="7" t="str">
        <f>'Ingest Template'!Q178</f>
        <v/>
      </c>
      <c r="K178" s="5" t="str">
        <f>'Ingest Template'!R178</f>
        <v/>
      </c>
      <c r="L178" s="8" t="s">
        <v>38</v>
      </c>
      <c r="M178" s="9"/>
      <c r="N178" s="5"/>
      <c r="O178" s="5"/>
      <c r="P178" s="5"/>
      <c r="Q178" s="5"/>
      <c r="R178" s="5" t="str">
        <f>'Ingest Template'!D178</f>
        <v/>
      </c>
      <c r="S178" s="5" t="str">
        <f>'Ingest Template'!G178</f>
        <v/>
      </c>
      <c r="T178" s="5" t="str">
        <f>'Ingest Template'!H178</f>
        <v/>
      </c>
      <c r="U178" s="5" t="str">
        <f>LOWER(SUBSTITUTE(SUBSTITUTE(SUBSTITUTE(SUBSTITUTE(SUBSTITUTE('Ingest Template'!I178,"https:",""),"www.",""),"/",""),"?hl=en",""),"instagram.com",""))</f>
        <v/>
      </c>
      <c r="V178" s="10" t="str">
        <f>'Ingest Template'!J178</f>
        <v/>
      </c>
      <c r="W178" s="10" t="str">
        <f>'Ingest Template'!K178</f>
        <v/>
      </c>
      <c r="X178" s="5"/>
      <c r="Y178" s="5" t="str">
        <f>SUBSTITUTE(SUBSTITUTE(SUBSTITUTE('Ingest Template'!L178,"http:",""),"https:",""),"/","")</f>
        <v/>
      </c>
      <c r="Z178" s="5" t="str">
        <f t="array" ref="Z178">IF('Ingest Template'!A178="Standard",(IF(ISBLANK('Ingest Template'!M178),"", 'Ingest Template'!M178&amp;"|DAR")),(IF(ISBLANK('Ingest Template'!M178),"", 'Ingest Template'!M178&amp;"|Operations - Core Title")))</f>
        <v/>
      </c>
      <c r="AA178" s="5"/>
      <c r="AB178" s="5" t="str">
        <f>'Ingest Template'!F178</f>
        <v/>
      </c>
      <c r="AC178" s="5"/>
      <c r="AD178" s="5"/>
      <c r="AE178" s="5"/>
      <c r="AF178" s="8"/>
      <c r="AG178" s="5" t="str">
        <f t="array" ref="AG178">IF('Ingest Template'!A178="Standard",(CONCATENATE(IF(ISBLANK('Ingest Template'!N178),"", 'Ingest Template'!N178&amp;"|DAR"),CHAR(10), IF(ISBLANK('Ingest Template'!O178),"", 'Ingest Template'!O178&amp;"|DAR"),CHAR(10), IF(ISBLANK('Ingest Template'!P178),"", 'Ingest Template'!P178&amp;"|DAR"))),(CONCATENATE(IF(ISBLANK('Ingest Template'!N178),"", 'Ingest Template'!N178&amp;"|Operations - Core Title"),CHAR(10), IF(ISBLANK('Ingest Template'!O178),"", 'Ingest Template'!O178&amp;"|Operations - Core Title"),CHAR(10), IF(ISBLANK('Ingest Template'!P178),"", 'Ingest Template'!P178&amp;"|Operations - Core Title"))))</f>
        <v>#|Operations - Core Title
</v>
      </c>
      <c r="AH178" s="5"/>
      <c r="AI178" s="5"/>
      <c r="AJ178" s="5"/>
      <c r="AK178" s="5"/>
      <c r="AL178" s="5"/>
    </row>
    <row r="179">
      <c r="A179" s="5"/>
      <c r="B179" s="5" t="str">
        <f>'Ingest Template'!B179&amp;IF('Ingest Template'!A179 = "Standard", " - DAR","")</f>
        <v/>
      </c>
      <c r="C179" s="6" t="str">
        <f>'Ingest Template'!C179</f>
        <v/>
      </c>
      <c r="D179" s="7" t="str">
        <f>'Ingest Template'!E179</f>
        <v/>
      </c>
      <c r="E179" s="5"/>
      <c r="F179" s="5"/>
      <c r="G179" s="5"/>
      <c r="H179" s="7"/>
      <c r="I179" s="5"/>
      <c r="J179" s="7" t="str">
        <f>'Ingest Template'!Q179</f>
        <v/>
      </c>
      <c r="K179" s="5" t="str">
        <f>'Ingest Template'!R179</f>
        <v/>
      </c>
      <c r="L179" s="8" t="s">
        <v>38</v>
      </c>
      <c r="M179" s="9"/>
      <c r="N179" s="5"/>
      <c r="O179" s="5"/>
      <c r="P179" s="5"/>
      <c r="Q179" s="5"/>
      <c r="R179" s="5" t="str">
        <f>'Ingest Template'!D179</f>
        <v/>
      </c>
      <c r="S179" s="5" t="str">
        <f>'Ingest Template'!G179</f>
        <v/>
      </c>
      <c r="T179" s="5" t="str">
        <f>'Ingest Template'!H179</f>
        <v/>
      </c>
      <c r="U179" s="5" t="str">
        <f>LOWER(SUBSTITUTE(SUBSTITUTE(SUBSTITUTE(SUBSTITUTE(SUBSTITUTE('Ingest Template'!I179,"https:",""),"www.",""),"/",""),"?hl=en",""),"instagram.com",""))</f>
        <v/>
      </c>
      <c r="V179" s="10" t="str">
        <f>'Ingest Template'!J179</f>
        <v/>
      </c>
      <c r="W179" s="10" t="str">
        <f>'Ingest Template'!K179</f>
        <v/>
      </c>
      <c r="X179" s="5"/>
      <c r="Y179" s="5" t="str">
        <f>SUBSTITUTE(SUBSTITUTE(SUBSTITUTE('Ingest Template'!L179,"http:",""),"https:",""),"/","")</f>
        <v/>
      </c>
      <c r="Z179" s="5" t="str">
        <f t="array" ref="Z179">IF('Ingest Template'!A179="Standard",(IF(ISBLANK('Ingest Template'!M179),"", 'Ingest Template'!M179&amp;"|DAR")),(IF(ISBLANK('Ingest Template'!M179),"", 'Ingest Template'!M179&amp;"|Operations - Core Title")))</f>
        <v/>
      </c>
      <c r="AA179" s="5"/>
      <c r="AB179" s="5" t="str">
        <f>'Ingest Template'!F179</f>
        <v/>
      </c>
      <c r="AC179" s="5"/>
      <c r="AD179" s="5"/>
      <c r="AE179" s="5"/>
      <c r="AF179" s="8"/>
      <c r="AG179" s="5" t="str">
        <f t="array" ref="AG179">IF('Ingest Template'!A179="Standard",(CONCATENATE(IF(ISBLANK('Ingest Template'!N179),"", 'Ingest Template'!N179&amp;"|DAR"),CHAR(10), IF(ISBLANK('Ingest Template'!O179),"", 'Ingest Template'!O179&amp;"|DAR"),CHAR(10), IF(ISBLANK('Ingest Template'!P179),"", 'Ingest Template'!P179&amp;"|DAR"))),(CONCATENATE(IF(ISBLANK('Ingest Template'!N179),"", 'Ingest Template'!N179&amp;"|Operations - Core Title"),CHAR(10), IF(ISBLANK('Ingest Template'!O179),"", 'Ingest Template'!O179&amp;"|Operations - Core Title"),CHAR(10), IF(ISBLANK('Ingest Template'!P179),"", 'Ingest Template'!P179&amp;"|Operations - Core Title"))))</f>
        <v>#|Operations - Core Title
</v>
      </c>
      <c r="AH179" s="5"/>
      <c r="AI179" s="5"/>
      <c r="AJ179" s="5"/>
      <c r="AK179" s="5"/>
      <c r="AL179" s="5"/>
    </row>
    <row r="180">
      <c r="A180" s="5"/>
      <c r="B180" s="5" t="str">
        <f>'Ingest Template'!B180&amp;IF('Ingest Template'!A180 = "Standard", " - DAR","")</f>
        <v/>
      </c>
      <c r="C180" s="6" t="str">
        <f>'Ingest Template'!C180</f>
        <v/>
      </c>
      <c r="D180" s="7" t="str">
        <f>'Ingest Template'!E180</f>
        <v/>
      </c>
      <c r="E180" s="5"/>
      <c r="F180" s="5"/>
      <c r="G180" s="5"/>
      <c r="H180" s="7"/>
      <c r="I180" s="5"/>
      <c r="J180" s="7" t="str">
        <f>'Ingest Template'!Q180</f>
        <v/>
      </c>
      <c r="K180" s="5" t="str">
        <f>'Ingest Template'!R180</f>
        <v/>
      </c>
      <c r="L180" s="8" t="s">
        <v>38</v>
      </c>
      <c r="M180" s="9"/>
      <c r="N180" s="5"/>
      <c r="O180" s="5"/>
      <c r="P180" s="5"/>
      <c r="Q180" s="5"/>
      <c r="R180" s="5" t="str">
        <f>'Ingest Template'!D180</f>
        <v/>
      </c>
      <c r="S180" s="5" t="str">
        <f>'Ingest Template'!G180</f>
        <v/>
      </c>
      <c r="T180" s="5" t="str">
        <f>'Ingest Template'!H180</f>
        <v/>
      </c>
      <c r="U180" s="5" t="str">
        <f>LOWER(SUBSTITUTE(SUBSTITUTE(SUBSTITUTE(SUBSTITUTE(SUBSTITUTE('Ingest Template'!I180,"https:",""),"www.",""),"/",""),"?hl=en",""),"instagram.com",""))</f>
        <v/>
      </c>
      <c r="V180" s="10" t="str">
        <f>'Ingest Template'!J180</f>
        <v/>
      </c>
      <c r="W180" s="10" t="str">
        <f>'Ingest Template'!K180</f>
        <v/>
      </c>
      <c r="X180" s="5"/>
      <c r="Y180" s="5" t="str">
        <f>SUBSTITUTE(SUBSTITUTE(SUBSTITUTE('Ingest Template'!L180,"http:",""),"https:",""),"/","")</f>
        <v/>
      </c>
      <c r="Z180" s="5" t="str">
        <f t="array" ref="Z180">IF('Ingest Template'!A180="Standard",(IF(ISBLANK('Ingest Template'!M180),"", 'Ingest Template'!M180&amp;"|DAR")),(IF(ISBLANK('Ingest Template'!M180),"", 'Ingest Template'!M180&amp;"|Operations - Core Title")))</f>
        <v/>
      </c>
      <c r="AA180" s="5"/>
      <c r="AB180" s="5" t="str">
        <f>'Ingest Template'!F180</f>
        <v/>
      </c>
      <c r="AC180" s="5"/>
      <c r="AD180" s="5"/>
      <c r="AE180" s="5"/>
      <c r="AF180" s="8"/>
      <c r="AG180" s="5" t="str">
        <f t="array" ref="AG180">IF('Ingest Template'!A180="Standard",(CONCATENATE(IF(ISBLANK('Ingest Template'!N180),"", 'Ingest Template'!N180&amp;"|DAR"),CHAR(10), IF(ISBLANK('Ingest Template'!O180),"", 'Ingest Template'!O180&amp;"|DAR"),CHAR(10), IF(ISBLANK('Ingest Template'!P180),"", 'Ingest Template'!P180&amp;"|DAR"))),(CONCATENATE(IF(ISBLANK('Ingest Template'!N180),"", 'Ingest Template'!N180&amp;"|Operations - Core Title"),CHAR(10), IF(ISBLANK('Ingest Template'!O180),"", 'Ingest Template'!O180&amp;"|Operations - Core Title"),CHAR(10), IF(ISBLANK('Ingest Template'!P180),"", 'Ingest Template'!P180&amp;"|Operations - Core Title"))))</f>
        <v>#|Operations - Core Title
</v>
      </c>
      <c r="AH180" s="5"/>
      <c r="AI180" s="5"/>
      <c r="AJ180" s="5"/>
      <c r="AK180" s="5"/>
      <c r="AL180" s="5"/>
    </row>
    <row r="181">
      <c r="A181" s="5"/>
      <c r="B181" s="5" t="str">
        <f>'Ingest Template'!B181&amp;IF('Ingest Template'!A181 = "Standard", " - DAR","")</f>
        <v/>
      </c>
      <c r="C181" s="6" t="str">
        <f>'Ingest Template'!C181</f>
        <v/>
      </c>
      <c r="D181" s="7" t="str">
        <f>'Ingest Template'!E181</f>
        <v/>
      </c>
      <c r="E181" s="5"/>
      <c r="F181" s="5"/>
      <c r="G181" s="5"/>
      <c r="H181" s="7"/>
      <c r="I181" s="5"/>
      <c r="J181" s="7" t="str">
        <f>'Ingest Template'!Q181</f>
        <v/>
      </c>
      <c r="K181" s="5" t="str">
        <f>'Ingest Template'!R181</f>
        <v/>
      </c>
      <c r="L181" s="8" t="s">
        <v>38</v>
      </c>
      <c r="M181" s="9"/>
      <c r="N181" s="5"/>
      <c r="O181" s="5"/>
      <c r="P181" s="5"/>
      <c r="Q181" s="5"/>
      <c r="R181" s="5" t="str">
        <f>'Ingest Template'!D181</f>
        <v/>
      </c>
      <c r="S181" s="5" t="str">
        <f>'Ingest Template'!G181</f>
        <v/>
      </c>
      <c r="T181" s="5" t="str">
        <f>'Ingest Template'!H181</f>
        <v/>
      </c>
      <c r="U181" s="5" t="str">
        <f>LOWER(SUBSTITUTE(SUBSTITUTE(SUBSTITUTE(SUBSTITUTE(SUBSTITUTE('Ingest Template'!I181,"https:",""),"www.",""),"/",""),"?hl=en",""),"instagram.com",""))</f>
        <v/>
      </c>
      <c r="V181" s="10" t="str">
        <f>'Ingest Template'!J181</f>
        <v/>
      </c>
      <c r="W181" s="10" t="str">
        <f>'Ingest Template'!K181</f>
        <v/>
      </c>
      <c r="X181" s="5"/>
      <c r="Y181" s="5" t="str">
        <f>SUBSTITUTE(SUBSTITUTE(SUBSTITUTE('Ingest Template'!L181,"http:",""),"https:",""),"/","")</f>
        <v/>
      </c>
      <c r="Z181" s="5" t="str">
        <f t="array" ref="Z181">IF('Ingest Template'!A181="Standard",(IF(ISBLANK('Ingest Template'!M181),"", 'Ingest Template'!M181&amp;"|DAR")),(IF(ISBLANK('Ingest Template'!M181),"", 'Ingest Template'!M181&amp;"|Operations - Core Title")))</f>
        <v/>
      </c>
      <c r="AA181" s="5"/>
      <c r="AB181" s="5" t="str">
        <f>'Ingest Template'!F181</f>
        <v/>
      </c>
      <c r="AC181" s="5"/>
      <c r="AD181" s="5"/>
      <c r="AE181" s="5"/>
      <c r="AF181" s="8"/>
      <c r="AG181" s="5" t="str">
        <f t="array" ref="AG181">IF('Ingest Template'!A181="Standard",(CONCATENATE(IF(ISBLANK('Ingest Template'!N181),"", 'Ingest Template'!N181&amp;"|DAR"),CHAR(10), IF(ISBLANK('Ingest Template'!O181),"", 'Ingest Template'!O181&amp;"|DAR"),CHAR(10), IF(ISBLANK('Ingest Template'!P181),"", 'Ingest Template'!P181&amp;"|DAR"))),(CONCATENATE(IF(ISBLANK('Ingest Template'!N181),"", 'Ingest Template'!N181&amp;"|Operations - Core Title"),CHAR(10), IF(ISBLANK('Ingest Template'!O181),"", 'Ingest Template'!O181&amp;"|Operations - Core Title"),CHAR(10), IF(ISBLANK('Ingest Template'!P181),"", 'Ingest Template'!P181&amp;"|Operations - Core Title"))))</f>
        <v>#|Operations - Core Title
</v>
      </c>
      <c r="AH181" s="5"/>
      <c r="AI181" s="5"/>
      <c r="AJ181" s="5"/>
      <c r="AK181" s="5"/>
      <c r="AL181" s="5"/>
    </row>
    <row r="182">
      <c r="A182" s="5"/>
      <c r="B182" s="5" t="str">
        <f>'Ingest Template'!B182&amp;IF('Ingest Template'!A182 = "Standard", " - DAR","")</f>
        <v/>
      </c>
      <c r="C182" s="6" t="str">
        <f>'Ingest Template'!C182</f>
        <v/>
      </c>
      <c r="D182" s="7" t="str">
        <f>'Ingest Template'!E182</f>
        <v/>
      </c>
      <c r="E182" s="5"/>
      <c r="F182" s="5"/>
      <c r="G182" s="5"/>
      <c r="H182" s="7"/>
      <c r="I182" s="5"/>
      <c r="J182" s="7" t="str">
        <f>'Ingest Template'!Q182</f>
        <v/>
      </c>
      <c r="K182" s="5" t="str">
        <f>'Ingest Template'!R182</f>
        <v/>
      </c>
      <c r="L182" s="8" t="s">
        <v>38</v>
      </c>
      <c r="M182" s="9"/>
      <c r="N182" s="5"/>
      <c r="O182" s="5"/>
      <c r="P182" s="5"/>
      <c r="Q182" s="5"/>
      <c r="R182" s="5" t="str">
        <f>'Ingest Template'!D182</f>
        <v/>
      </c>
      <c r="S182" s="5" t="str">
        <f>'Ingest Template'!G182</f>
        <v/>
      </c>
      <c r="T182" s="5" t="str">
        <f>'Ingest Template'!H182</f>
        <v/>
      </c>
      <c r="U182" s="5" t="str">
        <f>LOWER(SUBSTITUTE(SUBSTITUTE(SUBSTITUTE(SUBSTITUTE(SUBSTITUTE('Ingest Template'!I182,"https:",""),"www.",""),"/",""),"?hl=en",""),"instagram.com",""))</f>
        <v/>
      </c>
      <c r="V182" s="10" t="str">
        <f>'Ingest Template'!J182</f>
        <v/>
      </c>
      <c r="W182" s="10" t="str">
        <f>'Ingest Template'!K182</f>
        <v/>
      </c>
      <c r="X182" s="5"/>
      <c r="Y182" s="5" t="str">
        <f>SUBSTITUTE(SUBSTITUTE(SUBSTITUTE('Ingest Template'!L182,"http:",""),"https:",""),"/","")</f>
        <v/>
      </c>
      <c r="Z182" s="5" t="str">
        <f t="array" ref="Z182">IF('Ingest Template'!A182="Standard",(IF(ISBLANK('Ingest Template'!M182),"", 'Ingest Template'!M182&amp;"|DAR")),(IF(ISBLANK('Ingest Template'!M182),"", 'Ingest Template'!M182&amp;"|Operations - Core Title")))</f>
        <v/>
      </c>
      <c r="AA182" s="5"/>
      <c r="AB182" s="5" t="str">
        <f>'Ingest Template'!F182</f>
        <v/>
      </c>
      <c r="AC182" s="5"/>
      <c r="AD182" s="5"/>
      <c r="AE182" s="5"/>
      <c r="AF182" s="8"/>
      <c r="AG182" s="5" t="str">
        <f t="array" ref="AG182">IF('Ingest Template'!A182="Standard",(CONCATENATE(IF(ISBLANK('Ingest Template'!N182),"", 'Ingest Template'!N182&amp;"|DAR"),CHAR(10), IF(ISBLANK('Ingest Template'!O182),"", 'Ingest Template'!O182&amp;"|DAR"),CHAR(10), IF(ISBLANK('Ingest Template'!P182),"", 'Ingest Template'!P182&amp;"|DAR"))),(CONCATENATE(IF(ISBLANK('Ingest Template'!N182),"", 'Ingest Template'!N182&amp;"|Operations - Core Title"),CHAR(10), IF(ISBLANK('Ingest Template'!O182),"", 'Ingest Template'!O182&amp;"|Operations - Core Title"),CHAR(10), IF(ISBLANK('Ingest Template'!P182),"", 'Ingest Template'!P182&amp;"|Operations - Core Title"))))</f>
        <v>#|Operations - Core Title
</v>
      </c>
      <c r="AH182" s="5"/>
      <c r="AI182" s="5"/>
      <c r="AJ182" s="5"/>
      <c r="AK182" s="5"/>
      <c r="AL182" s="5"/>
    </row>
    <row r="183">
      <c r="A183" s="5"/>
      <c r="B183" s="5" t="str">
        <f>'Ingest Template'!B183&amp;IF('Ingest Template'!A183 = "Standard", " - DAR","")</f>
        <v/>
      </c>
      <c r="C183" s="6" t="str">
        <f>'Ingest Template'!C183</f>
        <v/>
      </c>
      <c r="D183" s="7" t="str">
        <f>'Ingest Template'!E183</f>
        <v/>
      </c>
      <c r="E183" s="5"/>
      <c r="F183" s="5"/>
      <c r="G183" s="5"/>
      <c r="H183" s="7"/>
      <c r="I183" s="5"/>
      <c r="J183" s="7" t="str">
        <f>'Ingest Template'!Q183</f>
        <v/>
      </c>
      <c r="K183" s="5" t="str">
        <f>'Ingest Template'!R183</f>
        <v/>
      </c>
      <c r="L183" s="8" t="s">
        <v>38</v>
      </c>
      <c r="M183" s="9"/>
      <c r="N183" s="5"/>
      <c r="O183" s="5"/>
      <c r="P183" s="5"/>
      <c r="Q183" s="5"/>
      <c r="R183" s="5" t="str">
        <f>'Ingest Template'!D183</f>
        <v/>
      </c>
      <c r="S183" s="5" t="str">
        <f>'Ingest Template'!G183</f>
        <v/>
      </c>
      <c r="T183" s="5" t="str">
        <f>'Ingest Template'!H183</f>
        <v/>
      </c>
      <c r="U183" s="5" t="str">
        <f>LOWER(SUBSTITUTE(SUBSTITUTE(SUBSTITUTE(SUBSTITUTE(SUBSTITUTE('Ingest Template'!I183,"https:",""),"www.",""),"/",""),"?hl=en",""),"instagram.com",""))</f>
        <v/>
      </c>
      <c r="V183" s="10" t="str">
        <f>'Ingest Template'!J183</f>
        <v/>
      </c>
      <c r="W183" s="10" t="str">
        <f>'Ingest Template'!K183</f>
        <v/>
      </c>
      <c r="X183" s="5"/>
      <c r="Y183" s="5" t="str">
        <f>SUBSTITUTE(SUBSTITUTE(SUBSTITUTE('Ingest Template'!L183,"http:",""),"https:",""),"/","")</f>
        <v/>
      </c>
      <c r="Z183" s="5" t="str">
        <f t="array" ref="Z183">IF('Ingest Template'!A183="Standard",(IF(ISBLANK('Ingest Template'!M183),"", 'Ingest Template'!M183&amp;"|DAR")),(IF(ISBLANK('Ingest Template'!M183),"", 'Ingest Template'!M183&amp;"|Operations - Core Title")))</f>
        <v/>
      </c>
      <c r="AA183" s="5"/>
      <c r="AB183" s="5" t="str">
        <f>'Ingest Template'!F183</f>
        <v/>
      </c>
      <c r="AC183" s="5"/>
      <c r="AD183" s="5"/>
      <c r="AE183" s="5"/>
      <c r="AF183" s="8"/>
      <c r="AG183" s="5" t="str">
        <f t="array" ref="AG183">IF('Ingest Template'!A183="Standard",(CONCATENATE(IF(ISBLANK('Ingest Template'!N183),"", 'Ingest Template'!N183&amp;"|DAR"),CHAR(10), IF(ISBLANK('Ingest Template'!O183),"", 'Ingest Template'!O183&amp;"|DAR"),CHAR(10), IF(ISBLANK('Ingest Template'!P183),"", 'Ingest Template'!P183&amp;"|DAR"))),(CONCATENATE(IF(ISBLANK('Ingest Template'!N183),"", 'Ingest Template'!N183&amp;"|Operations - Core Title"),CHAR(10), IF(ISBLANK('Ingest Template'!O183),"", 'Ingest Template'!O183&amp;"|Operations - Core Title"),CHAR(10), IF(ISBLANK('Ingest Template'!P183),"", 'Ingest Template'!P183&amp;"|Operations - Core Title"))))</f>
        <v>#|Operations - Core Title
</v>
      </c>
      <c r="AH183" s="5"/>
      <c r="AI183" s="5"/>
      <c r="AJ183" s="5"/>
      <c r="AK183" s="5"/>
      <c r="AL183" s="5"/>
    </row>
    <row r="184">
      <c r="A184" s="5"/>
      <c r="B184" s="5" t="str">
        <f>'Ingest Template'!B184&amp;IF('Ingest Template'!A184 = "Standard", " - DAR","")</f>
        <v/>
      </c>
      <c r="C184" s="6" t="str">
        <f>'Ingest Template'!C184</f>
        <v/>
      </c>
      <c r="D184" s="7" t="str">
        <f>'Ingest Template'!E184</f>
        <v/>
      </c>
      <c r="E184" s="5"/>
      <c r="F184" s="5"/>
      <c r="G184" s="5"/>
      <c r="H184" s="7"/>
      <c r="I184" s="5"/>
      <c r="J184" s="7" t="str">
        <f>'Ingest Template'!Q184</f>
        <v/>
      </c>
      <c r="K184" s="5" t="str">
        <f>'Ingest Template'!R184</f>
        <v/>
      </c>
      <c r="L184" s="8" t="s">
        <v>38</v>
      </c>
      <c r="M184" s="9"/>
      <c r="N184" s="5"/>
      <c r="O184" s="5"/>
      <c r="P184" s="5"/>
      <c r="Q184" s="5"/>
      <c r="R184" s="5" t="str">
        <f>'Ingest Template'!D184</f>
        <v/>
      </c>
      <c r="S184" s="5" t="str">
        <f>'Ingest Template'!G184</f>
        <v/>
      </c>
      <c r="T184" s="5" t="str">
        <f>'Ingest Template'!H184</f>
        <v/>
      </c>
      <c r="U184" s="5" t="str">
        <f>LOWER(SUBSTITUTE(SUBSTITUTE(SUBSTITUTE(SUBSTITUTE(SUBSTITUTE('Ingest Template'!I184,"https:",""),"www.",""),"/",""),"?hl=en",""),"instagram.com",""))</f>
        <v/>
      </c>
      <c r="V184" s="10" t="str">
        <f>'Ingest Template'!J184</f>
        <v/>
      </c>
      <c r="W184" s="10" t="str">
        <f>'Ingest Template'!K184</f>
        <v/>
      </c>
      <c r="X184" s="5"/>
      <c r="Y184" s="5" t="str">
        <f>SUBSTITUTE(SUBSTITUTE(SUBSTITUTE('Ingest Template'!L184,"http:",""),"https:",""),"/","")</f>
        <v/>
      </c>
      <c r="Z184" s="5" t="str">
        <f t="array" ref="Z184">IF('Ingest Template'!A184="Standard",(IF(ISBLANK('Ingest Template'!M184),"", 'Ingest Template'!M184&amp;"|DAR")),(IF(ISBLANK('Ingest Template'!M184),"", 'Ingest Template'!M184&amp;"|Operations - Core Title")))</f>
        <v/>
      </c>
      <c r="AA184" s="5"/>
      <c r="AB184" s="5" t="str">
        <f>'Ingest Template'!F184</f>
        <v/>
      </c>
      <c r="AC184" s="5"/>
      <c r="AD184" s="5"/>
      <c r="AE184" s="5"/>
      <c r="AF184" s="8"/>
      <c r="AG184" s="5" t="str">
        <f t="array" ref="AG184">IF('Ingest Template'!A184="Standard",(CONCATENATE(IF(ISBLANK('Ingest Template'!N184),"", 'Ingest Template'!N184&amp;"|DAR"),CHAR(10), IF(ISBLANK('Ingest Template'!O184),"", 'Ingest Template'!O184&amp;"|DAR"),CHAR(10), IF(ISBLANK('Ingest Template'!P184),"", 'Ingest Template'!P184&amp;"|DAR"))),(CONCATENATE(IF(ISBLANK('Ingest Template'!N184),"", 'Ingest Template'!N184&amp;"|Operations - Core Title"),CHAR(10), IF(ISBLANK('Ingest Template'!O184),"", 'Ingest Template'!O184&amp;"|Operations - Core Title"),CHAR(10), IF(ISBLANK('Ingest Template'!P184),"", 'Ingest Template'!P184&amp;"|Operations - Core Title"))))</f>
        <v>#|Operations - Core Title
</v>
      </c>
      <c r="AH184" s="5"/>
      <c r="AI184" s="5"/>
      <c r="AJ184" s="5"/>
      <c r="AK184" s="5"/>
      <c r="AL184" s="5"/>
    </row>
    <row r="185">
      <c r="A185" s="5"/>
      <c r="B185" s="5" t="str">
        <f>'Ingest Template'!B185&amp;IF('Ingest Template'!A185 = "Standard", " - DAR","")</f>
        <v/>
      </c>
      <c r="C185" s="6" t="str">
        <f>'Ingest Template'!C185</f>
        <v/>
      </c>
      <c r="D185" s="7" t="str">
        <f>'Ingest Template'!E185</f>
        <v/>
      </c>
      <c r="E185" s="5"/>
      <c r="F185" s="5"/>
      <c r="G185" s="5"/>
      <c r="H185" s="7"/>
      <c r="I185" s="5"/>
      <c r="J185" s="7" t="str">
        <f>'Ingest Template'!Q185</f>
        <v/>
      </c>
      <c r="K185" s="5" t="str">
        <f>'Ingest Template'!R185</f>
        <v/>
      </c>
      <c r="L185" s="8" t="s">
        <v>38</v>
      </c>
      <c r="M185" s="9"/>
      <c r="N185" s="5"/>
      <c r="O185" s="5"/>
      <c r="P185" s="5"/>
      <c r="Q185" s="5"/>
      <c r="R185" s="5" t="str">
        <f>'Ingest Template'!D185</f>
        <v/>
      </c>
      <c r="S185" s="5" t="str">
        <f>'Ingest Template'!G185</f>
        <v/>
      </c>
      <c r="T185" s="5" t="str">
        <f>'Ingest Template'!H185</f>
        <v/>
      </c>
      <c r="U185" s="5" t="str">
        <f>LOWER(SUBSTITUTE(SUBSTITUTE(SUBSTITUTE(SUBSTITUTE(SUBSTITUTE('Ingest Template'!I185,"https:",""),"www.",""),"/",""),"?hl=en",""),"instagram.com",""))</f>
        <v/>
      </c>
      <c r="V185" s="10" t="str">
        <f>'Ingest Template'!J185</f>
        <v/>
      </c>
      <c r="W185" s="10" t="str">
        <f>'Ingest Template'!K185</f>
        <v/>
      </c>
      <c r="X185" s="5"/>
      <c r="Y185" s="5" t="str">
        <f>SUBSTITUTE(SUBSTITUTE(SUBSTITUTE('Ingest Template'!L185,"http:",""),"https:",""),"/","")</f>
        <v/>
      </c>
      <c r="Z185" s="5" t="str">
        <f t="array" ref="Z185">IF('Ingest Template'!A185="Standard",(IF(ISBLANK('Ingest Template'!M185),"", 'Ingest Template'!M185&amp;"|DAR")),(IF(ISBLANK('Ingest Template'!M185),"", 'Ingest Template'!M185&amp;"|Operations - Core Title")))</f>
        <v/>
      </c>
      <c r="AA185" s="5"/>
      <c r="AB185" s="5" t="str">
        <f>'Ingest Template'!F185</f>
        <v/>
      </c>
      <c r="AC185" s="5"/>
      <c r="AD185" s="5"/>
      <c r="AE185" s="5"/>
      <c r="AF185" s="8"/>
      <c r="AG185" s="5" t="str">
        <f t="array" ref="AG185">IF('Ingest Template'!A185="Standard",(CONCATENATE(IF(ISBLANK('Ingest Template'!N185),"", 'Ingest Template'!N185&amp;"|DAR"),CHAR(10), IF(ISBLANK('Ingest Template'!O185),"", 'Ingest Template'!O185&amp;"|DAR"),CHAR(10), IF(ISBLANK('Ingest Template'!P185),"", 'Ingest Template'!P185&amp;"|DAR"))),(CONCATENATE(IF(ISBLANK('Ingest Template'!N185),"", 'Ingest Template'!N185&amp;"|Operations - Core Title"),CHAR(10), IF(ISBLANK('Ingest Template'!O185),"", 'Ingest Template'!O185&amp;"|Operations - Core Title"),CHAR(10), IF(ISBLANK('Ingest Template'!P185),"", 'Ingest Template'!P185&amp;"|Operations - Core Title"))))</f>
        <v>#|Operations - Core Title
</v>
      </c>
      <c r="AH185" s="5"/>
      <c r="AI185" s="5"/>
      <c r="AJ185" s="5"/>
      <c r="AK185" s="5"/>
      <c r="AL185" s="5"/>
    </row>
    <row r="186">
      <c r="A186" s="5"/>
      <c r="B186" s="5" t="str">
        <f>'Ingest Template'!B186&amp;IF('Ingest Template'!A186 = "Standard", " - DAR","")</f>
        <v/>
      </c>
      <c r="C186" s="6" t="str">
        <f>'Ingest Template'!C186</f>
        <v/>
      </c>
      <c r="D186" s="7" t="str">
        <f>'Ingest Template'!E186</f>
        <v/>
      </c>
      <c r="E186" s="5"/>
      <c r="F186" s="5"/>
      <c r="G186" s="5"/>
      <c r="H186" s="7"/>
      <c r="I186" s="5"/>
      <c r="J186" s="7" t="str">
        <f>'Ingest Template'!Q186</f>
        <v/>
      </c>
      <c r="K186" s="5" t="str">
        <f>'Ingest Template'!R186</f>
        <v/>
      </c>
      <c r="L186" s="8" t="s">
        <v>38</v>
      </c>
      <c r="M186" s="9"/>
      <c r="N186" s="5"/>
      <c r="O186" s="5"/>
      <c r="P186" s="5"/>
      <c r="Q186" s="5"/>
      <c r="R186" s="5" t="str">
        <f>'Ingest Template'!D186</f>
        <v/>
      </c>
      <c r="S186" s="5" t="str">
        <f>'Ingest Template'!G186</f>
        <v/>
      </c>
      <c r="T186" s="5" t="str">
        <f>'Ingest Template'!H186</f>
        <v/>
      </c>
      <c r="U186" s="5" t="str">
        <f>LOWER(SUBSTITUTE(SUBSTITUTE(SUBSTITUTE(SUBSTITUTE(SUBSTITUTE('Ingest Template'!I186,"https:",""),"www.",""),"/",""),"?hl=en",""),"instagram.com",""))</f>
        <v/>
      </c>
      <c r="V186" s="10" t="str">
        <f>'Ingest Template'!J186</f>
        <v/>
      </c>
      <c r="W186" s="10" t="str">
        <f>'Ingest Template'!K186</f>
        <v/>
      </c>
      <c r="X186" s="5"/>
      <c r="Y186" s="5" t="str">
        <f>SUBSTITUTE(SUBSTITUTE(SUBSTITUTE('Ingest Template'!L186,"http:",""),"https:",""),"/","")</f>
        <v/>
      </c>
      <c r="Z186" s="5" t="str">
        <f t="array" ref="Z186">IF('Ingest Template'!A186="Standard",(IF(ISBLANK('Ingest Template'!M186),"", 'Ingest Template'!M186&amp;"|DAR")),(IF(ISBLANK('Ingest Template'!M186),"", 'Ingest Template'!M186&amp;"|Operations - Core Title")))</f>
        <v/>
      </c>
      <c r="AA186" s="5"/>
      <c r="AB186" s="5" t="str">
        <f>'Ingest Template'!F186</f>
        <v/>
      </c>
      <c r="AC186" s="5"/>
      <c r="AD186" s="5"/>
      <c r="AE186" s="5"/>
      <c r="AF186" s="8"/>
      <c r="AG186" s="5" t="str">
        <f t="array" ref="AG186">IF('Ingest Template'!A186="Standard",(CONCATENATE(IF(ISBLANK('Ingest Template'!N186),"", 'Ingest Template'!N186&amp;"|DAR"),CHAR(10), IF(ISBLANK('Ingest Template'!O186),"", 'Ingest Template'!O186&amp;"|DAR"),CHAR(10), IF(ISBLANK('Ingest Template'!P186),"", 'Ingest Template'!P186&amp;"|DAR"))),(CONCATENATE(IF(ISBLANK('Ingest Template'!N186),"", 'Ingest Template'!N186&amp;"|Operations - Core Title"),CHAR(10), IF(ISBLANK('Ingest Template'!O186),"", 'Ingest Template'!O186&amp;"|Operations - Core Title"),CHAR(10), IF(ISBLANK('Ingest Template'!P186),"", 'Ingest Template'!P186&amp;"|Operations - Core Title"))))</f>
        <v>#|Operations - Core Title
</v>
      </c>
      <c r="AH186" s="5"/>
      <c r="AI186" s="5"/>
      <c r="AJ186" s="5"/>
      <c r="AK186" s="5"/>
      <c r="AL186" s="5"/>
    </row>
    <row r="187">
      <c r="A187" s="5"/>
      <c r="B187" s="5" t="str">
        <f>'Ingest Template'!B187&amp;IF('Ingest Template'!A187 = "Standard", " - DAR","")</f>
        <v/>
      </c>
      <c r="C187" s="6" t="str">
        <f>'Ingest Template'!C187</f>
        <v/>
      </c>
      <c r="D187" s="7" t="str">
        <f>'Ingest Template'!E187</f>
        <v/>
      </c>
      <c r="E187" s="5"/>
      <c r="F187" s="5"/>
      <c r="G187" s="5"/>
      <c r="H187" s="7"/>
      <c r="I187" s="5"/>
      <c r="J187" s="7" t="str">
        <f>'Ingest Template'!Q187</f>
        <v/>
      </c>
      <c r="K187" s="5" t="str">
        <f>'Ingest Template'!R187</f>
        <v/>
      </c>
      <c r="L187" s="8" t="s">
        <v>38</v>
      </c>
      <c r="M187" s="9"/>
      <c r="N187" s="5"/>
      <c r="O187" s="5"/>
      <c r="P187" s="5"/>
      <c r="Q187" s="5"/>
      <c r="R187" s="5" t="str">
        <f>'Ingest Template'!D187</f>
        <v/>
      </c>
      <c r="S187" s="5" t="str">
        <f>'Ingest Template'!G187</f>
        <v/>
      </c>
      <c r="T187" s="5" t="str">
        <f>'Ingest Template'!H187</f>
        <v/>
      </c>
      <c r="U187" s="5" t="str">
        <f>LOWER(SUBSTITUTE(SUBSTITUTE(SUBSTITUTE(SUBSTITUTE(SUBSTITUTE('Ingest Template'!I187,"https:",""),"www.",""),"/",""),"?hl=en",""),"instagram.com",""))</f>
        <v/>
      </c>
      <c r="V187" s="10" t="str">
        <f>'Ingest Template'!J187</f>
        <v/>
      </c>
      <c r="W187" s="10" t="str">
        <f>'Ingest Template'!K187</f>
        <v/>
      </c>
      <c r="X187" s="5"/>
      <c r="Y187" s="5" t="str">
        <f>SUBSTITUTE(SUBSTITUTE(SUBSTITUTE('Ingest Template'!L187,"http:",""),"https:",""),"/","")</f>
        <v/>
      </c>
      <c r="Z187" s="5" t="str">
        <f t="array" ref="Z187">IF('Ingest Template'!A187="Standard",(IF(ISBLANK('Ingest Template'!M187),"", 'Ingest Template'!M187&amp;"|DAR")),(IF(ISBLANK('Ingest Template'!M187),"", 'Ingest Template'!M187&amp;"|Operations - Core Title")))</f>
        <v/>
      </c>
      <c r="AA187" s="5"/>
      <c r="AB187" s="5" t="str">
        <f>'Ingest Template'!F187</f>
        <v/>
      </c>
      <c r="AC187" s="5"/>
      <c r="AD187" s="5"/>
      <c r="AE187" s="5"/>
      <c r="AF187" s="8"/>
      <c r="AG187" s="5" t="str">
        <f t="array" ref="AG187">IF('Ingest Template'!A187="Standard",(CONCATENATE(IF(ISBLANK('Ingest Template'!N187),"", 'Ingest Template'!N187&amp;"|DAR"),CHAR(10), IF(ISBLANK('Ingest Template'!O187),"", 'Ingest Template'!O187&amp;"|DAR"),CHAR(10), IF(ISBLANK('Ingest Template'!P187),"", 'Ingest Template'!P187&amp;"|DAR"))),(CONCATENATE(IF(ISBLANK('Ingest Template'!N187),"", 'Ingest Template'!N187&amp;"|Operations - Core Title"),CHAR(10), IF(ISBLANK('Ingest Template'!O187),"", 'Ingest Template'!O187&amp;"|Operations - Core Title"),CHAR(10), IF(ISBLANK('Ingest Template'!P187),"", 'Ingest Template'!P187&amp;"|Operations - Core Title"))))</f>
        <v>#|Operations - Core Title
</v>
      </c>
      <c r="AH187" s="5"/>
      <c r="AI187" s="5"/>
      <c r="AJ187" s="5"/>
      <c r="AK187" s="5"/>
      <c r="AL187" s="5"/>
    </row>
    <row r="188">
      <c r="A188" s="5"/>
      <c r="B188" s="5" t="str">
        <f>'Ingest Template'!B188&amp;IF('Ingest Template'!A188 = "Standard", " - DAR","")</f>
        <v/>
      </c>
      <c r="C188" s="6" t="str">
        <f>'Ingest Template'!C188</f>
        <v/>
      </c>
      <c r="D188" s="7" t="str">
        <f>'Ingest Template'!E188</f>
        <v/>
      </c>
      <c r="E188" s="5"/>
      <c r="F188" s="5"/>
      <c r="G188" s="5"/>
      <c r="H188" s="7"/>
      <c r="I188" s="5"/>
      <c r="J188" s="7" t="str">
        <f>'Ingest Template'!Q188</f>
        <v/>
      </c>
      <c r="K188" s="5" t="str">
        <f>'Ingest Template'!R188</f>
        <v/>
      </c>
      <c r="L188" s="8" t="s">
        <v>38</v>
      </c>
      <c r="M188" s="9"/>
      <c r="N188" s="5"/>
      <c r="O188" s="5"/>
      <c r="P188" s="5"/>
      <c r="Q188" s="5"/>
      <c r="R188" s="5" t="str">
        <f>'Ingest Template'!D188</f>
        <v/>
      </c>
      <c r="S188" s="5" t="str">
        <f>'Ingest Template'!G188</f>
        <v/>
      </c>
      <c r="T188" s="5" t="str">
        <f>'Ingest Template'!H188</f>
        <v/>
      </c>
      <c r="U188" s="5" t="str">
        <f>LOWER(SUBSTITUTE(SUBSTITUTE(SUBSTITUTE(SUBSTITUTE(SUBSTITUTE('Ingest Template'!I188,"https:",""),"www.",""),"/",""),"?hl=en",""),"instagram.com",""))</f>
        <v/>
      </c>
      <c r="V188" s="10" t="str">
        <f>'Ingest Template'!J188</f>
        <v/>
      </c>
      <c r="W188" s="10" t="str">
        <f>'Ingest Template'!K188</f>
        <v/>
      </c>
      <c r="X188" s="5"/>
      <c r="Y188" s="5" t="str">
        <f>SUBSTITUTE(SUBSTITUTE(SUBSTITUTE('Ingest Template'!L188,"http:",""),"https:",""),"/","")</f>
        <v/>
      </c>
      <c r="Z188" s="5" t="str">
        <f t="array" ref="Z188">IF('Ingest Template'!A188="Standard",(IF(ISBLANK('Ingest Template'!M188),"", 'Ingest Template'!M188&amp;"|DAR")),(IF(ISBLANK('Ingest Template'!M188),"", 'Ingest Template'!M188&amp;"|Operations - Core Title")))</f>
        <v/>
      </c>
      <c r="AA188" s="5"/>
      <c r="AB188" s="5" t="str">
        <f>'Ingest Template'!F188</f>
        <v/>
      </c>
      <c r="AC188" s="5"/>
      <c r="AD188" s="5"/>
      <c r="AE188" s="5"/>
      <c r="AF188" s="8"/>
      <c r="AG188" s="5" t="str">
        <f t="array" ref="AG188">IF('Ingest Template'!A188="Standard",(CONCATENATE(IF(ISBLANK('Ingest Template'!N188),"", 'Ingest Template'!N188&amp;"|DAR"),CHAR(10), IF(ISBLANK('Ingest Template'!O188),"", 'Ingest Template'!O188&amp;"|DAR"),CHAR(10), IF(ISBLANK('Ingest Template'!P188),"", 'Ingest Template'!P188&amp;"|DAR"))),(CONCATENATE(IF(ISBLANK('Ingest Template'!N188),"", 'Ingest Template'!N188&amp;"|Operations - Core Title"),CHAR(10), IF(ISBLANK('Ingest Template'!O188),"", 'Ingest Template'!O188&amp;"|Operations - Core Title"),CHAR(10), IF(ISBLANK('Ingest Template'!P188),"", 'Ingest Template'!P188&amp;"|Operations - Core Title"))))</f>
        <v>#|Operations - Core Title
</v>
      </c>
      <c r="AH188" s="5"/>
      <c r="AI188" s="5"/>
      <c r="AJ188" s="5"/>
      <c r="AK188" s="5"/>
      <c r="AL188" s="5"/>
    </row>
    <row r="189">
      <c r="A189" s="5"/>
      <c r="B189" s="5" t="str">
        <f>'Ingest Template'!B189&amp;IF('Ingest Template'!A189 = "Standard", " - DAR","")</f>
        <v/>
      </c>
      <c r="C189" s="6" t="str">
        <f>'Ingest Template'!C189</f>
        <v/>
      </c>
      <c r="D189" s="7" t="str">
        <f>'Ingest Template'!E189</f>
        <v/>
      </c>
      <c r="E189" s="5"/>
      <c r="F189" s="5"/>
      <c r="G189" s="5"/>
      <c r="H189" s="7"/>
      <c r="I189" s="5"/>
      <c r="J189" s="7" t="str">
        <f>'Ingest Template'!Q189</f>
        <v/>
      </c>
      <c r="K189" s="5" t="str">
        <f>'Ingest Template'!R189</f>
        <v/>
      </c>
      <c r="L189" s="8" t="s">
        <v>38</v>
      </c>
      <c r="M189" s="9"/>
      <c r="N189" s="5"/>
      <c r="O189" s="5"/>
      <c r="P189" s="5"/>
      <c r="Q189" s="5"/>
      <c r="R189" s="5" t="str">
        <f>'Ingest Template'!D189</f>
        <v/>
      </c>
      <c r="S189" s="5" t="str">
        <f>'Ingest Template'!G189</f>
        <v/>
      </c>
      <c r="T189" s="5" t="str">
        <f>'Ingest Template'!H189</f>
        <v/>
      </c>
      <c r="U189" s="5" t="str">
        <f>LOWER(SUBSTITUTE(SUBSTITUTE(SUBSTITUTE(SUBSTITUTE(SUBSTITUTE('Ingest Template'!I189,"https:",""),"www.",""),"/",""),"?hl=en",""),"instagram.com",""))</f>
        <v/>
      </c>
      <c r="V189" s="10" t="str">
        <f>'Ingest Template'!J189</f>
        <v/>
      </c>
      <c r="W189" s="10" t="str">
        <f>'Ingest Template'!K189</f>
        <v/>
      </c>
      <c r="X189" s="5"/>
      <c r="Y189" s="5" t="str">
        <f>SUBSTITUTE(SUBSTITUTE(SUBSTITUTE('Ingest Template'!L189,"http:",""),"https:",""),"/","")</f>
        <v/>
      </c>
      <c r="Z189" s="5" t="str">
        <f t="array" ref="Z189">IF('Ingest Template'!A189="Standard",(IF(ISBLANK('Ingest Template'!M189),"", 'Ingest Template'!M189&amp;"|DAR")),(IF(ISBLANK('Ingest Template'!M189),"", 'Ingest Template'!M189&amp;"|Operations - Core Title")))</f>
        <v/>
      </c>
      <c r="AA189" s="5"/>
      <c r="AB189" s="5" t="str">
        <f>'Ingest Template'!F189</f>
        <v/>
      </c>
      <c r="AC189" s="5"/>
      <c r="AD189" s="5"/>
      <c r="AE189" s="5"/>
      <c r="AF189" s="8"/>
      <c r="AG189" s="5" t="str">
        <f t="array" ref="AG189">IF('Ingest Template'!A189="Standard",(CONCATENATE(IF(ISBLANK('Ingest Template'!N189),"", 'Ingest Template'!N189&amp;"|DAR"),CHAR(10), IF(ISBLANK('Ingest Template'!O189),"", 'Ingest Template'!O189&amp;"|DAR"),CHAR(10), IF(ISBLANK('Ingest Template'!P189),"", 'Ingest Template'!P189&amp;"|DAR"))),(CONCATENATE(IF(ISBLANK('Ingest Template'!N189),"", 'Ingest Template'!N189&amp;"|Operations - Core Title"),CHAR(10), IF(ISBLANK('Ingest Template'!O189),"", 'Ingest Template'!O189&amp;"|Operations - Core Title"),CHAR(10), IF(ISBLANK('Ingest Template'!P189),"", 'Ingest Template'!P189&amp;"|Operations - Core Title"))))</f>
        <v>#|Operations - Core Title
</v>
      </c>
      <c r="AH189" s="5"/>
      <c r="AI189" s="5"/>
      <c r="AJ189" s="5"/>
      <c r="AK189" s="5"/>
      <c r="AL189" s="5"/>
    </row>
    <row r="190">
      <c r="A190" s="5"/>
      <c r="B190" s="5" t="str">
        <f>'Ingest Template'!B190&amp;IF('Ingest Template'!A190 = "Standard", " - DAR","")</f>
        <v/>
      </c>
      <c r="C190" s="6" t="str">
        <f>'Ingest Template'!C190</f>
        <v/>
      </c>
      <c r="D190" s="7" t="str">
        <f>'Ingest Template'!E190</f>
        <v/>
      </c>
      <c r="E190" s="5"/>
      <c r="F190" s="5"/>
      <c r="G190" s="5"/>
      <c r="H190" s="7"/>
      <c r="I190" s="5"/>
      <c r="J190" s="7" t="str">
        <f>'Ingest Template'!Q190</f>
        <v/>
      </c>
      <c r="K190" s="5" t="str">
        <f>'Ingest Template'!R190</f>
        <v/>
      </c>
      <c r="L190" s="8" t="s">
        <v>38</v>
      </c>
      <c r="M190" s="9"/>
      <c r="N190" s="5"/>
      <c r="O190" s="5"/>
      <c r="P190" s="5"/>
      <c r="Q190" s="5"/>
      <c r="R190" s="5" t="str">
        <f>'Ingest Template'!D190</f>
        <v/>
      </c>
      <c r="S190" s="5" t="str">
        <f>'Ingest Template'!G190</f>
        <v/>
      </c>
      <c r="T190" s="5" t="str">
        <f>'Ingest Template'!H190</f>
        <v/>
      </c>
      <c r="U190" s="5" t="str">
        <f>LOWER(SUBSTITUTE(SUBSTITUTE(SUBSTITUTE(SUBSTITUTE(SUBSTITUTE('Ingest Template'!I190,"https:",""),"www.",""),"/",""),"?hl=en",""),"instagram.com",""))</f>
        <v/>
      </c>
      <c r="V190" s="10" t="str">
        <f>'Ingest Template'!J190</f>
        <v/>
      </c>
      <c r="W190" s="10" t="str">
        <f>'Ingest Template'!K190</f>
        <v/>
      </c>
      <c r="X190" s="5"/>
      <c r="Y190" s="5" t="str">
        <f>SUBSTITUTE(SUBSTITUTE(SUBSTITUTE('Ingest Template'!L190,"http:",""),"https:",""),"/","")</f>
        <v/>
      </c>
      <c r="Z190" s="5" t="str">
        <f t="array" ref="Z190">IF('Ingest Template'!A190="Standard",(IF(ISBLANK('Ingest Template'!M190),"", 'Ingest Template'!M190&amp;"|DAR")),(IF(ISBLANK('Ingest Template'!M190),"", 'Ingest Template'!M190&amp;"|Operations - Core Title")))</f>
        <v/>
      </c>
      <c r="AA190" s="5"/>
      <c r="AB190" s="5" t="str">
        <f>'Ingest Template'!F190</f>
        <v/>
      </c>
      <c r="AC190" s="5"/>
      <c r="AD190" s="5"/>
      <c r="AE190" s="5"/>
      <c r="AF190" s="8"/>
      <c r="AG190" s="5" t="str">
        <f t="array" ref="AG190">IF('Ingest Template'!A190="Standard",(CONCATENATE(IF(ISBLANK('Ingest Template'!N190),"", 'Ingest Template'!N190&amp;"|DAR"),CHAR(10), IF(ISBLANK('Ingest Template'!O190),"", 'Ingest Template'!O190&amp;"|DAR"),CHAR(10), IF(ISBLANK('Ingest Template'!P190),"", 'Ingest Template'!P190&amp;"|DAR"))),(CONCATENATE(IF(ISBLANK('Ingest Template'!N190),"", 'Ingest Template'!N190&amp;"|Operations - Core Title"),CHAR(10), IF(ISBLANK('Ingest Template'!O190),"", 'Ingest Template'!O190&amp;"|Operations - Core Title"),CHAR(10), IF(ISBLANK('Ingest Template'!P190),"", 'Ingest Template'!P190&amp;"|Operations - Core Title"))))</f>
        <v>#|Operations - Core Title
</v>
      </c>
      <c r="AH190" s="5"/>
      <c r="AI190" s="5"/>
      <c r="AJ190" s="5"/>
      <c r="AK190" s="5"/>
      <c r="AL190" s="5"/>
    </row>
    <row r="191">
      <c r="A191" s="5"/>
      <c r="B191" s="5" t="str">
        <f>'Ingest Template'!B191&amp;IF('Ingest Template'!A191 = "Standard", " - DAR","")</f>
        <v/>
      </c>
      <c r="C191" s="6" t="str">
        <f>'Ingest Template'!C191</f>
        <v/>
      </c>
      <c r="D191" s="7" t="str">
        <f>'Ingest Template'!E191</f>
        <v/>
      </c>
      <c r="E191" s="5"/>
      <c r="F191" s="5"/>
      <c r="G191" s="5"/>
      <c r="H191" s="7"/>
      <c r="I191" s="5"/>
      <c r="J191" s="7" t="str">
        <f>'Ingest Template'!Q191</f>
        <v/>
      </c>
      <c r="K191" s="5" t="str">
        <f>'Ingest Template'!R191</f>
        <v/>
      </c>
      <c r="L191" s="8" t="s">
        <v>38</v>
      </c>
      <c r="M191" s="9"/>
      <c r="N191" s="5"/>
      <c r="O191" s="5"/>
      <c r="P191" s="5"/>
      <c r="Q191" s="5"/>
      <c r="R191" s="5" t="str">
        <f>'Ingest Template'!D191</f>
        <v/>
      </c>
      <c r="S191" s="5" t="str">
        <f>'Ingest Template'!G191</f>
        <v/>
      </c>
      <c r="T191" s="5" t="str">
        <f>'Ingest Template'!H191</f>
        <v/>
      </c>
      <c r="U191" s="5" t="str">
        <f>LOWER(SUBSTITUTE(SUBSTITUTE(SUBSTITUTE(SUBSTITUTE(SUBSTITUTE('Ingest Template'!I191,"https:",""),"www.",""),"/",""),"?hl=en",""),"instagram.com",""))</f>
        <v/>
      </c>
      <c r="V191" s="10" t="str">
        <f>'Ingest Template'!J191</f>
        <v/>
      </c>
      <c r="W191" s="10" t="str">
        <f>'Ingest Template'!K191</f>
        <v/>
      </c>
      <c r="X191" s="5"/>
      <c r="Y191" s="5" t="str">
        <f>SUBSTITUTE(SUBSTITUTE(SUBSTITUTE('Ingest Template'!L191,"http:",""),"https:",""),"/","")</f>
        <v/>
      </c>
      <c r="Z191" s="5" t="str">
        <f t="array" ref="Z191">IF('Ingest Template'!A191="Standard",(IF(ISBLANK('Ingest Template'!M191),"", 'Ingest Template'!M191&amp;"|DAR")),(IF(ISBLANK('Ingest Template'!M191),"", 'Ingest Template'!M191&amp;"|Operations - Core Title")))</f>
        <v/>
      </c>
      <c r="AA191" s="5"/>
      <c r="AB191" s="5" t="str">
        <f>'Ingest Template'!F191</f>
        <v/>
      </c>
      <c r="AC191" s="5"/>
      <c r="AD191" s="5"/>
      <c r="AE191" s="5"/>
      <c r="AF191" s="8"/>
      <c r="AG191" s="5" t="str">
        <f t="array" ref="AG191">IF('Ingest Template'!A191="Standard",(CONCATENATE(IF(ISBLANK('Ingest Template'!N191),"", 'Ingest Template'!N191&amp;"|DAR"),CHAR(10), IF(ISBLANK('Ingest Template'!O191),"", 'Ingest Template'!O191&amp;"|DAR"),CHAR(10), IF(ISBLANK('Ingest Template'!P191),"", 'Ingest Template'!P191&amp;"|DAR"))),(CONCATENATE(IF(ISBLANK('Ingest Template'!N191),"", 'Ingest Template'!N191&amp;"|Operations - Core Title"),CHAR(10), IF(ISBLANK('Ingest Template'!O191),"", 'Ingest Template'!O191&amp;"|Operations - Core Title"),CHAR(10), IF(ISBLANK('Ingest Template'!P191),"", 'Ingest Template'!P191&amp;"|Operations - Core Title"))))</f>
        <v>#|Operations - Core Title
</v>
      </c>
      <c r="AH191" s="5"/>
      <c r="AI191" s="5"/>
      <c r="AJ191" s="5"/>
      <c r="AK191" s="5"/>
      <c r="AL191" s="5"/>
    </row>
    <row r="192">
      <c r="A192" s="5"/>
      <c r="B192" s="5" t="str">
        <f>'Ingest Template'!B192&amp;IF('Ingest Template'!A192 = "Standard", " - DAR","")</f>
        <v/>
      </c>
      <c r="C192" s="6" t="str">
        <f>'Ingest Template'!C192</f>
        <v/>
      </c>
      <c r="D192" s="7" t="str">
        <f>'Ingest Template'!E192</f>
        <v/>
      </c>
      <c r="E192" s="5"/>
      <c r="F192" s="5"/>
      <c r="G192" s="5"/>
      <c r="H192" s="7"/>
      <c r="I192" s="5"/>
      <c r="J192" s="7" t="str">
        <f>'Ingest Template'!Q192</f>
        <v/>
      </c>
      <c r="K192" s="5" t="str">
        <f>'Ingest Template'!R192</f>
        <v/>
      </c>
      <c r="L192" s="8" t="s">
        <v>38</v>
      </c>
      <c r="M192" s="9"/>
      <c r="N192" s="5"/>
      <c r="O192" s="5"/>
      <c r="P192" s="5"/>
      <c r="Q192" s="5"/>
      <c r="R192" s="5" t="str">
        <f>'Ingest Template'!D192</f>
        <v/>
      </c>
      <c r="S192" s="5" t="str">
        <f>'Ingest Template'!G192</f>
        <v/>
      </c>
      <c r="T192" s="5" t="str">
        <f>'Ingest Template'!H192</f>
        <v/>
      </c>
      <c r="U192" s="5" t="str">
        <f>LOWER(SUBSTITUTE(SUBSTITUTE(SUBSTITUTE(SUBSTITUTE(SUBSTITUTE('Ingest Template'!I192,"https:",""),"www.",""),"/",""),"?hl=en",""),"instagram.com",""))</f>
        <v/>
      </c>
      <c r="V192" s="10" t="str">
        <f>'Ingest Template'!J192</f>
        <v/>
      </c>
      <c r="W192" s="10" t="str">
        <f>'Ingest Template'!K192</f>
        <v/>
      </c>
      <c r="X192" s="5"/>
      <c r="Y192" s="5" t="str">
        <f>SUBSTITUTE(SUBSTITUTE(SUBSTITUTE('Ingest Template'!L192,"http:",""),"https:",""),"/","")</f>
        <v/>
      </c>
      <c r="Z192" s="5" t="str">
        <f t="array" ref="Z192">IF('Ingest Template'!A192="Standard",(IF(ISBLANK('Ingest Template'!M192),"", 'Ingest Template'!M192&amp;"|DAR")),(IF(ISBLANK('Ingest Template'!M192),"", 'Ingest Template'!M192&amp;"|Operations - Core Title")))</f>
        <v/>
      </c>
      <c r="AA192" s="5"/>
      <c r="AB192" s="5" t="str">
        <f>'Ingest Template'!F192</f>
        <v/>
      </c>
      <c r="AC192" s="5"/>
      <c r="AD192" s="5"/>
      <c r="AE192" s="5"/>
      <c r="AF192" s="8"/>
      <c r="AG192" s="5" t="str">
        <f t="array" ref="AG192">IF('Ingest Template'!A192="Standard",(CONCATENATE(IF(ISBLANK('Ingest Template'!N192),"", 'Ingest Template'!N192&amp;"|DAR"),CHAR(10), IF(ISBLANK('Ingest Template'!O192),"", 'Ingest Template'!O192&amp;"|DAR"),CHAR(10), IF(ISBLANK('Ingest Template'!P192),"", 'Ingest Template'!P192&amp;"|DAR"))),(CONCATENATE(IF(ISBLANK('Ingest Template'!N192),"", 'Ingest Template'!N192&amp;"|Operations - Core Title"),CHAR(10), IF(ISBLANK('Ingest Template'!O192),"", 'Ingest Template'!O192&amp;"|Operations - Core Title"),CHAR(10), IF(ISBLANK('Ingest Template'!P192),"", 'Ingest Template'!P192&amp;"|Operations - Core Title"))))</f>
        <v>#|Operations - Core Title
</v>
      </c>
      <c r="AH192" s="5"/>
      <c r="AI192" s="5"/>
      <c r="AJ192" s="5"/>
      <c r="AK192" s="5"/>
      <c r="AL192" s="5"/>
    </row>
    <row r="193">
      <c r="A193" s="5"/>
      <c r="B193" s="5" t="str">
        <f>'Ingest Template'!B193&amp;IF('Ingest Template'!A193 = "Standard", " - DAR","")</f>
        <v/>
      </c>
      <c r="C193" s="6" t="str">
        <f>'Ingest Template'!C193</f>
        <v/>
      </c>
      <c r="D193" s="7" t="str">
        <f>'Ingest Template'!E193</f>
        <v/>
      </c>
      <c r="E193" s="5"/>
      <c r="F193" s="5"/>
      <c r="G193" s="5"/>
      <c r="H193" s="7"/>
      <c r="I193" s="5"/>
      <c r="J193" s="7" t="str">
        <f>'Ingest Template'!Q193</f>
        <v/>
      </c>
      <c r="K193" s="5" t="str">
        <f>'Ingest Template'!R193</f>
        <v/>
      </c>
      <c r="L193" s="8" t="s">
        <v>38</v>
      </c>
      <c r="M193" s="9"/>
      <c r="N193" s="5"/>
      <c r="O193" s="5"/>
      <c r="P193" s="5"/>
      <c r="Q193" s="5"/>
      <c r="R193" s="5" t="str">
        <f>'Ingest Template'!D193</f>
        <v/>
      </c>
      <c r="S193" s="5" t="str">
        <f>'Ingest Template'!G193</f>
        <v/>
      </c>
      <c r="T193" s="5" t="str">
        <f>'Ingest Template'!H193</f>
        <v/>
      </c>
      <c r="U193" s="5" t="str">
        <f>LOWER(SUBSTITUTE(SUBSTITUTE(SUBSTITUTE(SUBSTITUTE(SUBSTITUTE('Ingest Template'!I193,"https:",""),"www.",""),"/",""),"?hl=en",""),"instagram.com",""))</f>
        <v/>
      </c>
      <c r="V193" s="10" t="str">
        <f>'Ingest Template'!J193</f>
        <v/>
      </c>
      <c r="W193" s="10" t="str">
        <f>'Ingest Template'!K193</f>
        <v/>
      </c>
      <c r="X193" s="5"/>
      <c r="Y193" s="5" t="str">
        <f>SUBSTITUTE(SUBSTITUTE(SUBSTITUTE('Ingest Template'!L193,"http:",""),"https:",""),"/","")</f>
        <v/>
      </c>
      <c r="Z193" s="5" t="str">
        <f t="array" ref="Z193">IF('Ingest Template'!A193="Standard",(IF(ISBLANK('Ingest Template'!M193),"", 'Ingest Template'!M193&amp;"|DAR")),(IF(ISBLANK('Ingest Template'!M193),"", 'Ingest Template'!M193&amp;"|Operations - Core Title")))</f>
        <v/>
      </c>
      <c r="AA193" s="5"/>
      <c r="AB193" s="5" t="str">
        <f>'Ingest Template'!F193</f>
        <v/>
      </c>
      <c r="AC193" s="5"/>
      <c r="AD193" s="5"/>
      <c r="AE193" s="5"/>
      <c r="AF193" s="8"/>
      <c r="AG193" s="5" t="str">
        <f t="array" ref="AG193">IF('Ingest Template'!A193="Standard",(CONCATENATE(IF(ISBLANK('Ingest Template'!N193),"", 'Ingest Template'!N193&amp;"|DAR"),CHAR(10), IF(ISBLANK('Ingest Template'!O193),"", 'Ingest Template'!O193&amp;"|DAR"),CHAR(10), IF(ISBLANK('Ingest Template'!P193),"", 'Ingest Template'!P193&amp;"|DAR"))),(CONCATENATE(IF(ISBLANK('Ingest Template'!N193),"", 'Ingest Template'!N193&amp;"|Operations - Core Title"),CHAR(10), IF(ISBLANK('Ingest Template'!O193),"", 'Ingest Template'!O193&amp;"|Operations - Core Title"),CHAR(10), IF(ISBLANK('Ingest Template'!P193),"", 'Ingest Template'!P193&amp;"|Operations - Core Title"))))</f>
        <v>#|Operations - Core Title
</v>
      </c>
      <c r="AH193" s="5"/>
      <c r="AI193" s="5"/>
      <c r="AJ193" s="5"/>
      <c r="AK193" s="5"/>
      <c r="AL193" s="5"/>
    </row>
    <row r="194">
      <c r="A194" s="5"/>
      <c r="B194" s="5" t="str">
        <f>'Ingest Template'!B194&amp;IF('Ingest Template'!A194 = "Standard", " - DAR","")</f>
        <v/>
      </c>
      <c r="C194" s="6" t="str">
        <f>'Ingest Template'!C194</f>
        <v/>
      </c>
      <c r="D194" s="7" t="str">
        <f>'Ingest Template'!E194</f>
        <v/>
      </c>
      <c r="E194" s="5"/>
      <c r="F194" s="5"/>
      <c r="G194" s="5"/>
      <c r="H194" s="7"/>
      <c r="I194" s="5"/>
      <c r="J194" s="7" t="str">
        <f>'Ingest Template'!Q194</f>
        <v/>
      </c>
      <c r="K194" s="5" t="str">
        <f>'Ingest Template'!R194</f>
        <v/>
      </c>
      <c r="L194" s="8" t="s">
        <v>38</v>
      </c>
      <c r="M194" s="9"/>
      <c r="N194" s="5"/>
      <c r="O194" s="5"/>
      <c r="P194" s="5"/>
      <c r="Q194" s="5"/>
      <c r="R194" s="5" t="str">
        <f>'Ingest Template'!D194</f>
        <v/>
      </c>
      <c r="S194" s="5" t="str">
        <f>'Ingest Template'!G194</f>
        <v/>
      </c>
      <c r="T194" s="5" t="str">
        <f>'Ingest Template'!H194</f>
        <v/>
      </c>
      <c r="U194" s="5" t="str">
        <f>LOWER(SUBSTITUTE(SUBSTITUTE(SUBSTITUTE(SUBSTITUTE(SUBSTITUTE('Ingest Template'!I194,"https:",""),"www.",""),"/",""),"?hl=en",""),"instagram.com",""))</f>
        <v/>
      </c>
      <c r="V194" s="10" t="str">
        <f>'Ingest Template'!J194</f>
        <v/>
      </c>
      <c r="W194" s="10" t="str">
        <f>'Ingest Template'!K194</f>
        <v/>
      </c>
      <c r="X194" s="5"/>
      <c r="Y194" s="5" t="str">
        <f>SUBSTITUTE(SUBSTITUTE(SUBSTITUTE('Ingest Template'!L194,"http:",""),"https:",""),"/","")</f>
        <v/>
      </c>
      <c r="Z194" s="5" t="str">
        <f t="array" ref="Z194">IF('Ingest Template'!A194="Standard",(IF(ISBLANK('Ingest Template'!M194),"", 'Ingest Template'!M194&amp;"|DAR")),(IF(ISBLANK('Ingest Template'!M194),"", 'Ingest Template'!M194&amp;"|Operations - Core Title")))</f>
        <v/>
      </c>
      <c r="AA194" s="5"/>
      <c r="AB194" s="5" t="str">
        <f>'Ingest Template'!F194</f>
        <v/>
      </c>
      <c r="AC194" s="5"/>
      <c r="AD194" s="5"/>
      <c r="AE194" s="5"/>
      <c r="AF194" s="8"/>
      <c r="AG194" s="5" t="str">
        <f t="array" ref="AG194">IF('Ingest Template'!A194="Standard",(CONCATENATE(IF(ISBLANK('Ingest Template'!N194),"", 'Ingest Template'!N194&amp;"|DAR"),CHAR(10), IF(ISBLANK('Ingest Template'!O194),"", 'Ingest Template'!O194&amp;"|DAR"),CHAR(10), IF(ISBLANK('Ingest Template'!P194),"", 'Ingest Template'!P194&amp;"|DAR"))),(CONCATENATE(IF(ISBLANK('Ingest Template'!N194),"", 'Ingest Template'!N194&amp;"|Operations - Core Title"),CHAR(10), IF(ISBLANK('Ingest Template'!O194),"", 'Ingest Template'!O194&amp;"|Operations - Core Title"),CHAR(10), IF(ISBLANK('Ingest Template'!P194),"", 'Ingest Template'!P194&amp;"|Operations - Core Title"))))</f>
        <v>#|Operations - Core Title
</v>
      </c>
      <c r="AH194" s="5"/>
      <c r="AI194" s="5"/>
      <c r="AJ194" s="5"/>
      <c r="AK194" s="5"/>
      <c r="AL194" s="5"/>
    </row>
    <row r="195">
      <c r="A195" s="5"/>
      <c r="B195" s="5" t="str">
        <f>'Ingest Template'!B195&amp;IF('Ingest Template'!A195 = "Standard", " - DAR","")</f>
        <v/>
      </c>
      <c r="C195" s="6" t="str">
        <f>'Ingest Template'!C195</f>
        <v/>
      </c>
      <c r="D195" s="7" t="str">
        <f>'Ingest Template'!E195</f>
        <v/>
      </c>
      <c r="E195" s="5"/>
      <c r="F195" s="5"/>
      <c r="G195" s="5"/>
      <c r="H195" s="7"/>
      <c r="I195" s="5"/>
      <c r="J195" s="7" t="str">
        <f>'Ingest Template'!Q195</f>
        <v/>
      </c>
      <c r="K195" s="5" t="str">
        <f>'Ingest Template'!R195</f>
        <v/>
      </c>
      <c r="L195" s="8" t="s">
        <v>38</v>
      </c>
      <c r="M195" s="9"/>
      <c r="N195" s="5"/>
      <c r="O195" s="5"/>
      <c r="P195" s="5"/>
      <c r="Q195" s="5"/>
      <c r="R195" s="5" t="str">
        <f>'Ingest Template'!D195</f>
        <v/>
      </c>
      <c r="S195" s="5" t="str">
        <f>'Ingest Template'!G195</f>
        <v/>
      </c>
      <c r="T195" s="5" t="str">
        <f>'Ingest Template'!H195</f>
        <v/>
      </c>
      <c r="U195" s="5" t="str">
        <f>LOWER(SUBSTITUTE(SUBSTITUTE(SUBSTITUTE(SUBSTITUTE(SUBSTITUTE('Ingest Template'!I195,"https:",""),"www.",""),"/",""),"?hl=en",""),"instagram.com",""))</f>
        <v/>
      </c>
      <c r="V195" s="10" t="str">
        <f>'Ingest Template'!J195</f>
        <v/>
      </c>
      <c r="W195" s="10" t="str">
        <f>'Ingest Template'!K195</f>
        <v/>
      </c>
      <c r="X195" s="5"/>
      <c r="Y195" s="5" t="str">
        <f>SUBSTITUTE(SUBSTITUTE(SUBSTITUTE('Ingest Template'!L195,"http:",""),"https:",""),"/","")</f>
        <v/>
      </c>
      <c r="Z195" s="5" t="str">
        <f t="array" ref="Z195">IF('Ingest Template'!A195="Standard",(IF(ISBLANK('Ingest Template'!M195),"", 'Ingest Template'!M195&amp;"|DAR")),(IF(ISBLANK('Ingest Template'!M195),"", 'Ingest Template'!M195&amp;"|Operations - Core Title")))</f>
        <v/>
      </c>
      <c r="AA195" s="5"/>
      <c r="AB195" s="5" t="str">
        <f>'Ingest Template'!F195</f>
        <v/>
      </c>
      <c r="AC195" s="5"/>
      <c r="AD195" s="5"/>
      <c r="AE195" s="5"/>
      <c r="AF195" s="8"/>
      <c r="AG195" s="5" t="str">
        <f t="array" ref="AG195">IF('Ingest Template'!A195="Standard",(CONCATENATE(IF(ISBLANK('Ingest Template'!N195),"", 'Ingest Template'!N195&amp;"|DAR"),CHAR(10), IF(ISBLANK('Ingest Template'!O195),"", 'Ingest Template'!O195&amp;"|DAR"),CHAR(10), IF(ISBLANK('Ingest Template'!P195),"", 'Ingest Template'!P195&amp;"|DAR"))),(CONCATENATE(IF(ISBLANK('Ingest Template'!N195),"", 'Ingest Template'!N195&amp;"|Operations - Core Title"),CHAR(10), IF(ISBLANK('Ingest Template'!O195),"", 'Ingest Template'!O195&amp;"|Operations - Core Title"),CHAR(10), IF(ISBLANK('Ingest Template'!P195),"", 'Ingest Template'!P195&amp;"|Operations - Core Title"))))</f>
        <v>#|Operations - Core Title
</v>
      </c>
      <c r="AH195" s="5"/>
      <c r="AI195" s="5"/>
      <c r="AJ195" s="5"/>
      <c r="AK195" s="5"/>
      <c r="AL195" s="5"/>
    </row>
    <row r="196">
      <c r="A196" s="5"/>
      <c r="B196" s="5" t="str">
        <f>'Ingest Template'!B196&amp;IF('Ingest Template'!A196 = "Standard", " - DAR","")</f>
        <v/>
      </c>
      <c r="C196" s="6" t="str">
        <f>'Ingest Template'!C196</f>
        <v/>
      </c>
      <c r="D196" s="7" t="str">
        <f>'Ingest Template'!E196</f>
        <v/>
      </c>
      <c r="E196" s="5"/>
      <c r="F196" s="5"/>
      <c r="G196" s="5"/>
      <c r="H196" s="7"/>
      <c r="I196" s="5"/>
      <c r="J196" s="7" t="str">
        <f>'Ingest Template'!Q196</f>
        <v/>
      </c>
      <c r="K196" s="5" t="str">
        <f>'Ingest Template'!R196</f>
        <v/>
      </c>
      <c r="L196" s="8" t="s">
        <v>38</v>
      </c>
      <c r="M196" s="9"/>
      <c r="N196" s="5"/>
      <c r="O196" s="5"/>
      <c r="P196" s="5"/>
      <c r="Q196" s="5"/>
      <c r="R196" s="5" t="str">
        <f>'Ingest Template'!D196</f>
        <v/>
      </c>
      <c r="S196" s="5" t="str">
        <f>'Ingest Template'!G196</f>
        <v/>
      </c>
      <c r="T196" s="5" t="str">
        <f>'Ingest Template'!H196</f>
        <v/>
      </c>
      <c r="U196" s="5" t="str">
        <f>LOWER(SUBSTITUTE(SUBSTITUTE(SUBSTITUTE(SUBSTITUTE(SUBSTITUTE('Ingest Template'!I196,"https:",""),"www.",""),"/",""),"?hl=en",""),"instagram.com",""))</f>
        <v/>
      </c>
      <c r="V196" s="10" t="str">
        <f>'Ingest Template'!J196</f>
        <v/>
      </c>
      <c r="W196" s="10" t="str">
        <f>'Ingest Template'!K196</f>
        <v/>
      </c>
      <c r="X196" s="5"/>
      <c r="Y196" s="5" t="str">
        <f>SUBSTITUTE(SUBSTITUTE(SUBSTITUTE('Ingest Template'!L196,"http:",""),"https:",""),"/","")</f>
        <v/>
      </c>
      <c r="Z196" s="5" t="str">
        <f t="array" ref="Z196">IF('Ingest Template'!A196="Standard",(IF(ISBLANK('Ingest Template'!M196),"", 'Ingest Template'!M196&amp;"|DAR")),(IF(ISBLANK('Ingest Template'!M196),"", 'Ingest Template'!M196&amp;"|Operations - Core Title")))</f>
        <v/>
      </c>
      <c r="AA196" s="5"/>
      <c r="AB196" s="5" t="str">
        <f>'Ingest Template'!F196</f>
        <v/>
      </c>
      <c r="AC196" s="5"/>
      <c r="AD196" s="5"/>
      <c r="AE196" s="5"/>
      <c r="AF196" s="8"/>
      <c r="AG196" s="5" t="str">
        <f t="array" ref="AG196">IF('Ingest Template'!A196="Standard",(CONCATENATE(IF(ISBLANK('Ingest Template'!N196),"", 'Ingest Template'!N196&amp;"|DAR"),CHAR(10), IF(ISBLANK('Ingest Template'!O196),"", 'Ingest Template'!O196&amp;"|DAR"),CHAR(10), IF(ISBLANK('Ingest Template'!P196),"", 'Ingest Template'!P196&amp;"|DAR"))),(CONCATENATE(IF(ISBLANK('Ingest Template'!N196),"", 'Ingest Template'!N196&amp;"|Operations - Core Title"),CHAR(10), IF(ISBLANK('Ingest Template'!O196),"", 'Ingest Template'!O196&amp;"|Operations - Core Title"),CHAR(10), IF(ISBLANK('Ingest Template'!P196),"", 'Ingest Template'!P196&amp;"|Operations - Core Title"))))</f>
        <v>#|Operations - Core Title
</v>
      </c>
      <c r="AH196" s="5"/>
      <c r="AI196" s="5"/>
      <c r="AJ196" s="5"/>
      <c r="AK196" s="5"/>
      <c r="AL196" s="5"/>
    </row>
    <row r="197">
      <c r="A197" s="5"/>
      <c r="B197" s="5" t="str">
        <f>'Ingest Template'!B197&amp;IF('Ingest Template'!A197 = "Standard", " - DAR","")</f>
        <v/>
      </c>
      <c r="C197" s="6" t="str">
        <f>'Ingest Template'!C197</f>
        <v/>
      </c>
      <c r="D197" s="7" t="str">
        <f>'Ingest Template'!E197</f>
        <v/>
      </c>
      <c r="E197" s="5"/>
      <c r="F197" s="5"/>
      <c r="G197" s="5"/>
      <c r="H197" s="7"/>
      <c r="I197" s="5"/>
      <c r="J197" s="7" t="str">
        <f>'Ingest Template'!Q197</f>
        <v/>
      </c>
      <c r="K197" s="5" t="str">
        <f>'Ingest Template'!R197</f>
        <v/>
      </c>
      <c r="L197" s="8" t="s">
        <v>38</v>
      </c>
      <c r="M197" s="9"/>
      <c r="N197" s="5"/>
      <c r="O197" s="5"/>
      <c r="P197" s="5"/>
      <c r="Q197" s="5"/>
      <c r="R197" s="5" t="str">
        <f>'Ingest Template'!D197</f>
        <v/>
      </c>
      <c r="S197" s="5" t="str">
        <f>'Ingest Template'!G197</f>
        <v/>
      </c>
      <c r="T197" s="5" t="str">
        <f>'Ingest Template'!H197</f>
        <v/>
      </c>
      <c r="U197" s="5" t="str">
        <f>LOWER(SUBSTITUTE(SUBSTITUTE(SUBSTITUTE(SUBSTITUTE(SUBSTITUTE('Ingest Template'!I197,"https:",""),"www.",""),"/",""),"?hl=en",""),"instagram.com",""))</f>
        <v/>
      </c>
      <c r="V197" s="10" t="str">
        <f>'Ingest Template'!J197</f>
        <v/>
      </c>
      <c r="W197" s="10" t="str">
        <f>'Ingest Template'!K197</f>
        <v/>
      </c>
      <c r="X197" s="5"/>
      <c r="Y197" s="5" t="str">
        <f>SUBSTITUTE(SUBSTITUTE(SUBSTITUTE('Ingest Template'!L197,"http:",""),"https:",""),"/","")</f>
        <v/>
      </c>
      <c r="Z197" s="5" t="str">
        <f t="array" ref="Z197">IF('Ingest Template'!A197="Standard",(IF(ISBLANK('Ingest Template'!M197),"", 'Ingest Template'!M197&amp;"|DAR")),(IF(ISBLANK('Ingest Template'!M197),"", 'Ingest Template'!M197&amp;"|Operations - Core Title")))</f>
        <v/>
      </c>
      <c r="AA197" s="5"/>
      <c r="AB197" s="5" t="str">
        <f>'Ingest Template'!F197</f>
        <v/>
      </c>
      <c r="AC197" s="5"/>
      <c r="AD197" s="5"/>
      <c r="AE197" s="5"/>
      <c r="AF197" s="8"/>
      <c r="AG197" s="5" t="str">
        <f t="array" ref="AG197">IF('Ingest Template'!A197="Standard",(CONCATENATE(IF(ISBLANK('Ingest Template'!N197),"", 'Ingest Template'!N197&amp;"|DAR"),CHAR(10), IF(ISBLANK('Ingest Template'!O197),"", 'Ingest Template'!O197&amp;"|DAR"),CHAR(10), IF(ISBLANK('Ingest Template'!P197),"", 'Ingest Template'!P197&amp;"|DAR"))),(CONCATENATE(IF(ISBLANK('Ingest Template'!N197),"", 'Ingest Template'!N197&amp;"|Operations - Core Title"),CHAR(10), IF(ISBLANK('Ingest Template'!O197),"", 'Ingest Template'!O197&amp;"|Operations - Core Title"),CHAR(10), IF(ISBLANK('Ingest Template'!P197),"", 'Ingest Template'!P197&amp;"|Operations - Core Title"))))</f>
        <v>#|Operations - Core Title
</v>
      </c>
      <c r="AH197" s="5"/>
      <c r="AI197" s="5"/>
      <c r="AJ197" s="5"/>
      <c r="AK197" s="5"/>
      <c r="AL197" s="5"/>
    </row>
    <row r="198">
      <c r="A198" s="5"/>
      <c r="B198" s="5" t="str">
        <f>'Ingest Template'!B198&amp;IF('Ingest Template'!A198 = "Standard", " - DAR","")</f>
        <v/>
      </c>
      <c r="C198" s="6" t="str">
        <f>'Ingest Template'!C198</f>
        <v/>
      </c>
      <c r="D198" s="7" t="str">
        <f>'Ingest Template'!E198</f>
        <v/>
      </c>
      <c r="E198" s="5"/>
      <c r="F198" s="5"/>
      <c r="G198" s="5"/>
      <c r="H198" s="7"/>
      <c r="I198" s="5"/>
      <c r="J198" s="7" t="str">
        <f>'Ingest Template'!Q198</f>
        <v/>
      </c>
      <c r="K198" s="5" t="str">
        <f>'Ingest Template'!R198</f>
        <v/>
      </c>
      <c r="L198" s="8" t="s">
        <v>38</v>
      </c>
      <c r="M198" s="9"/>
      <c r="N198" s="5"/>
      <c r="O198" s="5"/>
      <c r="P198" s="5"/>
      <c r="Q198" s="5"/>
      <c r="R198" s="5" t="str">
        <f>'Ingest Template'!D198</f>
        <v/>
      </c>
      <c r="S198" s="5" t="str">
        <f>'Ingest Template'!G198</f>
        <v/>
      </c>
      <c r="T198" s="5" t="str">
        <f>'Ingest Template'!H198</f>
        <v/>
      </c>
      <c r="U198" s="5" t="str">
        <f>LOWER(SUBSTITUTE(SUBSTITUTE(SUBSTITUTE(SUBSTITUTE(SUBSTITUTE('Ingest Template'!I198,"https:",""),"www.",""),"/",""),"?hl=en",""),"instagram.com",""))</f>
        <v/>
      </c>
      <c r="V198" s="10" t="str">
        <f>'Ingest Template'!J198</f>
        <v/>
      </c>
      <c r="W198" s="10" t="str">
        <f>'Ingest Template'!K198</f>
        <v/>
      </c>
      <c r="X198" s="5"/>
      <c r="Y198" s="5" t="str">
        <f>SUBSTITUTE(SUBSTITUTE(SUBSTITUTE('Ingest Template'!L198,"http:",""),"https:",""),"/","")</f>
        <v/>
      </c>
      <c r="Z198" s="5" t="str">
        <f t="array" ref="Z198">IF('Ingest Template'!A198="Standard",(IF(ISBLANK('Ingest Template'!M198),"", 'Ingest Template'!M198&amp;"|DAR")),(IF(ISBLANK('Ingest Template'!M198),"", 'Ingest Template'!M198&amp;"|Operations - Core Title")))</f>
        <v/>
      </c>
      <c r="AA198" s="5"/>
      <c r="AB198" s="5" t="str">
        <f>'Ingest Template'!F198</f>
        <v/>
      </c>
      <c r="AC198" s="5"/>
      <c r="AD198" s="5"/>
      <c r="AE198" s="5"/>
      <c r="AF198" s="8"/>
      <c r="AG198" s="5" t="str">
        <f t="array" ref="AG198">IF('Ingest Template'!A198="Standard",(CONCATENATE(IF(ISBLANK('Ingest Template'!N198),"", 'Ingest Template'!N198&amp;"|DAR"),CHAR(10), IF(ISBLANK('Ingest Template'!O198),"", 'Ingest Template'!O198&amp;"|DAR"),CHAR(10), IF(ISBLANK('Ingest Template'!P198),"", 'Ingest Template'!P198&amp;"|DAR"))),(CONCATENATE(IF(ISBLANK('Ingest Template'!N198),"", 'Ingest Template'!N198&amp;"|Operations - Core Title"),CHAR(10), IF(ISBLANK('Ingest Template'!O198),"", 'Ingest Template'!O198&amp;"|Operations - Core Title"),CHAR(10), IF(ISBLANK('Ingest Template'!P198),"", 'Ingest Template'!P198&amp;"|Operations - Core Title"))))</f>
        <v>#|Operations - Core Title
</v>
      </c>
      <c r="AH198" s="5"/>
      <c r="AI198" s="5"/>
      <c r="AJ198" s="5"/>
      <c r="AK198" s="5"/>
      <c r="AL198" s="5"/>
    </row>
    <row r="199">
      <c r="A199" s="5"/>
      <c r="B199" s="5" t="str">
        <f>'Ingest Template'!B199&amp;IF('Ingest Template'!A199 = "Standard", " - DAR","")</f>
        <v/>
      </c>
      <c r="C199" s="6" t="str">
        <f>'Ingest Template'!C199</f>
        <v/>
      </c>
      <c r="D199" s="7" t="str">
        <f>'Ingest Template'!E199</f>
        <v/>
      </c>
      <c r="E199" s="5"/>
      <c r="F199" s="5"/>
      <c r="G199" s="5"/>
      <c r="H199" s="7"/>
      <c r="I199" s="5"/>
      <c r="J199" s="7" t="str">
        <f>'Ingest Template'!Q199</f>
        <v/>
      </c>
      <c r="K199" s="5" t="str">
        <f>'Ingest Template'!R199</f>
        <v/>
      </c>
      <c r="L199" s="8" t="s">
        <v>38</v>
      </c>
      <c r="M199" s="9"/>
      <c r="N199" s="5"/>
      <c r="O199" s="5"/>
      <c r="P199" s="5"/>
      <c r="Q199" s="5"/>
      <c r="R199" s="5" t="str">
        <f>'Ingest Template'!D199</f>
        <v/>
      </c>
      <c r="S199" s="5" t="str">
        <f>'Ingest Template'!G199</f>
        <v/>
      </c>
      <c r="T199" s="5" t="str">
        <f>'Ingest Template'!H199</f>
        <v/>
      </c>
      <c r="U199" s="5" t="str">
        <f>LOWER(SUBSTITUTE(SUBSTITUTE(SUBSTITUTE(SUBSTITUTE(SUBSTITUTE('Ingest Template'!I199,"https:",""),"www.",""),"/",""),"?hl=en",""),"instagram.com",""))</f>
        <v/>
      </c>
      <c r="V199" s="10" t="str">
        <f>'Ingest Template'!J199</f>
        <v/>
      </c>
      <c r="W199" s="10" t="str">
        <f>'Ingest Template'!K199</f>
        <v/>
      </c>
      <c r="X199" s="5"/>
      <c r="Y199" s="5" t="str">
        <f>SUBSTITUTE(SUBSTITUTE(SUBSTITUTE('Ingest Template'!L199,"http:",""),"https:",""),"/","")</f>
        <v/>
      </c>
      <c r="Z199" s="5" t="str">
        <f t="array" ref="Z199">IF('Ingest Template'!A199="Standard",(IF(ISBLANK('Ingest Template'!M199),"", 'Ingest Template'!M199&amp;"|DAR")),(IF(ISBLANK('Ingest Template'!M199),"", 'Ingest Template'!M199&amp;"|Operations - Core Title")))</f>
        <v/>
      </c>
      <c r="AA199" s="5"/>
      <c r="AB199" s="5" t="str">
        <f>'Ingest Template'!F199</f>
        <v/>
      </c>
      <c r="AC199" s="5"/>
      <c r="AD199" s="5"/>
      <c r="AE199" s="5"/>
      <c r="AF199" s="8"/>
      <c r="AG199" s="5" t="str">
        <f t="array" ref="AG199">IF('Ingest Template'!A199="Standard",(CONCATENATE(IF(ISBLANK('Ingest Template'!N199),"", 'Ingest Template'!N199&amp;"|DAR"),CHAR(10), IF(ISBLANK('Ingest Template'!O199),"", 'Ingest Template'!O199&amp;"|DAR"),CHAR(10), IF(ISBLANK('Ingest Template'!P199),"", 'Ingest Template'!P199&amp;"|DAR"))),(CONCATENATE(IF(ISBLANK('Ingest Template'!N199),"", 'Ingest Template'!N199&amp;"|Operations - Core Title"),CHAR(10), IF(ISBLANK('Ingest Template'!O199),"", 'Ingest Template'!O199&amp;"|Operations - Core Title"),CHAR(10), IF(ISBLANK('Ingest Template'!P199),"", 'Ingest Template'!P199&amp;"|Operations - Core Title"))))</f>
        <v>#|Operations - Core Title
</v>
      </c>
      <c r="AH199" s="5"/>
      <c r="AI199" s="5"/>
      <c r="AJ199" s="5"/>
      <c r="AK199" s="5"/>
      <c r="AL199" s="5"/>
    </row>
    <row r="200">
      <c r="A200" s="5"/>
      <c r="B200" s="5" t="str">
        <f>'Ingest Template'!B200&amp;IF('Ingest Template'!A200 = "Standard", " - DAR","")</f>
        <v/>
      </c>
      <c r="C200" s="6" t="str">
        <f>'Ingest Template'!C200</f>
        <v/>
      </c>
      <c r="D200" s="7" t="str">
        <f>'Ingest Template'!E200</f>
        <v/>
      </c>
      <c r="E200" s="5"/>
      <c r="F200" s="5"/>
      <c r="G200" s="5"/>
      <c r="H200" s="7"/>
      <c r="I200" s="5"/>
      <c r="J200" s="7" t="str">
        <f>'Ingest Template'!Q200</f>
        <v/>
      </c>
      <c r="K200" s="5" t="str">
        <f>'Ingest Template'!R200</f>
        <v/>
      </c>
      <c r="L200" s="8" t="s">
        <v>38</v>
      </c>
      <c r="M200" s="9"/>
      <c r="N200" s="5"/>
      <c r="O200" s="5"/>
      <c r="P200" s="5"/>
      <c r="Q200" s="5"/>
      <c r="R200" s="5" t="str">
        <f>'Ingest Template'!D200</f>
        <v/>
      </c>
      <c r="S200" s="5" t="str">
        <f>'Ingest Template'!G200</f>
        <v/>
      </c>
      <c r="T200" s="5" t="str">
        <f>'Ingest Template'!H200</f>
        <v/>
      </c>
      <c r="U200" s="5" t="str">
        <f>LOWER(SUBSTITUTE(SUBSTITUTE(SUBSTITUTE(SUBSTITUTE(SUBSTITUTE('Ingest Template'!I200,"https:",""),"www.",""),"/",""),"?hl=en",""),"instagram.com",""))</f>
        <v/>
      </c>
      <c r="V200" s="10" t="str">
        <f>'Ingest Template'!J200</f>
        <v/>
      </c>
      <c r="W200" s="10" t="str">
        <f>'Ingest Template'!K200</f>
        <v/>
      </c>
      <c r="X200" s="5"/>
      <c r="Y200" s="5" t="str">
        <f>SUBSTITUTE(SUBSTITUTE(SUBSTITUTE('Ingest Template'!L200,"http:",""),"https:",""),"/","")</f>
        <v/>
      </c>
      <c r="Z200" s="5" t="str">
        <f t="array" ref="Z200">IF('Ingest Template'!A200="Standard",(IF(ISBLANK('Ingest Template'!M200),"", 'Ingest Template'!M200&amp;"|DAR")),(IF(ISBLANK('Ingest Template'!M200),"", 'Ingest Template'!M200&amp;"|Operations - Core Title")))</f>
        <v/>
      </c>
      <c r="AA200" s="5"/>
      <c r="AB200" s="5" t="str">
        <f>'Ingest Template'!F200</f>
        <v/>
      </c>
      <c r="AC200" s="5"/>
      <c r="AD200" s="5"/>
      <c r="AE200" s="5"/>
      <c r="AF200" s="8"/>
      <c r="AG200" s="5" t="str">
        <f t="array" ref="AG200">IF('Ingest Template'!A200="Standard",(CONCATENATE(IF(ISBLANK('Ingest Template'!N200),"", 'Ingest Template'!N200&amp;"|DAR"),CHAR(10), IF(ISBLANK('Ingest Template'!O200),"", 'Ingest Template'!O200&amp;"|DAR"),CHAR(10), IF(ISBLANK('Ingest Template'!P200),"", 'Ingest Template'!P200&amp;"|DAR"))),(CONCATENATE(IF(ISBLANK('Ingest Template'!N200),"", 'Ingest Template'!N200&amp;"|Operations - Core Title"),CHAR(10), IF(ISBLANK('Ingest Template'!O200),"", 'Ingest Template'!O200&amp;"|Operations - Core Title"),CHAR(10), IF(ISBLANK('Ingest Template'!P200),"", 'Ingest Template'!P200&amp;"|Operations - Core Title"))))</f>
        <v>#|Operations - Core Title
</v>
      </c>
      <c r="AH200" s="5"/>
      <c r="AI200" s="5"/>
      <c r="AJ200" s="5"/>
      <c r="AK200" s="5"/>
      <c r="AL200" s="5"/>
    </row>
    <row r="201">
      <c r="A201" s="5"/>
      <c r="B201" s="5" t="str">
        <f>'Ingest Template'!B201&amp;IF('Ingest Template'!A201 = "Standard", " - DAR","")</f>
        <v/>
      </c>
      <c r="C201" s="6" t="str">
        <f>'Ingest Template'!C201</f>
        <v/>
      </c>
      <c r="D201" s="7" t="str">
        <f>'Ingest Template'!E201</f>
        <v/>
      </c>
      <c r="E201" s="5"/>
      <c r="F201" s="5"/>
      <c r="G201" s="5"/>
      <c r="H201" s="7"/>
      <c r="I201" s="5"/>
      <c r="J201" s="7" t="str">
        <f>'Ingest Template'!Q201</f>
        <v/>
      </c>
      <c r="K201" s="5" t="str">
        <f>'Ingest Template'!R201</f>
        <v/>
      </c>
      <c r="L201" s="8" t="s">
        <v>38</v>
      </c>
      <c r="M201" s="9"/>
      <c r="N201" s="5"/>
      <c r="O201" s="5"/>
      <c r="P201" s="5"/>
      <c r="Q201" s="5"/>
      <c r="R201" s="5" t="str">
        <f>'Ingest Template'!D201</f>
        <v/>
      </c>
      <c r="S201" s="5" t="str">
        <f>'Ingest Template'!G201</f>
        <v/>
      </c>
      <c r="T201" s="5" t="str">
        <f>'Ingest Template'!H201</f>
        <v/>
      </c>
      <c r="U201" s="5" t="str">
        <f>LOWER(SUBSTITUTE(SUBSTITUTE(SUBSTITUTE(SUBSTITUTE(SUBSTITUTE('Ingest Template'!I201,"https:",""),"www.",""),"/",""),"?hl=en",""),"instagram.com",""))</f>
        <v/>
      </c>
      <c r="V201" s="10" t="str">
        <f>'Ingest Template'!J201</f>
        <v/>
      </c>
      <c r="W201" s="10" t="str">
        <f>'Ingest Template'!K201</f>
        <v/>
      </c>
      <c r="X201" s="5"/>
      <c r="Y201" s="5" t="str">
        <f>SUBSTITUTE(SUBSTITUTE(SUBSTITUTE('Ingest Template'!L201,"http:",""),"https:",""),"/","")</f>
        <v/>
      </c>
      <c r="Z201" s="5" t="str">
        <f t="array" ref="Z201">IF('Ingest Template'!A201="Standard",(IF(ISBLANK('Ingest Template'!M201),"", 'Ingest Template'!M201&amp;"|DAR")),(IF(ISBLANK('Ingest Template'!M201),"", 'Ingest Template'!M201&amp;"|Operations - Core Title")))</f>
        <v/>
      </c>
      <c r="AA201" s="5"/>
      <c r="AB201" s="5" t="str">
        <f>'Ingest Template'!F201</f>
        <v/>
      </c>
      <c r="AC201" s="5"/>
      <c r="AD201" s="5"/>
      <c r="AE201" s="5"/>
      <c r="AF201" s="8"/>
      <c r="AG201" s="5" t="str">
        <f t="array" ref="AG201">IF('Ingest Template'!A201="Standard",(CONCATENATE(IF(ISBLANK('Ingest Template'!N201),"", 'Ingest Template'!N201&amp;"|DAR"),CHAR(10), IF(ISBLANK('Ingest Template'!O201),"", 'Ingest Template'!O201&amp;"|DAR"),CHAR(10), IF(ISBLANK('Ingest Template'!P201),"", 'Ingest Template'!P201&amp;"|DAR"))),(CONCATENATE(IF(ISBLANK('Ingest Template'!N201),"", 'Ingest Template'!N201&amp;"|Operations - Core Title"),CHAR(10), IF(ISBLANK('Ingest Template'!O201),"", 'Ingest Template'!O201&amp;"|Operations - Core Title"),CHAR(10), IF(ISBLANK('Ingest Template'!P201),"", 'Ingest Template'!P201&amp;"|Operations - Core Title"))))</f>
        <v>#|Operations - Core Title
</v>
      </c>
      <c r="AH201" s="5"/>
      <c r="AI201" s="5"/>
      <c r="AJ201" s="5"/>
      <c r="AK201" s="5"/>
      <c r="AL201" s="5"/>
    </row>
    <row r="202">
      <c r="A202" s="5"/>
      <c r="B202" s="5" t="str">
        <f>'Ingest Template'!B202&amp;IF('Ingest Template'!A202 = "Standard", " - DAR","")</f>
        <v/>
      </c>
      <c r="C202" s="6" t="str">
        <f>'Ingest Template'!C202</f>
        <v/>
      </c>
      <c r="D202" s="7" t="str">
        <f>'Ingest Template'!E202</f>
        <v/>
      </c>
      <c r="E202" s="5"/>
      <c r="F202" s="5"/>
      <c r="G202" s="5"/>
      <c r="H202" s="7"/>
      <c r="I202" s="5"/>
      <c r="J202" s="7" t="str">
        <f>'Ingest Template'!Q202</f>
        <v/>
      </c>
      <c r="K202" s="5" t="str">
        <f>'Ingest Template'!R202</f>
        <v/>
      </c>
      <c r="L202" s="8" t="s">
        <v>38</v>
      </c>
      <c r="M202" s="9"/>
      <c r="N202" s="5"/>
      <c r="O202" s="5"/>
      <c r="P202" s="5"/>
      <c r="Q202" s="5"/>
      <c r="R202" s="5" t="str">
        <f>'Ingest Template'!D202</f>
        <v/>
      </c>
      <c r="S202" s="5" t="str">
        <f>'Ingest Template'!G202</f>
        <v/>
      </c>
      <c r="T202" s="5" t="str">
        <f>'Ingest Template'!H202</f>
        <v/>
      </c>
      <c r="U202" s="5" t="str">
        <f>LOWER(SUBSTITUTE(SUBSTITUTE(SUBSTITUTE(SUBSTITUTE(SUBSTITUTE('Ingest Template'!I202,"https:",""),"www.",""),"/",""),"?hl=en",""),"instagram.com",""))</f>
        <v/>
      </c>
      <c r="V202" s="10" t="str">
        <f>'Ingest Template'!J202</f>
        <v/>
      </c>
      <c r="W202" s="10" t="str">
        <f>'Ingest Template'!K202</f>
        <v/>
      </c>
      <c r="X202" s="5"/>
      <c r="Y202" s="5" t="str">
        <f>SUBSTITUTE(SUBSTITUTE(SUBSTITUTE('Ingest Template'!L202,"http:",""),"https:",""),"/","")</f>
        <v/>
      </c>
      <c r="Z202" s="5" t="str">
        <f t="array" ref="Z202">IF('Ingest Template'!A202="Standard",(IF(ISBLANK('Ingest Template'!M202),"", 'Ingest Template'!M202&amp;"|DAR")),(IF(ISBLANK('Ingest Template'!M202),"", 'Ingest Template'!M202&amp;"|Operations - Core Title")))</f>
        <v/>
      </c>
      <c r="AA202" s="5"/>
      <c r="AB202" s="5" t="str">
        <f>'Ingest Template'!F202</f>
        <v/>
      </c>
      <c r="AC202" s="5"/>
      <c r="AD202" s="5"/>
      <c r="AE202" s="5"/>
      <c r="AF202" s="8"/>
      <c r="AG202" s="5" t="str">
        <f t="array" ref="AG202">IF('Ingest Template'!A202="Standard",(CONCATENATE(IF(ISBLANK('Ingest Template'!N202),"", 'Ingest Template'!N202&amp;"|DAR"),CHAR(10), IF(ISBLANK('Ingest Template'!O202),"", 'Ingest Template'!O202&amp;"|DAR"),CHAR(10), IF(ISBLANK('Ingest Template'!P202),"", 'Ingest Template'!P202&amp;"|DAR"))),(CONCATENATE(IF(ISBLANK('Ingest Template'!N202),"", 'Ingest Template'!N202&amp;"|Operations - Core Title"),CHAR(10), IF(ISBLANK('Ingest Template'!O202),"", 'Ingest Template'!O202&amp;"|Operations - Core Title"),CHAR(10), IF(ISBLANK('Ingest Template'!P202),"", 'Ingest Template'!P202&amp;"|Operations - Core Title"))))</f>
        <v>#|Operations - Core Title
</v>
      </c>
      <c r="AH202" s="5"/>
      <c r="AI202" s="5"/>
      <c r="AJ202" s="5"/>
      <c r="AK202" s="5"/>
      <c r="AL202" s="5"/>
    </row>
    <row r="203">
      <c r="A203" s="5"/>
      <c r="B203" s="5" t="str">
        <f>'Ingest Template'!B203&amp;IF('Ingest Template'!A203 = "Standard", " - DAR","")</f>
        <v/>
      </c>
      <c r="C203" s="6" t="str">
        <f>'Ingest Template'!C203</f>
        <v/>
      </c>
      <c r="D203" s="7" t="str">
        <f>'Ingest Template'!E203</f>
        <v/>
      </c>
      <c r="E203" s="5"/>
      <c r="F203" s="5"/>
      <c r="G203" s="5"/>
      <c r="H203" s="7"/>
      <c r="I203" s="5"/>
      <c r="J203" s="7" t="str">
        <f>'Ingest Template'!Q203</f>
        <v/>
      </c>
      <c r="K203" s="5" t="str">
        <f>'Ingest Template'!R203</f>
        <v/>
      </c>
      <c r="L203" s="8" t="s">
        <v>38</v>
      </c>
      <c r="M203" s="9"/>
      <c r="N203" s="5"/>
      <c r="O203" s="5"/>
      <c r="P203" s="5"/>
      <c r="Q203" s="5"/>
      <c r="R203" s="5" t="str">
        <f>'Ingest Template'!D203</f>
        <v/>
      </c>
      <c r="S203" s="5" t="str">
        <f>'Ingest Template'!G203</f>
        <v/>
      </c>
      <c r="T203" s="5" t="str">
        <f>'Ingest Template'!H203</f>
        <v/>
      </c>
      <c r="U203" s="5" t="str">
        <f>LOWER(SUBSTITUTE(SUBSTITUTE(SUBSTITUTE(SUBSTITUTE(SUBSTITUTE('Ingest Template'!I203,"https:",""),"www.",""),"/",""),"?hl=en",""),"instagram.com",""))</f>
        <v/>
      </c>
      <c r="V203" s="10" t="str">
        <f>'Ingest Template'!J203</f>
        <v/>
      </c>
      <c r="W203" s="10" t="str">
        <f>'Ingest Template'!K203</f>
        <v/>
      </c>
      <c r="X203" s="5"/>
      <c r="Y203" s="5" t="str">
        <f>SUBSTITUTE(SUBSTITUTE(SUBSTITUTE('Ingest Template'!L203,"http:",""),"https:",""),"/","")</f>
        <v/>
      </c>
      <c r="Z203" s="5" t="str">
        <f t="array" ref="Z203">IF('Ingest Template'!A203="Standard",(IF(ISBLANK('Ingest Template'!M203),"", 'Ingest Template'!M203&amp;"|DAR")),(IF(ISBLANK('Ingest Template'!M203),"", 'Ingest Template'!M203&amp;"|Operations - Core Title")))</f>
        <v/>
      </c>
      <c r="AA203" s="5"/>
      <c r="AB203" s="5" t="str">
        <f>'Ingest Template'!F203</f>
        <v/>
      </c>
      <c r="AC203" s="5"/>
      <c r="AD203" s="5"/>
      <c r="AE203" s="5"/>
      <c r="AF203" s="8"/>
      <c r="AG203" s="5" t="str">
        <f t="array" ref="AG203">IF('Ingest Template'!A203="Standard",(CONCATENATE(IF(ISBLANK('Ingest Template'!N203),"", 'Ingest Template'!N203&amp;"|DAR"),CHAR(10), IF(ISBLANK('Ingest Template'!O203),"", 'Ingest Template'!O203&amp;"|DAR"),CHAR(10), IF(ISBLANK('Ingest Template'!P203),"", 'Ingest Template'!P203&amp;"|DAR"))),(CONCATENATE(IF(ISBLANK('Ingest Template'!N203),"", 'Ingest Template'!N203&amp;"|Operations - Core Title"),CHAR(10), IF(ISBLANK('Ingest Template'!O203),"", 'Ingest Template'!O203&amp;"|Operations - Core Title"),CHAR(10), IF(ISBLANK('Ingest Template'!P203),"", 'Ingest Template'!P203&amp;"|Operations - Core Title"))))</f>
        <v>#|Operations - Core Title
</v>
      </c>
      <c r="AH203" s="5"/>
      <c r="AI203" s="5"/>
      <c r="AJ203" s="5"/>
      <c r="AK203" s="5"/>
      <c r="AL203" s="5"/>
    </row>
    <row r="204">
      <c r="A204" s="5"/>
      <c r="B204" s="5" t="str">
        <f>'Ingest Template'!B204&amp;IF('Ingest Template'!A204 = "Standard", " - DAR","")</f>
        <v/>
      </c>
      <c r="C204" s="6" t="str">
        <f>'Ingest Template'!C204</f>
        <v/>
      </c>
      <c r="D204" s="7" t="str">
        <f>'Ingest Template'!E204</f>
        <v/>
      </c>
      <c r="E204" s="5"/>
      <c r="F204" s="5"/>
      <c r="G204" s="5"/>
      <c r="H204" s="7"/>
      <c r="I204" s="5"/>
      <c r="J204" s="7" t="str">
        <f>'Ingest Template'!Q204</f>
        <v/>
      </c>
      <c r="K204" s="5" t="str">
        <f>'Ingest Template'!R204</f>
        <v/>
      </c>
      <c r="L204" s="8" t="s">
        <v>38</v>
      </c>
      <c r="M204" s="9"/>
      <c r="N204" s="5"/>
      <c r="O204" s="5"/>
      <c r="P204" s="5"/>
      <c r="Q204" s="5"/>
      <c r="R204" s="5" t="str">
        <f>'Ingest Template'!D204</f>
        <v/>
      </c>
      <c r="S204" s="5" t="str">
        <f>'Ingest Template'!G204</f>
        <v/>
      </c>
      <c r="T204" s="5" t="str">
        <f>'Ingest Template'!H204</f>
        <v/>
      </c>
      <c r="U204" s="5" t="str">
        <f>LOWER(SUBSTITUTE(SUBSTITUTE(SUBSTITUTE(SUBSTITUTE(SUBSTITUTE('Ingest Template'!I204,"https:",""),"www.",""),"/",""),"?hl=en",""),"instagram.com",""))</f>
        <v/>
      </c>
      <c r="V204" s="10" t="str">
        <f>'Ingest Template'!J204</f>
        <v/>
      </c>
      <c r="W204" s="10" t="str">
        <f>'Ingest Template'!K204</f>
        <v/>
      </c>
      <c r="X204" s="5"/>
      <c r="Y204" s="5" t="str">
        <f>SUBSTITUTE(SUBSTITUTE(SUBSTITUTE('Ingest Template'!L204,"http:",""),"https:",""),"/","")</f>
        <v/>
      </c>
      <c r="Z204" s="5" t="str">
        <f t="array" ref="Z204">IF('Ingest Template'!A204="Standard",(IF(ISBLANK('Ingest Template'!M204),"", 'Ingest Template'!M204&amp;"|DAR")),(IF(ISBLANK('Ingest Template'!M204),"", 'Ingest Template'!M204&amp;"|Operations - Core Title")))</f>
        <v/>
      </c>
      <c r="AA204" s="5"/>
      <c r="AB204" s="5" t="str">
        <f>'Ingest Template'!F204</f>
        <v/>
      </c>
      <c r="AC204" s="5"/>
      <c r="AD204" s="5"/>
      <c r="AE204" s="5"/>
      <c r="AF204" s="8"/>
      <c r="AG204" s="5" t="str">
        <f t="array" ref="AG204">IF('Ingest Template'!A204="Standard",(CONCATENATE(IF(ISBLANK('Ingest Template'!N204),"", 'Ingest Template'!N204&amp;"|DAR"),CHAR(10), IF(ISBLANK('Ingest Template'!O204),"", 'Ingest Template'!O204&amp;"|DAR"),CHAR(10), IF(ISBLANK('Ingest Template'!P204),"", 'Ingest Template'!P204&amp;"|DAR"))),(CONCATENATE(IF(ISBLANK('Ingest Template'!N204),"", 'Ingest Template'!N204&amp;"|Operations - Core Title"),CHAR(10), IF(ISBLANK('Ingest Template'!O204),"", 'Ingest Template'!O204&amp;"|Operations - Core Title"),CHAR(10), IF(ISBLANK('Ingest Template'!P204),"", 'Ingest Template'!P204&amp;"|Operations - Core Title"))))</f>
        <v>#|Operations - Core Title
</v>
      </c>
      <c r="AH204" s="5"/>
      <c r="AI204" s="5"/>
      <c r="AJ204" s="5"/>
      <c r="AK204" s="5"/>
      <c r="AL204" s="5"/>
    </row>
    <row r="205">
      <c r="A205" s="5"/>
      <c r="B205" s="5" t="str">
        <f>'Ingest Template'!B205&amp;IF('Ingest Template'!A205 = "Standard", " - DAR","")</f>
        <v/>
      </c>
      <c r="C205" s="6" t="str">
        <f>'Ingest Template'!C205</f>
        <v/>
      </c>
      <c r="D205" s="7" t="str">
        <f>'Ingest Template'!E205</f>
        <v/>
      </c>
      <c r="E205" s="5"/>
      <c r="F205" s="5"/>
      <c r="G205" s="5"/>
      <c r="H205" s="7"/>
      <c r="I205" s="5"/>
      <c r="J205" s="7" t="str">
        <f>'Ingest Template'!Q205</f>
        <v/>
      </c>
      <c r="K205" s="5" t="str">
        <f>'Ingest Template'!R205</f>
        <v/>
      </c>
      <c r="L205" s="8" t="s">
        <v>38</v>
      </c>
      <c r="M205" s="9"/>
      <c r="N205" s="5"/>
      <c r="O205" s="5"/>
      <c r="P205" s="5"/>
      <c r="Q205" s="5"/>
      <c r="R205" s="5" t="str">
        <f>'Ingest Template'!D205</f>
        <v/>
      </c>
      <c r="S205" s="5" t="str">
        <f>'Ingest Template'!G205</f>
        <v/>
      </c>
      <c r="T205" s="5" t="str">
        <f>'Ingest Template'!H205</f>
        <v/>
      </c>
      <c r="U205" s="5" t="str">
        <f>LOWER(SUBSTITUTE(SUBSTITUTE(SUBSTITUTE(SUBSTITUTE(SUBSTITUTE('Ingest Template'!I205,"https:",""),"www.",""),"/",""),"?hl=en",""),"instagram.com",""))</f>
        <v/>
      </c>
      <c r="V205" s="10" t="str">
        <f>'Ingest Template'!J205</f>
        <v/>
      </c>
      <c r="W205" s="10" t="str">
        <f>'Ingest Template'!K205</f>
        <v/>
      </c>
      <c r="X205" s="5"/>
      <c r="Y205" s="5" t="str">
        <f>SUBSTITUTE(SUBSTITUTE(SUBSTITUTE('Ingest Template'!L205,"http:",""),"https:",""),"/","")</f>
        <v/>
      </c>
      <c r="Z205" s="5" t="str">
        <f t="array" ref="Z205">IF('Ingest Template'!A205="Standard",(IF(ISBLANK('Ingest Template'!M205),"", 'Ingest Template'!M205&amp;"|DAR")),(IF(ISBLANK('Ingest Template'!M205),"", 'Ingest Template'!M205&amp;"|Operations - Core Title")))</f>
        <v/>
      </c>
      <c r="AA205" s="5"/>
      <c r="AB205" s="5" t="str">
        <f>'Ingest Template'!F205</f>
        <v/>
      </c>
      <c r="AC205" s="5"/>
      <c r="AD205" s="5"/>
      <c r="AE205" s="5"/>
      <c r="AF205" s="8"/>
      <c r="AG205" s="5" t="str">
        <f t="array" ref="AG205">IF('Ingest Template'!A205="Standard",(CONCATENATE(IF(ISBLANK('Ingest Template'!N205),"", 'Ingest Template'!N205&amp;"|DAR"),CHAR(10), IF(ISBLANK('Ingest Template'!O205),"", 'Ingest Template'!O205&amp;"|DAR"),CHAR(10), IF(ISBLANK('Ingest Template'!P205),"", 'Ingest Template'!P205&amp;"|DAR"))),(CONCATENATE(IF(ISBLANK('Ingest Template'!N205),"", 'Ingest Template'!N205&amp;"|Operations - Core Title"),CHAR(10), IF(ISBLANK('Ingest Template'!O205),"", 'Ingest Template'!O205&amp;"|Operations - Core Title"),CHAR(10), IF(ISBLANK('Ingest Template'!P205),"", 'Ingest Template'!P205&amp;"|Operations - Core Title"))))</f>
        <v>#|Operations - Core Title
</v>
      </c>
      <c r="AH205" s="5"/>
      <c r="AI205" s="5"/>
      <c r="AJ205" s="5"/>
      <c r="AK205" s="5"/>
      <c r="AL205" s="5"/>
    </row>
    <row r="206">
      <c r="A206" s="5"/>
      <c r="B206" s="5" t="str">
        <f>'Ingest Template'!B206&amp;IF('Ingest Template'!A206 = "Standard", " - DAR","")</f>
        <v/>
      </c>
      <c r="C206" s="6" t="str">
        <f>'Ingest Template'!C206</f>
        <v/>
      </c>
      <c r="D206" s="7" t="str">
        <f>'Ingest Template'!E206</f>
        <v/>
      </c>
      <c r="E206" s="5"/>
      <c r="F206" s="5"/>
      <c r="G206" s="5"/>
      <c r="H206" s="7"/>
      <c r="I206" s="5"/>
      <c r="J206" s="7" t="str">
        <f>'Ingest Template'!Q206</f>
        <v/>
      </c>
      <c r="K206" s="5" t="str">
        <f>'Ingest Template'!R206</f>
        <v/>
      </c>
      <c r="L206" s="8" t="s">
        <v>38</v>
      </c>
      <c r="M206" s="9"/>
      <c r="N206" s="5"/>
      <c r="O206" s="5"/>
      <c r="P206" s="5"/>
      <c r="Q206" s="5"/>
      <c r="R206" s="5" t="str">
        <f>'Ingest Template'!D206</f>
        <v/>
      </c>
      <c r="S206" s="5" t="str">
        <f>'Ingest Template'!G206</f>
        <v/>
      </c>
      <c r="T206" s="5" t="str">
        <f>'Ingest Template'!H206</f>
        <v/>
      </c>
      <c r="U206" s="5" t="str">
        <f>LOWER(SUBSTITUTE(SUBSTITUTE(SUBSTITUTE(SUBSTITUTE(SUBSTITUTE('Ingest Template'!I206,"https:",""),"www.",""),"/",""),"?hl=en",""),"instagram.com",""))</f>
        <v/>
      </c>
      <c r="V206" s="10" t="str">
        <f>'Ingest Template'!J206</f>
        <v/>
      </c>
      <c r="W206" s="10" t="str">
        <f>'Ingest Template'!K206</f>
        <v/>
      </c>
      <c r="X206" s="5"/>
      <c r="Y206" s="5" t="str">
        <f>SUBSTITUTE(SUBSTITUTE(SUBSTITUTE('Ingest Template'!L206,"http:",""),"https:",""),"/","")</f>
        <v/>
      </c>
      <c r="Z206" s="5" t="str">
        <f t="array" ref="Z206">IF('Ingest Template'!A206="Standard",(IF(ISBLANK('Ingest Template'!M206),"", 'Ingest Template'!M206&amp;"|DAR")),(IF(ISBLANK('Ingest Template'!M206),"", 'Ingest Template'!M206&amp;"|Operations - Core Title")))</f>
        <v/>
      </c>
      <c r="AA206" s="5"/>
      <c r="AB206" s="5" t="str">
        <f>'Ingest Template'!F206</f>
        <v/>
      </c>
      <c r="AC206" s="5"/>
      <c r="AD206" s="5"/>
      <c r="AE206" s="5"/>
      <c r="AF206" s="8"/>
      <c r="AG206" s="5" t="str">
        <f t="array" ref="AG206">IF('Ingest Template'!A206="Standard",(CONCATENATE(IF(ISBLANK('Ingest Template'!N206),"", 'Ingest Template'!N206&amp;"|DAR"),CHAR(10), IF(ISBLANK('Ingest Template'!O206),"", 'Ingest Template'!O206&amp;"|DAR"),CHAR(10), IF(ISBLANK('Ingest Template'!P206),"", 'Ingest Template'!P206&amp;"|DAR"))),(CONCATENATE(IF(ISBLANK('Ingest Template'!N206),"", 'Ingest Template'!N206&amp;"|Operations - Core Title"),CHAR(10), IF(ISBLANK('Ingest Template'!O206),"", 'Ingest Template'!O206&amp;"|Operations - Core Title"),CHAR(10), IF(ISBLANK('Ingest Template'!P206),"", 'Ingest Template'!P206&amp;"|Operations - Core Title"))))</f>
        <v>#|Operations - Core Title
</v>
      </c>
      <c r="AH206" s="5"/>
      <c r="AI206" s="5"/>
      <c r="AJ206" s="5"/>
      <c r="AK206" s="5"/>
      <c r="AL206" s="5"/>
    </row>
    <row r="207">
      <c r="A207" s="5"/>
      <c r="B207" s="5" t="str">
        <f>'Ingest Template'!B207&amp;IF('Ingest Template'!A207 = "Standard", " - DAR","")</f>
        <v/>
      </c>
      <c r="C207" s="6" t="str">
        <f>'Ingest Template'!C207</f>
        <v/>
      </c>
      <c r="D207" s="7" t="str">
        <f>'Ingest Template'!E207</f>
        <v/>
      </c>
      <c r="E207" s="5"/>
      <c r="F207" s="5"/>
      <c r="G207" s="5"/>
      <c r="H207" s="7"/>
      <c r="I207" s="5"/>
      <c r="J207" s="7" t="str">
        <f>'Ingest Template'!Q207</f>
        <v/>
      </c>
      <c r="K207" s="5" t="str">
        <f>'Ingest Template'!R207</f>
        <v/>
      </c>
      <c r="L207" s="8" t="s">
        <v>38</v>
      </c>
      <c r="M207" s="9"/>
      <c r="N207" s="5"/>
      <c r="O207" s="5"/>
      <c r="P207" s="5"/>
      <c r="Q207" s="5"/>
      <c r="R207" s="5" t="str">
        <f>'Ingest Template'!D207</f>
        <v/>
      </c>
      <c r="S207" s="5" t="str">
        <f>'Ingest Template'!G207</f>
        <v/>
      </c>
      <c r="T207" s="5" t="str">
        <f>'Ingest Template'!H207</f>
        <v/>
      </c>
      <c r="U207" s="5" t="str">
        <f>LOWER(SUBSTITUTE(SUBSTITUTE(SUBSTITUTE(SUBSTITUTE(SUBSTITUTE('Ingest Template'!I207,"https:",""),"www.",""),"/",""),"?hl=en",""),"instagram.com",""))</f>
        <v/>
      </c>
      <c r="V207" s="10" t="str">
        <f>'Ingest Template'!J207</f>
        <v/>
      </c>
      <c r="W207" s="10" t="str">
        <f>'Ingest Template'!K207</f>
        <v/>
      </c>
      <c r="X207" s="5"/>
      <c r="Y207" s="5" t="str">
        <f>SUBSTITUTE(SUBSTITUTE(SUBSTITUTE('Ingest Template'!L207,"http:",""),"https:",""),"/","")</f>
        <v/>
      </c>
      <c r="Z207" s="5" t="str">
        <f t="array" ref="Z207">IF('Ingest Template'!A207="Standard",(IF(ISBLANK('Ingest Template'!M207),"", 'Ingest Template'!M207&amp;"|DAR")),(IF(ISBLANK('Ingest Template'!M207),"", 'Ingest Template'!M207&amp;"|Operations - Core Title")))</f>
        <v/>
      </c>
      <c r="AA207" s="5"/>
      <c r="AB207" s="5" t="str">
        <f>'Ingest Template'!F207</f>
        <v/>
      </c>
      <c r="AC207" s="5"/>
      <c r="AD207" s="5"/>
      <c r="AE207" s="5"/>
      <c r="AF207" s="8"/>
      <c r="AG207" s="5" t="str">
        <f t="array" ref="AG207">IF('Ingest Template'!A207="Standard",(CONCATENATE(IF(ISBLANK('Ingest Template'!N207),"", 'Ingest Template'!N207&amp;"|DAR"),CHAR(10), IF(ISBLANK('Ingest Template'!O207),"", 'Ingest Template'!O207&amp;"|DAR"),CHAR(10), IF(ISBLANK('Ingest Template'!P207),"", 'Ingest Template'!P207&amp;"|DAR"))),(CONCATENATE(IF(ISBLANK('Ingest Template'!N207),"", 'Ingest Template'!N207&amp;"|Operations - Core Title"),CHAR(10), IF(ISBLANK('Ingest Template'!O207),"", 'Ingest Template'!O207&amp;"|Operations - Core Title"),CHAR(10), IF(ISBLANK('Ingest Template'!P207),"", 'Ingest Template'!P207&amp;"|Operations - Core Title"))))</f>
        <v>#|Operations - Core Title
</v>
      </c>
      <c r="AH207" s="5"/>
      <c r="AI207" s="5"/>
      <c r="AJ207" s="5"/>
      <c r="AK207" s="5"/>
      <c r="AL207" s="5"/>
    </row>
    <row r="208">
      <c r="A208" s="5"/>
      <c r="B208" s="5" t="str">
        <f>'Ingest Template'!B208&amp;IF('Ingest Template'!A208 = "Standard", " - DAR","")</f>
        <v/>
      </c>
      <c r="C208" s="6" t="str">
        <f>'Ingest Template'!C208</f>
        <v/>
      </c>
      <c r="D208" s="7" t="str">
        <f>'Ingest Template'!E208</f>
        <v/>
      </c>
      <c r="E208" s="5"/>
      <c r="F208" s="5"/>
      <c r="G208" s="5"/>
      <c r="H208" s="7"/>
      <c r="I208" s="5"/>
      <c r="J208" s="7" t="str">
        <f>'Ingest Template'!Q208</f>
        <v/>
      </c>
      <c r="K208" s="5" t="str">
        <f>'Ingest Template'!R208</f>
        <v/>
      </c>
      <c r="L208" s="8" t="s">
        <v>38</v>
      </c>
      <c r="M208" s="9"/>
      <c r="N208" s="5"/>
      <c r="O208" s="5"/>
      <c r="P208" s="5"/>
      <c r="Q208" s="5"/>
      <c r="R208" s="5" t="str">
        <f>'Ingest Template'!D208</f>
        <v/>
      </c>
      <c r="S208" s="5" t="str">
        <f>'Ingest Template'!G208</f>
        <v/>
      </c>
      <c r="T208" s="5" t="str">
        <f>'Ingest Template'!H208</f>
        <v/>
      </c>
      <c r="U208" s="5" t="str">
        <f>LOWER(SUBSTITUTE(SUBSTITUTE(SUBSTITUTE(SUBSTITUTE(SUBSTITUTE('Ingest Template'!I208,"https:",""),"www.",""),"/",""),"?hl=en",""),"instagram.com",""))</f>
        <v/>
      </c>
      <c r="V208" s="10" t="str">
        <f>'Ingest Template'!J208</f>
        <v/>
      </c>
      <c r="W208" s="10" t="str">
        <f>'Ingest Template'!K208</f>
        <v/>
      </c>
      <c r="X208" s="5"/>
      <c r="Y208" s="5" t="str">
        <f>SUBSTITUTE(SUBSTITUTE(SUBSTITUTE('Ingest Template'!L208,"http:",""),"https:",""),"/","")</f>
        <v/>
      </c>
      <c r="Z208" s="5" t="str">
        <f t="array" ref="Z208">IF('Ingest Template'!A208="Standard",(IF(ISBLANK('Ingest Template'!M208),"", 'Ingest Template'!M208&amp;"|DAR")),(IF(ISBLANK('Ingest Template'!M208),"", 'Ingest Template'!M208&amp;"|Operations - Core Title")))</f>
        <v/>
      </c>
      <c r="AA208" s="5"/>
      <c r="AB208" s="5" t="str">
        <f>'Ingest Template'!F208</f>
        <v/>
      </c>
      <c r="AC208" s="5"/>
      <c r="AD208" s="5"/>
      <c r="AE208" s="5"/>
      <c r="AF208" s="8"/>
      <c r="AG208" s="5" t="str">
        <f t="array" ref="AG208">IF('Ingest Template'!A208="Standard",(CONCATENATE(IF(ISBLANK('Ingest Template'!N208),"", 'Ingest Template'!N208&amp;"|DAR"),CHAR(10), IF(ISBLANK('Ingest Template'!O208),"", 'Ingest Template'!O208&amp;"|DAR"),CHAR(10), IF(ISBLANK('Ingest Template'!P208),"", 'Ingest Template'!P208&amp;"|DAR"))),(CONCATENATE(IF(ISBLANK('Ingest Template'!N208),"", 'Ingest Template'!N208&amp;"|Operations - Core Title"),CHAR(10), IF(ISBLANK('Ingest Template'!O208),"", 'Ingest Template'!O208&amp;"|Operations - Core Title"),CHAR(10), IF(ISBLANK('Ingest Template'!P208),"", 'Ingest Template'!P208&amp;"|Operations - Core Title"))))</f>
        <v>#|Operations - Core Title
</v>
      </c>
      <c r="AH208" s="5"/>
      <c r="AI208" s="5"/>
      <c r="AJ208" s="5"/>
      <c r="AK208" s="5"/>
      <c r="AL208" s="5"/>
    </row>
    <row r="209">
      <c r="A209" s="5"/>
      <c r="B209" s="5" t="str">
        <f>'Ingest Template'!B209&amp;IF('Ingest Template'!A209 = "Standard", " - DAR","")</f>
        <v/>
      </c>
      <c r="C209" s="6" t="str">
        <f>'Ingest Template'!C209</f>
        <v/>
      </c>
      <c r="D209" s="7" t="str">
        <f>'Ingest Template'!E209</f>
        <v/>
      </c>
      <c r="E209" s="5"/>
      <c r="F209" s="5"/>
      <c r="G209" s="5"/>
      <c r="H209" s="7"/>
      <c r="I209" s="5"/>
      <c r="J209" s="7" t="str">
        <f>'Ingest Template'!Q209</f>
        <v/>
      </c>
      <c r="K209" s="5" t="str">
        <f>'Ingest Template'!R209</f>
        <v/>
      </c>
      <c r="L209" s="8" t="s">
        <v>38</v>
      </c>
      <c r="M209" s="9"/>
      <c r="N209" s="5"/>
      <c r="O209" s="5"/>
      <c r="P209" s="5"/>
      <c r="Q209" s="5"/>
      <c r="R209" s="5" t="str">
        <f>'Ingest Template'!D209</f>
        <v/>
      </c>
      <c r="S209" s="5" t="str">
        <f>'Ingest Template'!G209</f>
        <v/>
      </c>
      <c r="T209" s="5" t="str">
        <f>'Ingest Template'!H209</f>
        <v/>
      </c>
      <c r="U209" s="5" t="str">
        <f>LOWER(SUBSTITUTE(SUBSTITUTE(SUBSTITUTE(SUBSTITUTE(SUBSTITUTE('Ingest Template'!I209,"https:",""),"www.",""),"/",""),"?hl=en",""),"instagram.com",""))</f>
        <v/>
      </c>
      <c r="V209" s="10" t="str">
        <f>'Ingest Template'!J209</f>
        <v/>
      </c>
      <c r="W209" s="10" t="str">
        <f>'Ingest Template'!K209</f>
        <v/>
      </c>
      <c r="X209" s="5"/>
      <c r="Y209" s="5" t="str">
        <f>SUBSTITUTE(SUBSTITUTE(SUBSTITUTE('Ingest Template'!L209,"http:",""),"https:",""),"/","")</f>
        <v/>
      </c>
      <c r="Z209" s="5" t="str">
        <f t="array" ref="Z209">IF('Ingest Template'!A209="Standard",(IF(ISBLANK('Ingest Template'!M209),"", 'Ingest Template'!M209&amp;"|DAR")),(IF(ISBLANK('Ingest Template'!M209),"", 'Ingest Template'!M209&amp;"|Operations - Core Title")))</f>
        <v/>
      </c>
      <c r="AA209" s="5"/>
      <c r="AB209" s="5" t="str">
        <f>'Ingest Template'!F209</f>
        <v/>
      </c>
      <c r="AC209" s="5"/>
      <c r="AD209" s="5"/>
      <c r="AE209" s="5"/>
      <c r="AF209" s="8"/>
      <c r="AG209" s="5" t="str">
        <f t="array" ref="AG209">IF('Ingest Template'!A209="Standard",(CONCATENATE(IF(ISBLANK('Ingest Template'!N209),"", 'Ingest Template'!N209&amp;"|DAR"),CHAR(10), IF(ISBLANK('Ingest Template'!O209),"", 'Ingest Template'!O209&amp;"|DAR"),CHAR(10), IF(ISBLANK('Ingest Template'!P209),"", 'Ingest Template'!P209&amp;"|DAR"))),(CONCATENATE(IF(ISBLANK('Ingest Template'!N209),"", 'Ingest Template'!N209&amp;"|Operations - Core Title"),CHAR(10), IF(ISBLANK('Ingest Template'!O209),"", 'Ingest Template'!O209&amp;"|Operations - Core Title"),CHAR(10), IF(ISBLANK('Ingest Template'!P209),"", 'Ingest Template'!P209&amp;"|Operations - Core Title"))))</f>
        <v>#|Operations - Core Title
</v>
      </c>
      <c r="AH209" s="5"/>
      <c r="AI209" s="5"/>
      <c r="AJ209" s="5"/>
      <c r="AK209" s="5"/>
      <c r="AL209" s="5"/>
    </row>
    <row r="210">
      <c r="A210" s="5"/>
      <c r="B210" s="5" t="str">
        <f>'Ingest Template'!B210&amp;IF('Ingest Template'!A210 = "Standard", " - DAR","")</f>
        <v/>
      </c>
      <c r="C210" s="6" t="str">
        <f>'Ingest Template'!C210</f>
        <v/>
      </c>
      <c r="D210" s="7" t="str">
        <f>'Ingest Template'!E210</f>
        <v/>
      </c>
      <c r="E210" s="5"/>
      <c r="F210" s="5"/>
      <c r="G210" s="5"/>
      <c r="H210" s="7"/>
      <c r="I210" s="5"/>
      <c r="J210" s="7" t="str">
        <f>'Ingest Template'!Q210</f>
        <v/>
      </c>
      <c r="K210" s="5" t="str">
        <f>'Ingest Template'!R210</f>
        <v/>
      </c>
      <c r="L210" s="8" t="s">
        <v>38</v>
      </c>
      <c r="M210" s="9"/>
      <c r="N210" s="5"/>
      <c r="O210" s="5"/>
      <c r="P210" s="5"/>
      <c r="Q210" s="5"/>
      <c r="R210" s="5" t="str">
        <f>'Ingest Template'!D210</f>
        <v/>
      </c>
      <c r="S210" s="5" t="str">
        <f>'Ingest Template'!G210</f>
        <v/>
      </c>
      <c r="T210" s="5" t="str">
        <f>'Ingest Template'!H210</f>
        <v/>
      </c>
      <c r="U210" s="5" t="str">
        <f>LOWER(SUBSTITUTE(SUBSTITUTE(SUBSTITUTE(SUBSTITUTE(SUBSTITUTE('Ingest Template'!I210,"https:",""),"www.",""),"/",""),"?hl=en",""),"instagram.com",""))</f>
        <v/>
      </c>
      <c r="V210" s="10" t="str">
        <f>'Ingest Template'!J210</f>
        <v/>
      </c>
      <c r="W210" s="10" t="str">
        <f>'Ingest Template'!K210</f>
        <v/>
      </c>
      <c r="X210" s="5"/>
      <c r="Y210" s="5" t="str">
        <f>SUBSTITUTE(SUBSTITUTE(SUBSTITUTE('Ingest Template'!L210,"http:",""),"https:",""),"/","")</f>
        <v/>
      </c>
      <c r="Z210" s="5" t="str">
        <f t="array" ref="Z210">IF('Ingest Template'!A210="Standard",(IF(ISBLANK('Ingest Template'!M210),"", 'Ingest Template'!M210&amp;"|DAR")),(IF(ISBLANK('Ingest Template'!M210),"", 'Ingest Template'!M210&amp;"|Operations - Core Title")))</f>
        <v/>
      </c>
      <c r="AA210" s="5"/>
      <c r="AB210" s="5" t="str">
        <f>'Ingest Template'!F210</f>
        <v/>
      </c>
      <c r="AC210" s="5"/>
      <c r="AD210" s="5"/>
      <c r="AE210" s="5"/>
      <c r="AF210" s="8"/>
      <c r="AG210" s="5" t="str">
        <f t="array" ref="AG210">IF('Ingest Template'!A210="Standard",(CONCATENATE(IF(ISBLANK('Ingest Template'!N210),"", 'Ingest Template'!N210&amp;"|DAR"),CHAR(10), IF(ISBLANK('Ingest Template'!O210),"", 'Ingest Template'!O210&amp;"|DAR"),CHAR(10), IF(ISBLANK('Ingest Template'!P210),"", 'Ingest Template'!P210&amp;"|DAR"))),(CONCATENATE(IF(ISBLANK('Ingest Template'!N210),"", 'Ingest Template'!N210&amp;"|Operations - Core Title"),CHAR(10), IF(ISBLANK('Ingest Template'!O210),"", 'Ingest Template'!O210&amp;"|Operations - Core Title"),CHAR(10), IF(ISBLANK('Ingest Template'!P210),"", 'Ingest Template'!P210&amp;"|Operations - Core Title"))))</f>
        <v>#|Operations - Core Title
</v>
      </c>
      <c r="AH210" s="5"/>
      <c r="AI210" s="5"/>
      <c r="AJ210" s="5"/>
      <c r="AK210" s="5"/>
      <c r="AL210" s="5"/>
    </row>
    <row r="211">
      <c r="A211" s="5"/>
      <c r="B211" s="5" t="str">
        <f>'Ingest Template'!B211&amp;IF('Ingest Template'!A211 = "Standard", " - DAR","")</f>
        <v/>
      </c>
      <c r="C211" s="6" t="str">
        <f>'Ingest Template'!C211</f>
        <v/>
      </c>
      <c r="D211" s="7" t="str">
        <f>'Ingest Template'!E211</f>
        <v/>
      </c>
      <c r="E211" s="5"/>
      <c r="F211" s="5"/>
      <c r="G211" s="5"/>
      <c r="H211" s="7"/>
      <c r="I211" s="5"/>
      <c r="J211" s="7" t="str">
        <f>'Ingest Template'!Q211</f>
        <v/>
      </c>
      <c r="K211" s="5" t="str">
        <f>'Ingest Template'!R211</f>
        <v/>
      </c>
      <c r="L211" s="8" t="s">
        <v>38</v>
      </c>
      <c r="M211" s="9"/>
      <c r="N211" s="5"/>
      <c r="O211" s="5"/>
      <c r="P211" s="5"/>
      <c r="Q211" s="5"/>
      <c r="R211" s="5" t="str">
        <f>'Ingest Template'!D211</f>
        <v/>
      </c>
      <c r="S211" s="5" t="str">
        <f>'Ingest Template'!G211</f>
        <v/>
      </c>
      <c r="T211" s="5" t="str">
        <f>'Ingest Template'!H211</f>
        <v/>
      </c>
      <c r="U211" s="5" t="str">
        <f>LOWER(SUBSTITUTE(SUBSTITUTE(SUBSTITUTE(SUBSTITUTE(SUBSTITUTE('Ingest Template'!I211,"https:",""),"www.",""),"/",""),"?hl=en",""),"instagram.com",""))</f>
        <v/>
      </c>
      <c r="V211" s="10" t="str">
        <f>'Ingest Template'!J211</f>
        <v/>
      </c>
      <c r="W211" s="10" t="str">
        <f>'Ingest Template'!K211</f>
        <v/>
      </c>
      <c r="X211" s="5"/>
      <c r="Y211" s="5" t="str">
        <f>SUBSTITUTE(SUBSTITUTE(SUBSTITUTE('Ingest Template'!L211,"http:",""),"https:",""),"/","")</f>
        <v/>
      </c>
      <c r="Z211" s="5" t="str">
        <f t="array" ref="Z211">IF('Ingest Template'!A211="Standard",(IF(ISBLANK('Ingest Template'!M211),"", 'Ingest Template'!M211&amp;"|DAR")),(IF(ISBLANK('Ingest Template'!M211),"", 'Ingest Template'!M211&amp;"|Operations - Core Title")))</f>
        <v/>
      </c>
      <c r="AA211" s="5"/>
      <c r="AB211" s="5" t="str">
        <f>'Ingest Template'!F211</f>
        <v/>
      </c>
      <c r="AC211" s="5"/>
      <c r="AD211" s="5"/>
      <c r="AE211" s="5"/>
      <c r="AF211" s="8"/>
      <c r="AG211" s="5" t="str">
        <f t="array" ref="AG211">IF('Ingest Template'!A211="Standard",(CONCATENATE(IF(ISBLANK('Ingest Template'!N211),"", 'Ingest Template'!N211&amp;"|DAR"),CHAR(10), IF(ISBLANK('Ingest Template'!O211),"", 'Ingest Template'!O211&amp;"|DAR"),CHAR(10), IF(ISBLANK('Ingest Template'!P211),"", 'Ingest Template'!P211&amp;"|DAR"))),(CONCATENATE(IF(ISBLANK('Ingest Template'!N211),"", 'Ingest Template'!N211&amp;"|Operations - Core Title"),CHAR(10), IF(ISBLANK('Ingest Template'!O211),"", 'Ingest Template'!O211&amp;"|Operations - Core Title"),CHAR(10), IF(ISBLANK('Ingest Template'!P211),"", 'Ingest Template'!P211&amp;"|Operations - Core Title"))))</f>
        <v>#|Operations - Core Title
</v>
      </c>
      <c r="AH211" s="5"/>
      <c r="AI211" s="5"/>
      <c r="AJ211" s="5"/>
      <c r="AK211" s="5"/>
      <c r="AL211" s="5"/>
    </row>
    <row r="212">
      <c r="A212" s="5"/>
      <c r="B212" s="5" t="str">
        <f>'Ingest Template'!B212&amp;IF('Ingest Template'!A212 = "Standard", " - DAR","")</f>
        <v/>
      </c>
      <c r="C212" s="6" t="str">
        <f>'Ingest Template'!C212</f>
        <v/>
      </c>
      <c r="D212" s="7" t="str">
        <f>'Ingest Template'!E212</f>
        <v/>
      </c>
      <c r="E212" s="5"/>
      <c r="F212" s="5"/>
      <c r="G212" s="5"/>
      <c r="H212" s="7"/>
      <c r="I212" s="5"/>
      <c r="J212" s="7" t="str">
        <f>'Ingest Template'!Q212</f>
        <v/>
      </c>
      <c r="K212" s="5" t="str">
        <f>'Ingest Template'!R212</f>
        <v/>
      </c>
      <c r="L212" s="8" t="s">
        <v>38</v>
      </c>
      <c r="M212" s="9"/>
      <c r="N212" s="5"/>
      <c r="O212" s="5"/>
      <c r="P212" s="5"/>
      <c r="Q212" s="5"/>
      <c r="R212" s="5" t="str">
        <f>'Ingest Template'!D212</f>
        <v/>
      </c>
      <c r="S212" s="5" t="str">
        <f>'Ingest Template'!G212</f>
        <v/>
      </c>
      <c r="T212" s="5" t="str">
        <f>'Ingest Template'!H212</f>
        <v/>
      </c>
      <c r="U212" s="5" t="str">
        <f>LOWER(SUBSTITUTE(SUBSTITUTE(SUBSTITUTE(SUBSTITUTE(SUBSTITUTE('Ingest Template'!I212,"https:",""),"www.",""),"/",""),"?hl=en",""),"instagram.com",""))</f>
        <v/>
      </c>
      <c r="V212" s="10" t="str">
        <f>'Ingest Template'!J212</f>
        <v/>
      </c>
      <c r="W212" s="10" t="str">
        <f>'Ingest Template'!K212</f>
        <v/>
      </c>
      <c r="X212" s="5"/>
      <c r="Y212" s="5" t="str">
        <f>SUBSTITUTE(SUBSTITUTE(SUBSTITUTE('Ingest Template'!L212,"http:",""),"https:",""),"/","")</f>
        <v/>
      </c>
      <c r="Z212" s="5" t="str">
        <f t="array" ref="Z212">IF('Ingest Template'!A212="Standard",(IF(ISBLANK('Ingest Template'!M212),"", 'Ingest Template'!M212&amp;"|DAR")),(IF(ISBLANK('Ingest Template'!M212),"", 'Ingest Template'!M212&amp;"|Operations - Core Title")))</f>
        <v/>
      </c>
      <c r="AA212" s="5"/>
      <c r="AB212" s="5" t="str">
        <f>'Ingest Template'!F212</f>
        <v/>
      </c>
      <c r="AC212" s="5"/>
      <c r="AD212" s="5"/>
      <c r="AE212" s="5"/>
      <c r="AF212" s="8"/>
      <c r="AG212" s="5" t="str">
        <f t="array" ref="AG212">IF('Ingest Template'!A212="Standard",(CONCATENATE(IF(ISBLANK('Ingest Template'!N212),"", 'Ingest Template'!N212&amp;"|DAR"),CHAR(10), IF(ISBLANK('Ingest Template'!O212),"", 'Ingest Template'!O212&amp;"|DAR"),CHAR(10), IF(ISBLANK('Ingest Template'!P212),"", 'Ingest Template'!P212&amp;"|DAR"))),(CONCATENATE(IF(ISBLANK('Ingest Template'!N212),"", 'Ingest Template'!N212&amp;"|Operations - Core Title"),CHAR(10), IF(ISBLANK('Ingest Template'!O212),"", 'Ingest Template'!O212&amp;"|Operations - Core Title"),CHAR(10), IF(ISBLANK('Ingest Template'!P212),"", 'Ingest Template'!P212&amp;"|Operations - Core Title"))))</f>
        <v>#|Operations - Core Title
</v>
      </c>
      <c r="AH212" s="5"/>
      <c r="AI212" s="5"/>
      <c r="AJ212" s="5"/>
      <c r="AK212" s="5"/>
      <c r="AL212" s="5"/>
    </row>
    <row r="213">
      <c r="A213" s="5"/>
      <c r="B213" s="5" t="str">
        <f>'Ingest Template'!B213&amp;IF('Ingest Template'!A213 = "Standard", " - DAR","")</f>
        <v/>
      </c>
      <c r="C213" s="6" t="str">
        <f>'Ingest Template'!C213</f>
        <v/>
      </c>
      <c r="D213" s="7" t="str">
        <f>'Ingest Template'!E213</f>
        <v/>
      </c>
      <c r="E213" s="5"/>
      <c r="F213" s="5"/>
      <c r="G213" s="5"/>
      <c r="H213" s="7"/>
      <c r="I213" s="5"/>
      <c r="J213" s="7" t="str">
        <f>'Ingest Template'!Q213</f>
        <v/>
      </c>
      <c r="K213" s="5" t="str">
        <f>'Ingest Template'!R213</f>
        <v/>
      </c>
      <c r="L213" s="8" t="s">
        <v>38</v>
      </c>
      <c r="M213" s="9"/>
      <c r="N213" s="5"/>
      <c r="O213" s="5"/>
      <c r="P213" s="5"/>
      <c r="Q213" s="5"/>
      <c r="R213" s="5" t="str">
        <f>'Ingest Template'!D213</f>
        <v/>
      </c>
      <c r="S213" s="5" t="str">
        <f>'Ingest Template'!G213</f>
        <v/>
      </c>
      <c r="T213" s="5" t="str">
        <f>'Ingest Template'!H213</f>
        <v/>
      </c>
      <c r="U213" s="5" t="str">
        <f>LOWER(SUBSTITUTE(SUBSTITUTE(SUBSTITUTE(SUBSTITUTE(SUBSTITUTE('Ingest Template'!I213,"https:",""),"www.",""),"/",""),"?hl=en",""),"instagram.com",""))</f>
        <v/>
      </c>
      <c r="V213" s="10" t="str">
        <f>'Ingest Template'!J213</f>
        <v/>
      </c>
      <c r="W213" s="10" t="str">
        <f>'Ingest Template'!K213</f>
        <v/>
      </c>
      <c r="X213" s="5"/>
      <c r="Y213" s="5" t="str">
        <f>SUBSTITUTE(SUBSTITUTE(SUBSTITUTE('Ingest Template'!L213,"http:",""),"https:",""),"/","")</f>
        <v/>
      </c>
      <c r="Z213" s="5" t="str">
        <f t="array" ref="Z213">IF('Ingest Template'!A213="Standard",(IF(ISBLANK('Ingest Template'!M213),"", 'Ingest Template'!M213&amp;"|DAR")),(IF(ISBLANK('Ingest Template'!M213),"", 'Ingest Template'!M213&amp;"|Operations - Core Title")))</f>
        <v/>
      </c>
      <c r="AA213" s="5"/>
      <c r="AB213" s="5" t="str">
        <f>'Ingest Template'!F213</f>
        <v/>
      </c>
      <c r="AC213" s="5"/>
      <c r="AD213" s="5"/>
      <c r="AE213" s="5"/>
      <c r="AF213" s="8"/>
      <c r="AG213" s="5" t="str">
        <f t="array" ref="AG213">IF('Ingest Template'!A213="Standard",(CONCATENATE(IF(ISBLANK('Ingest Template'!N213),"", 'Ingest Template'!N213&amp;"|DAR"),CHAR(10), IF(ISBLANK('Ingest Template'!O213),"", 'Ingest Template'!O213&amp;"|DAR"),CHAR(10), IF(ISBLANK('Ingest Template'!P213),"", 'Ingest Template'!P213&amp;"|DAR"))),(CONCATENATE(IF(ISBLANK('Ingest Template'!N213),"", 'Ingest Template'!N213&amp;"|Operations - Core Title"),CHAR(10), IF(ISBLANK('Ingest Template'!O213),"", 'Ingest Template'!O213&amp;"|Operations - Core Title"),CHAR(10), IF(ISBLANK('Ingest Template'!P213),"", 'Ingest Template'!P213&amp;"|Operations - Core Title"))))</f>
        <v>#|Operations - Core Title
</v>
      </c>
      <c r="AH213" s="5"/>
      <c r="AI213" s="5"/>
      <c r="AJ213" s="5"/>
      <c r="AK213" s="5"/>
      <c r="AL213" s="5"/>
    </row>
    <row r="214">
      <c r="A214" s="5"/>
      <c r="B214" s="5" t="str">
        <f>'Ingest Template'!B214&amp;IF('Ingest Template'!A214 = "Standard", " - DAR","")</f>
        <v/>
      </c>
      <c r="C214" s="6" t="str">
        <f>'Ingest Template'!C214</f>
        <v/>
      </c>
      <c r="D214" s="7" t="str">
        <f>'Ingest Template'!E214</f>
        <v/>
      </c>
      <c r="E214" s="5"/>
      <c r="F214" s="5"/>
      <c r="G214" s="5"/>
      <c r="H214" s="7"/>
      <c r="I214" s="5"/>
      <c r="J214" s="7" t="str">
        <f>'Ingest Template'!Q214</f>
        <v/>
      </c>
      <c r="K214" s="5" t="str">
        <f>'Ingest Template'!R214</f>
        <v/>
      </c>
      <c r="L214" s="8" t="s">
        <v>38</v>
      </c>
      <c r="M214" s="9"/>
      <c r="N214" s="5"/>
      <c r="O214" s="5"/>
      <c r="P214" s="5"/>
      <c r="Q214" s="5"/>
      <c r="R214" s="5" t="str">
        <f>'Ingest Template'!D214</f>
        <v/>
      </c>
      <c r="S214" s="5" t="str">
        <f>'Ingest Template'!G214</f>
        <v/>
      </c>
      <c r="T214" s="5" t="str">
        <f>'Ingest Template'!H214</f>
        <v/>
      </c>
      <c r="U214" s="5" t="str">
        <f>LOWER(SUBSTITUTE(SUBSTITUTE(SUBSTITUTE(SUBSTITUTE(SUBSTITUTE('Ingest Template'!I214,"https:",""),"www.",""),"/",""),"?hl=en",""),"instagram.com",""))</f>
        <v/>
      </c>
      <c r="V214" s="10" t="str">
        <f>'Ingest Template'!J214</f>
        <v/>
      </c>
      <c r="W214" s="10" t="str">
        <f>'Ingest Template'!K214</f>
        <v/>
      </c>
      <c r="X214" s="5"/>
      <c r="Y214" s="5" t="str">
        <f>SUBSTITUTE(SUBSTITUTE(SUBSTITUTE('Ingest Template'!L214,"http:",""),"https:",""),"/","")</f>
        <v/>
      </c>
      <c r="Z214" s="5" t="str">
        <f t="array" ref="Z214">IF('Ingest Template'!A214="Standard",(IF(ISBLANK('Ingest Template'!M214),"", 'Ingest Template'!M214&amp;"|DAR")),(IF(ISBLANK('Ingest Template'!M214),"", 'Ingest Template'!M214&amp;"|Operations - Core Title")))</f>
        <v/>
      </c>
      <c r="AA214" s="5"/>
      <c r="AB214" s="5" t="str">
        <f>'Ingest Template'!F214</f>
        <v/>
      </c>
      <c r="AC214" s="5"/>
      <c r="AD214" s="5"/>
      <c r="AE214" s="5"/>
      <c r="AF214" s="8"/>
      <c r="AG214" s="5" t="str">
        <f t="array" ref="AG214">IF('Ingest Template'!A214="Standard",(CONCATENATE(IF(ISBLANK('Ingest Template'!N214),"", 'Ingest Template'!N214&amp;"|DAR"),CHAR(10), IF(ISBLANK('Ingest Template'!O214),"", 'Ingest Template'!O214&amp;"|DAR"),CHAR(10), IF(ISBLANK('Ingest Template'!P214),"", 'Ingest Template'!P214&amp;"|DAR"))),(CONCATENATE(IF(ISBLANK('Ingest Template'!N214),"", 'Ingest Template'!N214&amp;"|Operations - Core Title"),CHAR(10), IF(ISBLANK('Ingest Template'!O214),"", 'Ingest Template'!O214&amp;"|Operations - Core Title"),CHAR(10), IF(ISBLANK('Ingest Template'!P214),"", 'Ingest Template'!P214&amp;"|Operations - Core Title"))))</f>
        <v>#|Operations - Core Title
</v>
      </c>
      <c r="AH214" s="5"/>
      <c r="AI214" s="5"/>
      <c r="AJ214" s="5"/>
      <c r="AK214" s="5"/>
      <c r="AL214" s="5"/>
    </row>
    <row r="215">
      <c r="A215" s="5"/>
      <c r="B215" s="5" t="str">
        <f>'Ingest Template'!B215&amp;IF('Ingest Template'!A215 = "Standard", " - DAR","")</f>
        <v/>
      </c>
      <c r="C215" s="6" t="str">
        <f>'Ingest Template'!C215</f>
        <v/>
      </c>
      <c r="D215" s="7" t="str">
        <f>'Ingest Template'!E215</f>
        <v/>
      </c>
      <c r="E215" s="5"/>
      <c r="F215" s="5"/>
      <c r="G215" s="5"/>
      <c r="H215" s="7"/>
      <c r="I215" s="5"/>
      <c r="J215" s="7" t="str">
        <f>'Ingest Template'!Q215</f>
        <v/>
      </c>
      <c r="K215" s="5" t="str">
        <f>'Ingest Template'!R215</f>
        <v/>
      </c>
      <c r="L215" s="8" t="s">
        <v>38</v>
      </c>
      <c r="M215" s="9"/>
      <c r="N215" s="5"/>
      <c r="O215" s="5"/>
      <c r="P215" s="5"/>
      <c r="Q215" s="5"/>
      <c r="R215" s="5" t="str">
        <f>'Ingest Template'!D215</f>
        <v/>
      </c>
      <c r="S215" s="5" t="str">
        <f>'Ingest Template'!G215</f>
        <v/>
      </c>
      <c r="T215" s="5" t="str">
        <f>'Ingest Template'!H215</f>
        <v/>
      </c>
      <c r="U215" s="5" t="str">
        <f>LOWER(SUBSTITUTE(SUBSTITUTE(SUBSTITUTE(SUBSTITUTE(SUBSTITUTE('Ingest Template'!I215,"https:",""),"www.",""),"/",""),"?hl=en",""),"instagram.com",""))</f>
        <v/>
      </c>
      <c r="V215" s="10" t="str">
        <f>'Ingest Template'!J215</f>
        <v/>
      </c>
      <c r="W215" s="10" t="str">
        <f>'Ingest Template'!K215</f>
        <v/>
      </c>
      <c r="X215" s="5"/>
      <c r="Y215" s="5" t="str">
        <f>SUBSTITUTE(SUBSTITUTE(SUBSTITUTE('Ingest Template'!L215,"http:",""),"https:",""),"/","")</f>
        <v/>
      </c>
      <c r="Z215" s="5" t="str">
        <f t="array" ref="Z215">IF('Ingest Template'!A215="Standard",(IF(ISBLANK('Ingest Template'!M215),"", 'Ingest Template'!M215&amp;"|DAR")),(IF(ISBLANK('Ingest Template'!M215),"", 'Ingest Template'!M215&amp;"|Operations - Core Title")))</f>
        <v/>
      </c>
      <c r="AA215" s="5"/>
      <c r="AB215" s="5" t="str">
        <f>'Ingest Template'!F215</f>
        <v/>
      </c>
      <c r="AC215" s="5"/>
      <c r="AD215" s="5"/>
      <c r="AE215" s="5"/>
      <c r="AF215" s="8"/>
      <c r="AG215" s="5" t="str">
        <f t="array" ref="AG215">IF('Ingest Template'!A215="Standard",(CONCATENATE(IF(ISBLANK('Ingest Template'!N215),"", 'Ingest Template'!N215&amp;"|DAR"),CHAR(10), IF(ISBLANK('Ingest Template'!O215),"", 'Ingest Template'!O215&amp;"|DAR"),CHAR(10), IF(ISBLANK('Ingest Template'!P215),"", 'Ingest Template'!P215&amp;"|DAR"))),(CONCATENATE(IF(ISBLANK('Ingest Template'!N215),"", 'Ingest Template'!N215&amp;"|Operations - Core Title"),CHAR(10), IF(ISBLANK('Ingest Template'!O215),"", 'Ingest Template'!O215&amp;"|Operations - Core Title"),CHAR(10), IF(ISBLANK('Ingest Template'!P215),"", 'Ingest Template'!P215&amp;"|Operations - Core Title"))))</f>
        <v>#|Operations - Core Title
</v>
      </c>
      <c r="AH215" s="5"/>
      <c r="AI215" s="5"/>
      <c r="AJ215" s="5"/>
      <c r="AK215" s="5"/>
      <c r="AL215" s="5"/>
    </row>
    <row r="216">
      <c r="A216" s="5"/>
      <c r="B216" s="5" t="str">
        <f>'Ingest Template'!B216&amp;IF('Ingest Template'!A216 = "Standard", " - DAR","")</f>
        <v/>
      </c>
      <c r="C216" s="6" t="str">
        <f>'Ingest Template'!C216</f>
        <v/>
      </c>
      <c r="D216" s="7" t="str">
        <f>'Ingest Template'!E216</f>
        <v/>
      </c>
      <c r="E216" s="5"/>
      <c r="F216" s="5"/>
      <c r="G216" s="5"/>
      <c r="H216" s="7"/>
      <c r="I216" s="5"/>
      <c r="J216" s="7" t="str">
        <f>'Ingest Template'!Q216</f>
        <v/>
      </c>
      <c r="K216" s="5" t="str">
        <f>'Ingest Template'!R216</f>
        <v/>
      </c>
      <c r="L216" s="8" t="s">
        <v>38</v>
      </c>
      <c r="M216" s="9"/>
      <c r="N216" s="5"/>
      <c r="O216" s="5"/>
      <c r="P216" s="5"/>
      <c r="Q216" s="5"/>
      <c r="R216" s="5" t="str">
        <f>'Ingest Template'!D216</f>
        <v/>
      </c>
      <c r="S216" s="5" t="str">
        <f>'Ingest Template'!G216</f>
        <v/>
      </c>
      <c r="T216" s="5" t="str">
        <f>'Ingest Template'!H216</f>
        <v/>
      </c>
      <c r="U216" s="5" t="str">
        <f>LOWER(SUBSTITUTE(SUBSTITUTE(SUBSTITUTE(SUBSTITUTE(SUBSTITUTE('Ingest Template'!I216,"https:",""),"www.",""),"/",""),"?hl=en",""),"instagram.com",""))</f>
        <v/>
      </c>
      <c r="V216" s="10" t="str">
        <f>'Ingest Template'!J216</f>
        <v/>
      </c>
      <c r="W216" s="10" t="str">
        <f>'Ingest Template'!K216</f>
        <v/>
      </c>
      <c r="X216" s="5"/>
      <c r="Y216" s="5" t="str">
        <f>SUBSTITUTE(SUBSTITUTE(SUBSTITUTE('Ingest Template'!L216,"http:",""),"https:",""),"/","")</f>
        <v/>
      </c>
      <c r="Z216" s="5" t="str">
        <f t="array" ref="Z216">IF('Ingest Template'!A216="Standard",(IF(ISBLANK('Ingest Template'!M216),"", 'Ingest Template'!M216&amp;"|DAR")),(IF(ISBLANK('Ingest Template'!M216),"", 'Ingest Template'!M216&amp;"|Operations - Core Title")))</f>
        <v/>
      </c>
      <c r="AA216" s="5"/>
      <c r="AB216" s="5" t="str">
        <f>'Ingest Template'!F216</f>
        <v/>
      </c>
      <c r="AC216" s="5"/>
      <c r="AD216" s="5"/>
      <c r="AE216" s="5"/>
      <c r="AF216" s="8"/>
      <c r="AG216" s="5" t="str">
        <f t="array" ref="AG216">IF('Ingest Template'!A216="Standard",(CONCATENATE(IF(ISBLANK('Ingest Template'!N216),"", 'Ingest Template'!N216&amp;"|DAR"),CHAR(10), IF(ISBLANK('Ingest Template'!O216),"", 'Ingest Template'!O216&amp;"|DAR"),CHAR(10), IF(ISBLANK('Ingest Template'!P216),"", 'Ingest Template'!P216&amp;"|DAR"))),(CONCATENATE(IF(ISBLANK('Ingest Template'!N216),"", 'Ingest Template'!N216&amp;"|Operations - Core Title"),CHAR(10), IF(ISBLANK('Ingest Template'!O216),"", 'Ingest Template'!O216&amp;"|Operations - Core Title"),CHAR(10), IF(ISBLANK('Ingest Template'!P216),"", 'Ingest Template'!P216&amp;"|Operations - Core Title"))))</f>
        <v>#|Operations - Core Title
</v>
      </c>
      <c r="AH216" s="5"/>
      <c r="AI216" s="5"/>
      <c r="AJ216" s="5"/>
      <c r="AK216" s="5"/>
      <c r="AL216" s="5"/>
    </row>
    <row r="217">
      <c r="A217" s="5"/>
      <c r="B217" s="5" t="str">
        <f>'Ingest Template'!B217&amp;IF('Ingest Template'!A217 = "Standard", " - DAR","")</f>
        <v/>
      </c>
      <c r="C217" s="6" t="str">
        <f>'Ingest Template'!C217</f>
        <v/>
      </c>
      <c r="D217" s="7" t="str">
        <f>'Ingest Template'!E217</f>
        <v/>
      </c>
      <c r="E217" s="5"/>
      <c r="F217" s="5"/>
      <c r="G217" s="5"/>
      <c r="H217" s="7"/>
      <c r="I217" s="5"/>
      <c r="J217" s="7" t="str">
        <f>'Ingest Template'!Q217</f>
        <v/>
      </c>
      <c r="K217" s="5" t="str">
        <f>'Ingest Template'!R217</f>
        <v/>
      </c>
      <c r="L217" s="8" t="s">
        <v>38</v>
      </c>
      <c r="M217" s="9"/>
      <c r="N217" s="5"/>
      <c r="O217" s="5"/>
      <c r="P217" s="5"/>
      <c r="Q217" s="5"/>
      <c r="R217" s="5" t="str">
        <f>'Ingest Template'!D217</f>
        <v/>
      </c>
      <c r="S217" s="5" t="str">
        <f>'Ingest Template'!G217</f>
        <v/>
      </c>
      <c r="T217" s="5" t="str">
        <f>'Ingest Template'!H217</f>
        <v/>
      </c>
      <c r="U217" s="5" t="str">
        <f>LOWER(SUBSTITUTE(SUBSTITUTE(SUBSTITUTE(SUBSTITUTE(SUBSTITUTE('Ingest Template'!I217,"https:",""),"www.",""),"/",""),"?hl=en",""),"instagram.com",""))</f>
        <v/>
      </c>
      <c r="V217" s="10" t="str">
        <f>'Ingest Template'!J217</f>
        <v/>
      </c>
      <c r="W217" s="10" t="str">
        <f>'Ingest Template'!K217</f>
        <v/>
      </c>
      <c r="X217" s="5"/>
      <c r="Y217" s="5" t="str">
        <f>SUBSTITUTE(SUBSTITUTE(SUBSTITUTE('Ingest Template'!L217,"http:",""),"https:",""),"/","")</f>
        <v/>
      </c>
      <c r="Z217" s="5" t="str">
        <f t="array" ref="Z217">IF('Ingest Template'!A217="Standard",(IF(ISBLANK('Ingest Template'!M217),"", 'Ingest Template'!M217&amp;"|DAR")),(IF(ISBLANK('Ingest Template'!M217),"", 'Ingest Template'!M217&amp;"|Operations - Core Title")))</f>
        <v/>
      </c>
      <c r="AA217" s="5"/>
      <c r="AB217" s="5" t="str">
        <f>'Ingest Template'!F217</f>
        <v/>
      </c>
      <c r="AC217" s="5"/>
      <c r="AD217" s="5"/>
      <c r="AE217" s="5"/>
      <c r="AF217" s="8"/>
      <c r="AG217" s="5" t="str">
        <f t="array" ref="AG217">IF('Ingest Template'!A217="Standard",(CONCATENATE(IF(ISBLANK('Ingest Template'!N217),"", 'Ingest Template'!N217&amp;"|DAR"),CHAR(10), IF(ISBLANK('Ingest Template'!O217),"", 'Ingest Template'!O217&amp;"|DAR"),CHAR(10), IF(ISBLANK('Ingest Template'!P217),"", 'Ingest Template'!P217&amp;"|DAR"))),(CONCATENATE(IF(ISBLANK('Ingest Template'!N217),"", 'Ingest Template'!N217&amp;"|Operations - Core Title"),CHAR(10), IF(ISBLANK('Ingest Template'!O217),"", 'Ingest Template'!O217&amp;"|Operations - Core Title"),CHAR(10), IF(ISBLANK('Ingest Template'!P217),"", 'Ingest Template'!P217&amp;"|Operations - Core Title"))))</f>
        <v>#|Operations - Core Title
</v>
      </c>
      <c r="AH217" s="5"/>
      <c r="AI217" s="5"/>
      <c r="AJ217" s="5"/>
      <c r="AK217" s="5"/>
      <c r="AL217" s="5"/>
    </row>
    <row r="218">
      <c r="A218" s="5"/>
      <c r="B218" s="5" t="str">
        <f>'Ingest Template'!B218&amp;IF('Ingest Template'!A218 = "Standard", " - DAR","")</f>
        <v/>
      </c>
      <c r="C218" s="6" t="str">
        <f>'Ingest Template'!C218</f>
        <v/>
      </c>
      <c r="D218" s="7" t="str">
        <f>'Ingest Template'!E218</f>
        <v/>
      </c>
      <c r="E218" s="5"/>
      <c r="F218" s="5"/>
      <c r="G218" s="5"/>
      <c r="H218" s="7"/>
      <c r="I218" s="5"/>
      <c r="J218" s="7" t="str">
        <f>'Ingest Template'!Q218</f>
        <v/>
      </c>
      <c r="K218" s="5" t="str">
        <f>'Ingest Template'!R218</f>
        <v/>
      </c>
      <c r="L218" s="8" t="s">
        <v>38</v>
      </c>
      <c r="M218" s="9"/>
      <c r="N218" s="5"/>
      <c r="O218" s="5"/>
      <c r="P218" s="5"/>
      <c r="Q218" s="5"/>
      <c r="R218" s="5" t="str">
        <f>'Ingest Template'!D218</f>
        <v/>
      </c>
      <c r="S218" s="5" t="str">
        <f>'Ingest Template'!G218</f>
        <v/>
      </c>
      <c r="T218" s="5" t="str">
        <f>'Ingest Template'!H218</f>
        <v/>
      </c>
      <c r="U218" s="5" t="str">
        <f>LOWER(SUBSTITUTE(SUBSTITUTE(SUBSTITUTE(SUBSTITUTE(SUBSTITUTE('Ingest Template'!I218,"https:",""),"www.",""),"/",""),"?hl=en",""),"instagram.com",""))</f>
        <v/>
      </c>
      <c r="V218" s="10" t="str">
        <f>'Ingest Template'!J218</f>
        <v/>
      </c>
      <c r="W218" s="10" t="str">
        <f>'Ingest Template'!K218</f>
        <v/>
      </c>
      <c r="X218" s="5"/>
      <c r="Y218" s="5" t="str">
        <f>SUBSTITUTE(SUBSTITUTE(SUBSTITUTE('Ingest Template'!L218,"http:",""),"https:",""),"/","")</f>
        <v/>
      </c>
      <c r="Z218" s="5" t="str">
        <f t="array" ref="Z218">IF('Ingest Template'!A218="Standard",(IF(ISBLANK('Ingest Template'!M218),"", 'Ingest Template'!M218&amp;"|DAR")),(IF(ISBLANK('Ingest Template'!M218),"", 'Ingest Template'!M218&amp;"|Operations - Core Title")))</f>
        <v/>
      </c>
      <c r="AA218" s="5"/>
      <c r="AB218" s="5" t="str">
        <f>'Ingest Template'!F218</f>
        <v/>
      </c>
      <c r="AC218" s="5"/>
      <c r="AD218" s="5"/>
      <c r="AE218" s="5"/>
      <c r="AF218" s="8"/>
      <c r="AG218" s="5" t="str">
        <f t="array" ref="AG218">IF('Ingest Template'!A218="Standard",(CONCATENATE(IF(ISBLANK('Ingest Template'!N218),"", 'Ingest Template'!N218&amp;"|DAR"),CHAR(10), IF(ISBLANK('Ingest Template'!O218),"", 'Ingest Template'!O218&amp;"|DAR"),CHAR(10), IF(ISBLANK('Ingest Template'!P218),"", 'Ingest Template'!P218&amp;"|DAR"))),(CONCATENATE(IF(ISBLANK('Ingest Template'!N218),"", 'Ingest Template'!N218&amp;"|Operations - Core Title"),CHAR(10), IF(ISBLANK('Ingest Template'!O218),"", 'Ingest Template'!O218&amp;"|Operations - Core Title"),CHAR(10), IF(ISBLANK('Ingest Template'!P218),"", 'Ingest Template'!P218&amp;"|Operations - Core Title"))))</f>
        <v>#|Operations - Core Title
</v>
      </c>
      <c r="AH218" s="5"/>
      <c r="AI218" s="5"/>
      <c r="AJ218" s="5"/>
      <c r="AK218" s="5"/>
      <c r="AL218" s="5"/>
    </row>
    <row r="219">
      <c r="A219" s="5"/>
      <c r="B219" s="5" t="str">
        <f>'Ingest Template'!B219&amp;IF('Ingest Template'!A219 = "Standard", " - DAR","")</f>
        <v/>
      </c>
      <c r="C219" s="6" t="str">
        <f>'Ingest Template'!C219</f>
        <v/>
      </c>
      <c r="D219" s="7" t="str">
        <f>'Ingest Template'!E219</f>
        <v/>
      </c>
      <c r="E219" s="5"/>
      <c r="F219" s="5"/>
      <c r="G219" s="5"/>
      <c r="H219" s="7"/>
      <c r="I219" s="5"/>
      <c r="J219" s="7" t="str">
        <f>'Ingest Template'!Q219</f>
        <v/>
      </c>
      <c r="K219" s="5" t="str">
        <f>'Ingest Template'!R219</f>
        <v/>
      </c>
      <c r="L219" s="8" t="s">
        <v>38</v>
      </c>
      <c r="M219" s="9"/>
      <c r="N219" s="5"/>
      <c r="O219" s="5"/>
      <c r="P219" s="5"/>
      <c r="Q219" s="5"/>
      <c r="R219" s="5" t="str">
        <f>'Ingest Template'!D219</f>
        <v/>
      </c>
      <c r="S219" s="5" t="str">
        <f>'Ingest Template'!G219</f>
        <v/>
      </c>
      <c r="T219" s="5" t="str">
        <f>'Ingest Template'!H219</f>
        <v/>
      </c>
      <c r="U219" s="5" t="str">
        <f>LOWER(SUBSTITUTE(SUBSTITUTE(SUBSTITUTE(SUBSTITUTE(SUBSTITUTE('Ingest Template'!I219,"https:",""),"www.",""),"/",""),"?hl=en",""),"instagram.com",""))</f>
        <v/>
      </c>
      <c r="V219" s="10" t="str">
        <f>'Ingest Template'!J219</f>
        <v/>
      </c>
      <c r="W219" s="10" t="str">
        <f>'Ingest Template'!K219</f>
        <v/>
      </c>
      <c r="X219" s="5"/>
      <c r="Y219" s="5" t="str">
        <f>SUBSTITUTE(SUBSTITUTE(SUBSTITUTE('Ingest Template'!L219,"http:",""),"https:",""),"/","")</f>
        <v/>
      </c>
      <c r="Z219" s="5" t="str">
        <f t="array" ref="Z219">IF('Ingest Template'!A219="Standard",(IF(ISBLANK('Ingest Template'!M219),"", 'Ingest Template'!M219&amp;"|DAR")),(IF(ISBLANK('Ingest Template'!M219),"", 'Ingest Template'!M219&amp;"|Operations - Core Title")))</f>
        <v/>
      </c>
      <c r="AA219" s="5"/>
      <c r="AB219" s="5" t="str">
        <f>'Ingest Template'!F219</f>
        <v/>
      </c>
      <c r="AC219" s="5"/>
      <c r="AD219" s="5"/>
      <c r="AE219" s="5"/>
      <c r="AF219" s="8"/>
      <c r="AG219" s="5" t="str">
        <f t="array" ref="AG219">IF('Ingest Template'!A219="Standard",(CONCATENATE(IF(ISBLANK('Ingest Template'!N219),"", 'Ingest Template'!N219&amp;"|DAR"),CHAR(10), IF(ISBLANK('Ingest Template'!O219),"", 'Ingest Template'!O219&amp;"|DAR"),CHAR(10), IF(ISBLANK('Ingest Template'!P219),"", 'Ingest Template'!P219&amp;"|DAR"))),(CONCATENATE(IF(ISBLANK('Ingest Template'!N219),"", 'Ingest Template'!N219&amp;"|Operations - Core Title"),CHAR(10), IF(ISBLANK('Ingest Template'!O219),"", 'Ingest Template'!O219&amp;"|Operations - Core Title"),CHAR(10), IF(ISBLANK('Ingest Template'!P219),"", 'Ingest Template'!P219&amp;"|Operations - Core Title"))))</f>
        <v>#|Operations - Core Title
</v>
      </c>
      <c r="AH219" s="5"/>
      <c r="AI219" s="5"/>
      <c r="AJ219" s="5"/>
      <c r="AK219" s="5"/>
      <c r="AL219" s="5"/>
    </row>
    <row r="220">
      <c r="A220" s="5"/>
      <c r="B220" s="5" t="str">
        <f>'Ingest Template'!B220&amp;IF('Ingest Template'!A220 = "Standard", " - DAR","")</f>
        <v/>
      </c>
      <c r="C220" s="6" t="str">
        <f>'Ingest Template'!C220</f>
        <v/>
      </c>
      <c r="D220" s="7" t="str">
        <f>'Ingest Template'!E220</f>
        <v/>
      </c>
      <c r="E220" s="5"/>
      <c r="F220" s="5"/>
      <c r="G220" s="5"/>
      <c r="H220" s="7"/>
      <c r="I220" s="5"/>
      <c r="J220" s="7" t="str">
        <f>'Ingest Template'!Q220</f>
        <v/>
      </c>
      <c r="K220" s="5" t="str">
        <f>'Ingest Template'!R220</f>
        <v/>
      </c>
      <c r="L220" s="8" t="s">
        <v>38</v>
      </c>
      <c r="M220" s="9"/>
      <c r="N220" s="5"/>
      <c r="O220" s="5"/>
      <c r="P220" s="5"/>
      <c r="Q220" s="5"/>
      <c r="R220" s="5" t="str">
        <f>'Ingest Template'!D220</f>
        <v/>
      </c>
      <c r="S220" s="5" t="str">
        <f>'Ingest Template'!G220</f>
        <v/>
      </c>
      <c r="T220" s="5" t="str">
        <f>'Ingest Template'!H220</f>
        <v/>
      </c>
      <c r="U220" s="5" t="str">
        <f>LOWER(SUBSTITUTE(SUBSTITUTE(SUBSTITUTE(SUBSTITUTE(SUBSTITUTE('Ingest Template'!I220,"https:",""),"www.",""),"/",""),"?hl=en",""),"instagram.com",""))</f>
        <v/>
      </c>
      <c r="V220" s="10" t="str">
        <f>'Ingest Template'!J220</f>
        <v/>
      </c>
      <c r="W220" s="10" t="str">
        <f>'Ingest Template'!K220</f>
        <v/>
      </c>
      <c r="X220" s="5"/>
      <c r="Y220" s="5" t="str">
        <f>SUBSTITUTE(SUBSTITUTE(SUBSTITUTE('Ingest Template'!L220,"http:",""),"https:",""),"/","")</f>
        <v/>
      </c>
      <c r="Z220" s="5" t="str">
        <f t="array" ref="Z220">IF('Ingest Template'!A220="Standard",(IF(ISBLANK('Ingest Template'!M220),"", 'Ingest Template'!M220&amp;"|DAR")),(IF(ISBLANK('Ingest Template'!M220),"", 'Ingest Template'!M220&amp;"|Operations - Core Title")))</f>
        <v/>
      </c>
      <c r="AA220" s="5"/>
      <c r="AB220" s="5" t="str">
        <f>'Ingest Template'!F220</f>
        <v/>
      </c>
      <c r="AC220" s="5"/>
      <c r="AD220" s="5"/>
      <c r="AE220" s="5"/>
      <c r="AF220" s="8"/>
      <c r="AG220" s="5" t="str">
        <f t="array" ref="AG220">IF('Ingest Template'!A220="Standard",(CONCATENATE(IF(ISBLANK('Ingest Template'!N220),"", 'Ingest Template'!N220&amp;"|DAR"),CHAR(10), IF(ISBLANK('Ingest Template'!O220),"", 'Ingest Template'!O220&amp;"|DAR"),CHAR(10), IF(ISBLANK('Ingest Template'!P220),"", 'Ingest Template'!P220&amp;"|DAR"))),(CONCATENATE(IF(ISBLANK('Ingest Template'!N220),"", 'Ingest Template'!N220&amp;"|Operations - Core Title"),CHAR(10), IF(ISBLANK('Ingest Template'!O220),"", 'Ingest Template'!O220&amp;"|Operations - Core Title"),CHAR(10), IF(ISBLANK('Ingest Template'!P220),"", 'Ingest Template'!P220&amp;"|Operations - Core Title"))))</f>
        <v>#|Operations - Core Title
</v>
      </c>
      <c r="AH220" s="5"/>
      <c r="AI220" s="5"/>
      <c r="AJ220" s="5"/>
      <c r="AK220" s="5"/>
      <c r="AL220" s="5"/>
    </row>
    <row r="221">
      <c r="A221" s="5"/>
      <c r="B221" s="5" t="str">
        <f>'Ingest Template'!B221&amp;IF('Ingest Template'!A221 = "Standard", " - DAR","")</f>
        <v/>
      </c>
      <c r="C221" s="6" t="str">
        <f>'Ingest Template'!C221</f>
        <v/>
      </c>
      <c r="D221" s="7" t="str">
        <f>'Ingest Template'!E221</f>
        <v/>
      </c>
      <c r="E221" s="5"/>
      <c r="F221" s="5"/>
      <c r="G221" s="5"/>
      <c r="H221" s="7"/>
      <c r="I221" s="5"/>
      <c r="J221" s="7" t="str">
        <f>'Ingest Template'!Q221</f>
        <v/>
      </c>
      <c r="K221" s="5" t="str">
        <f>'Ingest Template'!R221</f>
        <v/>
      </c>
      <c r="L221" s="8" t="s">
        <v>38</v>
      </c>
      <c r="M221" s="9"/>
      <c r="N221" s="5"/>
      <c r="O221" s="5"/>
      <c r="P221" s="5"/>
      <c r="Q221" s="5"/>
      <c r="R221" s="5" t="str">
        <f>'Ingest Template'!D221</f>
        <v/>
      </c>
      <c r="S221" s="5" t="str">
        <f>'Ingest Template'!G221</f>
        <v/>
      </c>
      <c r="T221" s="5" t="str">
        <f>'Ingest Template'!H221</f>
        <v/>
      </c>
      <c r="U221" s="5" t="str">
        <f>LOWER(SUBSTITUTE(SUBSTITUTE(SUBSTITUTE(SUBSTITUTE(SUBSTITUTE('Ingest Template'!I221,"https:",""),"www.",""),"/",""),"?hl=en",""),"instagram.com",""))</f>
        <v/>
      </c>
      <c r="V221" s="10" t="str">
        <f>'Ingest Template'!J221</f>
        <v/>
      </c>
      <c r="W221" s="10" t="str">
        <f>'Ingest Template'!K221</f>
        <v/>
      </c>
      <c r="X221" s="5"/>
      <c r="Y221" s="5" t="str">
        <f>SUBSTITUTE(SUBSTITUTE(SUBSTITUTE('Ingest Template'!L221,"http:",""),"https:",""),"/","")</f>
        <v/>
      </c>
      <c r="Z221" s="5" t="str">
        <f t="array" ref="Z221">IF('Ingest Template'!A221="Standard",(IF(ISBLANK('Ingest Template'!M221),"", 'Ingest Template'!M221&amp;"|DAR")),(IF(ISBLANK('Ingest Template'!M221),"", 'Ingest Template'!M221&amp;"|Operations - Core Title")))</f>
        <v/>
      </c>
      <c r="AA221" s="5"/>
      <c r="AB221" s="5" t="str">
        <f>'Ingest Template'!F221</f>
        <v/>
      </c>
      <c r="AC221" s="5"/>
      <c r="AD221" s="5"/>
      <c r="AE221" s="5"/>
      <c r="AF221" s="8"/>
      <c r="AG221" s="5" t="str">
        <f t="array" ref="AG221">IF('Ingest Template'!A221="Standard",(CONCATENATE(IF(ISBLANK('Ingest Template'!N221),"", 'Ingest Template'!N221&amp;"|DAR"),CHAR(10), IF(ISBLANK('Ingest Template'!O221),"", 'Ingest Template'!O221&amp;"|DAR"),CHAR(10), IF(ISBLANK('Ingest Template'!P221),"", 'Ingest Template'!P221&amp;"|DAR"))),(CONCATENATE(IF(ISBLANK('Ingest Template'!N221),"", 'Ingest Template'!N221&amp;"|Operations - Core Title"),CHAR(10), IF(ISBLANK('Ingest Template'!O221),"", 'Ingest Template'!O221&amp;"|Operations - Core Title"),CHAR(10), IF(ISBLANK('Ingest Template'!P221),"", 'Ingest Template'!P221&amp;"|Operations - Core Title"))))</f>
        <v>#|Operations - Core Title
</v>
      </c>
      <c r="AH221" s="5"/>
      <c r="AI221" s="5"/>
      <c r="AJ221" s="5"/>
      <c r="AK221" s="5"/>
      <c r="AL221" s="5"/>
    </row>
    <row r="222">
      <c r="A222" s="5"/>
      <c r="B222" s="5" t="str">
        <f>'Ingest Template'!B222&amp;IF('Ingest Template'!A222 = "Standard", " - DAR","")</f>
        <v/>
      </c>
      <c r="C222" s="6" t="str">
        <f>'Ingest Template'!C222</f>
        <v/>
      </c>
      <c r="D222" s="7" t="str">
        <f>'Ingest Template'!E222</f>
        <v/>
      </c>
      <c r="E222" s="5"/>
      <c r="F222" s="5"/>
      <c r="G222" s="5"/>
      <c r="H222" s="7"/>
      <c r="I222" s="5"/>
      <c r="J222" s="7" t="str">
        <f>'Ingest Template'!Q222</f>
        <v/>
      </c>
      <c r="K222" s="5" t="str">
        <f>'Ingest Template'!R222</f>
        <v/>
      </c>
      <c r="L222" s="8" t="s">
        <v>38</v>
      </c>
      <c r="M222" s="9"/>
      <c r="N222" s="5"/>
      <c r="O222" s="5"/>
      <c r="P222" s="5"/>
      <c r="Q222" s="5"/>
      <c r="R222" s="5" t="str">
        <f>'Ingest Template'!D222</f>
        <v/>
      </c>
      <c r="S222" s="5" t="str">
        <f>'Ingest Template'!G222</f>
        <v/>
      </c>
      <c r="T222" s="5" t="str">
        <f>'Ingest Template'!H222</f>
        <v/>
      </c>
      <c r="U222" s="5" t="str">
        <f>LOWER(SUBSTITUTE(SUBSTITUTE(SUBSTITUTE(SUBSTITUTE(SUBSTITUTE('Ingest Template'!I222,"https:",""),"www.",""),"/",""),"?hl=en",""),"instagram.com",""))</f>
        <v/>
      </c>
      <c r="V222" s="10" t="str">
        <f>'Ingest Template'!J222</f>
        <v/>
      </c>
      <c r="W222" s="10" t="str">
        <f>'Ingest Template'!K222</f>
        <v/>
      </c>
      <c r="X222" s="5"/>
      <c r="Y222" s="5" t="str">
        <f>SUBSTITUTE(SUBSTITUTE(SUBSTITUTE('Ingest Template'!L222,"http:",""),"https:",""),"/","")</f>
        <v/>
      </c>
      <c r="Z222" s="5" t="str">
        <f t="array" ref="Z222">IF('Ingest Template'!A222="Standard",(IF(ISBLANK('Ingest Template'!M222),"", 'Ingest Template'!M222&amp;"|DAR")),(IF(ISBLANK('Ingest Template'!M222),"", 'Ingest Template'!M222&amp;"|Operations - Core Title")))</f>
        <v/>
      </c>
      <c r="AA222" s="5"/>
      <c r="AB222" s="5" t="str">
        <f>'Ingest Template'!F222</f>
        <v/>
      </c>
      <c r="AC222" s="5"/>
      <c r="AD222" s="5"/>
      <c r="AE222" s="5"/>
      <c r="AF222" s="8"/>
      <c r="AG222" s="5" t="str">
        <f t="array" ref="AG222">IF('Ingest Template'!A222="Standard",(CONCATENATE(IF(ISBLANK('Ingest Template'!N222),"", 'Ingest Template'!N222&amp;"|DAR"),CHAR(10), IF(ISBLANK('Ingest Template'!O222),"", 'Ingest Template'!O222&amp;"|DAR"),CHAR(10), IF(ISBLANK('Ingest Template'!P222),"", 'Ingest Template'!P222&amp;"|DAR"))),(CONCATENATE(IF(ISBLANK('Ingest Template'!N222),"", 'Ingest Template'!N222&amp;"|Operations - Core Title"),CHAR(10), IF(ISBLANK('Ingest Template'!O222),"", 'Ingest Template'!O222&amp;"|Operations - Core Title"),CHAR(10), IF(ISBLANK('Ingest Template'!P222),"", 'Ingest Template'!P222&amp;"|Operations - Core Title"))))</f>
        <v>#|Operations - Core Title
</v>
      </c>
      <c r="AH222" s="5"/>
      <c r="AI222" s="5"/>
      <c r="AJ222" s="5"/>
      <c r="AK222" s="5"/>
      <c r="AL222" s="5"/>
    </row>
    <row r="223">
      <c r="A223" s="5"/>
      <c r="B223" s="5" t="str">
        <f>'Ingest Template'!B223&amp;IF('Ingest Template'!A223 = "Standard", " - DAR","")</f>
        <v/>
      </c>
      <c r="C223" s="6" t="str">
        <f>'Ingest Template'!C223</f>
        <v/>
      </c>
      <c r="D223" s="7" t="str">
        <f>'Ingest Template'!E223</f>
        <v/>
      </c>
      <c r="E223" s="5"/>
      <c r="F223" s="5"/>
      <c r="G223" s="5"/>
      <c r="H223" s="7"/>
      <c r="I223" s="5"/>
      <c r="J223" s="7" t="str">
        <f>'Ingest Template'!Q223</f>
        <v/>
      </c>
      <c r="K223" s="5" t="str">
        <f>'Ingest Template'!R223</f>
        <v/>
      </c>
      <c r="L223" s="8" t="s">
        <v>38</v>
      </c>
      <c r="M223" s="9"/>
      <c r="N223" s="5"/>
      <c r="O223" s="5"/>
      <c r="P223" s="5"/>
      <c r="Q223" s="5"/>
      <c r="R223" s="5" t="str">
        <f>'Ingest Template'!D223</f>
        <v/>
      </c>
      <c r="S223" s="5" t="str">
        <f>'Ingest Template'!G223</f>
        <v/>
      </c>
      <c r="T223" s="5" t="str">
        <f>'Ingest Template'!H223</f>
        <v/>
      </c>
      <c r="U223" s="5" t="str">
        <f>LOWER(SUBSTITUTE(SUBSTITUTE(SUBSTITUTE(SUBSTITUTE(SUBSTITUTE('Ingest Template'!I223,"https:",""),"www.",""),"/",""),"?hl=en",""),"instagram.com",""))</f>
        <v/>
      </c>
      <c r="V223" s="10" t="str">
        <f>'Ingest Template'!J223</f>
        <v/>
      </c>
      <c r="W223" s="10" t="str">
        <f>'Ingest Template'!K223</f>
        <v/>
      </c>
      <c r="X223" s="5"/>
      <c r="Y223" s="5" t="str">
        <f>SUBSTITUTE(SUBSTITUTE(SUBSTITUTE('Ingest Template'!L223,"http:",""),"https:",""),"/","")</f>
        <v/>
      </c>
      <c r="Z223" s="5" t="str">
        <f t="array" ref="Z223">IF('Ingest Template'!A223="Standard",(IF(ISBLANK('Ingest Template'!M223),"", 'Ingest Template'!M223&amp;"|DAR")),(IF(ISBLANK('Ingest Template'!M223),"", 'Ingest Template'!M223&amp;"|Operations - Core Title")))</f>
        <v/>
      </c>
      <c r="AA223" s="5"/>
      <c r="AB223" s="5" t="str">
        <f>'Ingest Template'!F223</f>
        <v/>
      </c>
      <c r="AC223" s="5"/>
      <c r="AD223" s="5"/>
      <c r="AE223" s="5"/>
      <c r="AF223" s="8"/>
      <c r="AG223" s="5" t="str">
        <f t="array" ref="AG223">IF('Ingest Template'!A223="Standard",(CONCATENATE(IF(ISBLANK('Ingest Template'!N223),"", 'Ingest Template'!N223&amp;"|DAR"),CHAR(10), IF(ISBLANK('Ingest Template'!O223),"", 'Ingest Template'!O223&amp;"|DAR"),CHAR(10), IF(ISBLANK('Ingest Template'!P223),"", 'Ingest Template'!P223&amp;"|DAR"))),(CONCATENATE(IF(ISBLANK('Ingest Template'!N223),"", 'Ingest Template'!N223&amp;"|Operations - Core Title"),CHAR(10), IF(ISBLANK('Ingest Template'!O223),"", 'Ingest Template'!O223&amp;"|Operations - Core Title"),CHAR(10), IF(ISBLANK('Ingest Template'!P223),"", 'Ingest Template'!P223&amp;"|Operations - Core Title"))))</f>
        <v>#|Operations - Core Title
</v>
      </c>
      <c r="AH223" s="5"/>
      <c r="AI223" s="5"/>
      <c r="AJ223" s="5"/>
      <c r="AK223" s="5"/>
      <c r="AL223" s="5"/>
    </row>
    <row r="224">
      <c r="A224" s="5"/>
      <c r="B224" s="5" t="str">
        <f>'Ingest Template'!B224&amp;IF('Ingest Template'!A224 = "Standard", " - DAR","")</f>
        <v/>
      </c>
      <c r="C224" s="6" t="str">
        <f>'Ingest Template'!C224</f>
        <v/>
      </c>
      <c r="D224" s="7" t="str">
        <f>'Ingest Template'!E224</f>
        <v/>
      </c>
      <c r="E224" s="5"/>
      <c r="F224" s="5"/>
      <c r="G224" s="5"/>
      <c r="H224" s="7"/>
      <c r="I224" s="5"/>
      <c r="J224" s="7" t="str">
        <f>'Ingest Template'!Q224</f>
        <v/>
      </c>
      <c r="K224" s="5" t="str">
        <f>'Ingest Template'!R224</f>
        <v/>
      </c>
      <c r="L224" s="8" t="s">
        <v>38</v>
      </c>
      <c r="M224" s="9"/>
      <c r="N224" s="5"/>
      <c r="O224" s="5"/>
      <c r="P224" s="5"/>
      <c r="Q224" s="5"/>
      <c r="R224" s="5" t="str">
        <f>'Ingest Template'!D224</f>
        <v/>
      </c>
      <c r="S224" s="5" t="str">
        <f>'Ingest Template'!G224</f>
        <v/>
      </c>
      <c r="T224" s="5" t="str">
        <f>'Ingest Template'!H224</f>
        <v/>
      </c>
      <c r="U224" s="5" t="str">
        <f>LOWER(SUBSTITUTE(SUBSTITUTE(SUBSTITUTE(SUBSTITUTE(SUBSTITUTE('Ingest Template'!I224,"https:",""),"www.",""),"/",""),"?hl=en",""),"instagram.com",""))</f>
        <v/>
      </c>
      <c r="V224" s="10" t="str">
        <f>'Ingest Template'!J224</f>
        <v/>
      </c>
      <c r="W224" s="10" t="str">
        <f>'Ingest Template'!K224</f>
        <v/>
      </c>
      <c r="X224" s="5"/>
      <c r="Y224" s="5" t="str">
        <f>SUBSTITUTE(SUBSTITUTE(SUBSTITUTE('Ingest Template'!L224,"http:",""),"https:",""),"/","")</f>
        <v/>
      </c>
      <c r="Z224" s="5" t="str">
        <f t="array" ref="Z224">IF('Ingest Template'!A224="Standard",(IF(ISBLANK('Ingest Template'!M224),"", 'Ingest Template'!M224&amp;"|DAR")),(IF(ISBLANK('Ingest Template'!M224),"", 'Ingest Template'!M224&amp;"|Operations - Core Title")))</f>
        <v/>
      </c>
      <c r="AA224" s="5"/>
      <c r="AB224" s="5" t="str">
        <f>'Ingest Template'!F224</f>
        <v/>
      </c>
      <c r="AC224" s="5"/>
      <c r="AD224" s="5"/>
      <c r="AE224" s="5"/>
      <c r="AF224" s="8"/>
      <c r="AG224" s="5" t="str">
        <f t="array" ref="AG224">IF('Ingest Template'!A224="Standard",(CONCATENATE(IF(ISBLANK('Ingest Template'!N224),"", 'Ingest Template'!N224&amp;"|DAR"),CHAR(10), IF(ISBLANK('Ingest Template'!O224),"", 'Ingest Template'!O224&amp;"|DAR"),CHAR(10), IF(ISBLANK('Ingest Template'!P224),"", 'Ingest Template'!P224&amp;"|DAR"))),(CONCATENATE(IF(ISBLANK('Ingest Template'!N224),"", 'Ingest Template'!N224&amp;"|Operations - Core Title"),CHAR(10), IF(ISBLANK('Ingest Template'!O224),"", 'Ingest Template'!O224&amp;"|Operations - Core Title"),CHAR(10), IF(ISBLANK('Ingest Template'!P224),"", 'Ingest Template'!P224&amp;"|Operations - Core Title"))))</f>
        <v>#|Operations - Core Title
</v>
      </c>
      <c r="AH224" s="5"/>
      <c r="AI224" s="5"/>
      <c r="AJ224" s="5"/>
      <c r="AK224" s="5"/>
      <c r="AL224" s="5"/>
    </row>
    <row r="225">
      <c r="A225" s="5"/>
      <c r="B225" s="5" t="str">
        <f>'Ingest Template'!B225&amp;IF('Ingest Template'!A225 = "Standard", " - DAR","")</f>
        <v/>
      </c>
      <c r="C225" s="6" t="str">
        <f>'Ingest Template'!C225</f>
        <v/>
      </c>
      <c r="D225" s="7" t="str">
        <f>'Ingest Template'!E225</f>
        <v/>
      </c>
      <c r="E225" s="5"/>
      <c r="F225" s="5"/>
      <c r="G225" s="5"/>
      <c r="H225" s="7"/>
      <c r="I225" s="5"/>
      <c r="J225" s="7" t="str">
        <f>'Ingest Template'!Q225</f>
        <v/>
      </c>
      <c r="K225" s="5" t="str">
        <f>'Ingest Template'!R225</f>
        <v/>
      </c>
      <c r="L225" s="8" t="s">
        <v>38</v>
      </c>
      <c r="M225" s="9"/>
      <c r="N225" s="5"/>
      <c r="O225" s="5"/>
      <c r="P225" s="5"/>
      <c r="Q225" s="5"/>
      <c r="R225" s="5" t="str">
        <f>'Ingest Template'!D225</f>
        <v/>
      </c>
      <c r="S225" s="5" t="str">
        <f>'Ingest Template'!G225</f>
        <v/>
      </c>
      <c r="T225" s="5" t="str">
        <f>'Ingest Template'!H225</f>
        <v/>
      </c>
      <c r="U225" s="5" t="str">
        <f>LOWER(SUBSTITUTE(SUBSTITUTE(SUBSTITUTE(SUBSTITUTE(SUBSTITUTE('Ingest Template'!I225,"https:",""),"www.",""),"/",""),"?hl=en",""),"instagram.com",""))</f>
        <v/>
      </c>
      <c r="V225" s="10" t="str">
        <f>'Ingest Template'!J225</f>
        <v/>
      </c>
      <c r="W225" s="10" t="str">
        <f>'Ingest Template'!K225</f>
        <v/>
      </c>
      <c r="X225" s="5"/>
      <c r="Y225" s="5" t="str">
        <f>SUBSTITUTE(SUBSTITUTE(SUBSTITUTE('Ingest Template'!L225,"http:",""),"https:",""),"/","")</f>
        <v/>
      </c>
      <c r="Z225" s="5" t="str">
        <f t="array" ref="Z225">IF('Ingest Template'!A225="Standard",(IF(ISBLANK('Ingest Template'!M225),"", 'Ingest Template'!M225&amp;"|DAR")),(IF(ISBLANK('Ingest Template'!M225),"", 'Ingest Template'!M225&amp;"|Operations - Core Title")))</f>
        <v/>
      </c>
      <c r="AA225" s="5"/>
      <c r="AB225" s="5" t="str">
        <f>'Ingest Template'!F225</f>
        <v/>
      </c>
      <c r="AC225" s="5"/>
      <c r="AD225" s="5"/>
      <c r="AE225" s="5"/>
      <c r="AF225" s="8"/>
      <c r="AG225" s="5" t="str">
        <f t="array" ref="AG225">IF('Ingest Template'!A225="Standard",(CONCATENATE(IF(ISBLANK('Ingest Template'!N225),"", 'Ingest Template'!N225&amp;"|DAR"),CHAR(10), IF(ISBLANK('Ingest Template'!O225),"", 'Ingest Template'!O225&amp;"|DAR"),CHAR(10), IF(ISBLANK('Ingest Template'!P225),"", 'Ingest Template'!P225&amp;"|DAR"))),(CONCATENATE(IF(ISBLANK('Ingest Template'!N225),"", 'Ingest Template'!N225&amp;"|Operations - Core Title"),CHAR(10), IF(ISBLANK('Ingest Template'!O225),"", 'Ingest Template'!O225&amp;"|Operations - Core Title"),CHAR(10), IF(ISBLANK('Ingest Template'!P225),"", 'Ingest Template'!P225&amp;"|Operations - Core Title"))))</f>
        <v>#|Operations - Core Title
</v>
      </c>
      <c r="AH225" s="5"/>
      <c r="AI225" s="5"/>
      <c r="AJ225" s="5"/>
      <c r="AK225" s="5"/>
      <c r="AL225" s="5"/>
    </row>
    <row r="226">
      <c r="A226" s="5"/>
      <c r="B226" s="5" t="str">
        <f>'Ingest Template'!B226&amp;IF('Ingest Template'!A226 = "Standard", " - DAR","")</f>
        <v/>
      </c>
      <c r="C226" s="6" t="str">
        <f>'Ingest Template'!C226</f>
        <v/>
      </c>
      <c r="D226" s="7" t="str">
        <f>'Ingest Template'!E226</f>
        <v/>
      </c>
      <c r="E226" s="5"/>
      <c r="F226" s="5"/>
      <c r="G226" s="5"/>
      <c r="H226" s="7"/>
      <c r="I226" s="5"/>
      <c r="J226" s="7" t="str">
        <f>'Ingest Template'!Q226</f>
        <v/>
      </c>
      <c r="K226" s="5" t="str">
        <f>'Ingest Template'!R226</f>
        <v/>
      </c>
      <c r="L226" s="8" t="s">
        <v>38</v>
      </c>
      <c r="M226" s="9"/>
      <c r="N226" s="5"/>
      <c r="O226" s="5"/>
      <c r="P226" s="5"/>
      <c r="Q226" s="5"/>
      <c r="R226" s="5" t="str">
        <f>'Ingest Template'!D226</f>
        <v/>
      </c>
      <c r="S226" s="5" t="str">
        <f>'Ingest Template'!G226</f>
        <v/>
      </c>
      <c r="T226" s="5" t="str">
        <f>'Ingest Template'!H226</f>
        <v/>
      </c>
      <c r="U226" s="5" t="str">
        <f>LOWER(SUBSTITUTE(SUBSTITUTE(SUBSTITUTE(SUBSTITUTE(SUBSTITUTE('Ingest Template'!I226,"https:",""),"www.",""),"/",""),"?hl=en",""),"instagram.com",""))</f>
        <v/>
      </c>
      <c r="V226" s="10" t="str">
        <f>'Ingest Template'!J226</f>
        <v/>
      </c>
      <c r="W226" s="10" t="str">
        <f>'Ingest Template'!K226</f>
        <v/>
      </c>
      <c r="X226" s="5"/>
      <c r="Y226" s="5" t="str">
        <f>SUBSTITUTE(SUBSTITUTE(SUBSTITUTE('Ingest Template'!L226,"http:",""),"https:",""),"/","")</f>
        <v/>
      </c>
      <c r="Z226" s="5" t="str">
        <f t="array" ref="Z226">IF('Ingest Template'!A226="Standard",(IF(ISBLANK('Ingest Template'!M226),"", 'Ingest Template'!M226&amp;"|DAR")),(IF(ISBLANK('Ingest Template'!M226),"", 'Ingest Template'!M226&amp;"|Operations - Core Title")))</f>
        <v/>
      </c>
      <c r="AA226" s="5"/>
      <c r="AB226" s="5" t="str">
        <f>'Ingest Template'!F226</f>
        <v/>
      </c>
      <c r="AC226" s="5"/>
      <c r="AD226" s="5"/>
      <c r="AE226" s="5"/>
      <c r="AF226" s="8"/>
      <c r="AG226" s="5" t="str">
        <f t="array" ref="AG226">IF('Ingest Template'!A226="Standard",(CONCATENATE(IF(ISBLANK('Ingest Template'!N226),"", 'Ingest Template'!N226&amp;"|DAR"),CHAR(10), IF(ISBLANK('Ingest Template'!O226),"", 'Ingest Template'!O226&amp;"|DAR"),CHAR(10), IF(ISBLANK('Ingest Template'!P226),"", 'Ingest Template'!P226&amp;"|DAR"))),(CONCATENATE(IF(ISBLANK('Ingest Template'!N226),"", 'Ingest Template'!N226&amp;"|Operations - Core Title"),CHAR(10), IF(ISBLANK('Ingest Template'!O226),"", 'Ingest Template'!O226&amp;"|Operations - Core Title"),CHAR(10), IF(ISBLANK('Ingest Template'!P226),"", 'Ingest Template'!P226&amp;"|Operations - Core Title"))))</f>
        <v>#|Operations - Core Title
</v>
      </c>
      <c r="AH226" s="5"/>
      <c r="AI226" s="5"/>
      <c r="AJ226" s="5"/>
      <c r="AK226" s="5"/>
      <c r="AL226" s="5"/>
    </row>
    <row r="227">
      <c r="A227" s="5"/>
      <c r="B227" s="5" t="str">
        <f>'Ingest Template'!B227&amp;IF('Ingest Template'!A227 = "Standard", " - DAR","")</f>
        <v/>
      </c>
      <c r="C227" s="6" t="str">
        <f>'Ingest Template'!C227</f>
        <v/>
      </c>
      <c r="D227" s="7" t="str">
        <f>'Ingest Template'!E227</f>
        <v/>
      </c>
      <c r="E227" s="5"/>
      <c r="F227" s="5"/>
      <c r="G227" s="5"/>
      <c r="H227" s="7"/>
      <c r="I227" s="5"/>
      <c r="J227" s="7" t="str">
        <f>'Ingest Template'!Q227</f>
        <v/>
      </c>
      <c r="K227" s="5" t="str">
        <f>'Ingest Template'!R227</f>
        <v/>
      </c>
      <c r="L227" s="8" t="s">
        <v>38</v>
      </c>
      <c r="M227" s="9"/>
      <c r="N227" s="5"/>
      <c r="O227" s="5"/>
      <c r="P227" s="5"/>
      <c r="Q227" s="5"/>
      <c r="R227" s="5" t="str">
        <f>'Ingest Template'!D227</f>
        <v/>
      </c>
      <c r="S227" s="5" t="str">
        <f>'Ingest Template'!G227</f>
        <v/>
      </c>
      <c r="T227" s="5" t="str">
        <f>'Ingest Template'!H227</f>
        <v/>
      </c>
      <c r="U227" s="5" t="str">
        <f>LOWER(SUBSTITUTE(SUBSTITUTE(SUBSTITUTE(SUBSTITUTE(SUBSTITUTE('Ingest Template'!I227,"https:",""),"www.",""),"/",""),"?hl=en",""),"instagram.com",""))</f>
        <v/>
      </c>
      <c r="V227" s="10" t="str">
        <f>'Ingest Template'!J227</f>
        <v/>
      </c>
      <c r="W227" s="10" t="str">
        <f>'Ingest Template'!K227</f>
        <v/>
      </c>
      <c r="X227" s="5"/>
      <c r="Y227" s="5" t="str">
        <f>SUBSTITUTE(SUBSTITUTE(SUBSTITUTE('Ingest Template'!L227,"http:",""),"https:",""),"/","")</f>
        <v/>
      </c>
      <c r="Z227" s="5" t="str">
        <f t="array" ref="Z227">IF('Ingest Template'!A227="Standard",(IF(ISBLANK('Ingest Template'!M227),"", 'Ingest Template'!M227&amp;"|DAR")),(IF(ISBLANK('Ingest Template'!M227),"", 'Ingest Template'!M227&amp;"|Operations - Core Title")))</f>
        <v/>
      </c>
      <c r="AA227" s="5"/>
      <c r="AB227" s="5" t="str">
        <f>'Ingest Template'!F227</f>
        <v/>
      </c>
      <c r="AC227" s="5"/>
      <c r="AD227" s="5"/>
      <c r="AE227" s="5"/>
      <c r="AF227" s="8"/>
      <c r="AG227" s="5" t="str">
        <f t="array" ref="AG227">IF('Ingest Template'!A227="Standard",(CONCATENATE(IF(ISBLANK('Ingest Template'!N227),"", 'Ingest Template'!N227&amp;"|DAR"),CHAR(10), IF(ISBLANK('Ingest Template'!O227),"", 'Ingest Template'!O227&amp;"|DAR"),CHAR(10), IF(ISBLANK('Ingest Template'!P227),"", 'Ingest Template'!P227&amp;"|DAR"))),(CONCATENATE(IF(ISBLANK('Ingest Template'!N227),"", 'Ingest Template'!N227&amp;"|Operations - Core Title"),CHAR(10), IF(ISBLANK('Ingest Template'!O227),"", 'Ingest Template'!O227&amp;"|Operations - Core Title"),CHAR(10), IF(ISBLANK('Ingest Template'!P227),"", 'Ingest Template'!P227&amp;"|Operations - Core Title"))))</f>
        <v>#|Operations - Core Title
</v>
      </c>
      <c r="AH227" s="5"/>
      <c r="AI227" s="5"/>
      <c r="AJ227" s="5"/>
      <c r="AK227" s="5"/>
      <c r="AL227" s="5"/>
    </row>
    <row r="228">
      <c r="A228" s="5"/>
      <c r="B228" s="5" t="str">
        <f>'Ingest Template'!B228&amp;IF('Ingest Template'!A228 = "Standard", " - DAR","")</f>
        <v/>
      </c>
      <c r="C228" s="6" t="str">
        <f>'Ingest Template'!C228</f>
        <v/>
      </c>
      <c r="D228" s="7" t="str">
        <f>'Ingest Template'!E228</f>
        <v/>
      </c>
      <c r="E228" s="5"/>
      <c r="F228" s="5"/>
      <c r="G228" s="5"/>
      <c r="H228" s="7"/>
      <c r="I228" s="5"/>
      <c r="J228" s="7" t="str">
        <f>'Ingest Template'!Q228</f>
        <v/>
      </c>
      <c r="K228" s="5" t="str">
        <f>'Ingest Template'!R228</f>
        <v/>
      </c>
      <c r="L228" s="8" t="s">
        <v>38</v>
      </c>
      <c r="M228" s="9"/>
      <c r="N228" s="5"/>
      <c r="O228" s="5"/>
      <c r="P228" s="5"/>
      <c r="Q228" s="5"/>
      <c r="R228" s="5" t="str">
        <f>'Ingest Template'!D228</f>
        <v/>
      </c>
      <c r="S228" s="5" t="str">
        <f>'Ingest Template'!G228</f>
        <v/>
      </c>
      <c r="T228" s="5" t="str">
        <f>'Ingest Template'!H228</f>
        <v/>
      </c>
      <c r="U228" s="5" t="str">
        <f>LOWER(SUBSTITUTE(SUBSTITUTE(SUBSTITUTE(SUBSTITUTE(SUBSTITUTE('Ingest Template'!I228,"https:",""),"www.",""),"/",""),"?hl=en",""),"instagram.com",""))</f>
        <v/>
      </c>
      <c r="V228" s="10" t="str">
        <f>'Ingest Template'!J228</f>
        <v/>
      </c>
      <c r="W228" s="10" t="str">
        <f>'Ingest Template'!K228</f>
        <v/>
      </c>
      <c r="X228" s="5"/>
      <c r="Y228" s="5" t="str">
        <f>SUBSTITUTE(SUBSTITUTE(SUBSTITUTE('Ingest Template'!L228,"http:",""),"https:",""),"/","")</f>
        <v/>
      </c>
      <c r="Z228" s="5" t="str">
        <f t="array" ref="Z228">IF('Ingest Template'!A228="Standard",(IF(ISBLANK('Ingest Template'!M228),"", 'Ingest Template'!M228&amp;"|DAR")),(IF(ISBLANK('Ingest Template'!M228),"", 'Ingest Template'!M228&amp;"|Operations - Core Title")))</f>
        <v/>
      </c>
      <c r="AA228" s="5"/>
      <c r="AB228" s="5" t="str">
        <f>'Ingest Template'!F228</f>
        <v/>
      </c>
      <c r="AC228" s="5"/>
      <c r="AD228" s="5"/>
      <c r="AE228" s="5"/>
      <c r="AF228" s="8"/>
      <c r="AG228" s="5" t="str">
        <f t="array" ref="AG228">IF('Ingest Template'!A228="Standard",(CONCATENATE(IF(ISBLANK('Ingest Template'!N228),"", 'Ingest Template'!N228&amp;"|DAR"),CHAR(10), IF(ISBLANK('Ingest Template'!O228),"", 'Ingest Template'!O228&amp;"|DAR"),CHAR(10), IF(ISBLANK('Ingest Template'!P228),"", 'Ingest Template'!P228&amp;"|DAR"))),(CONCATENATE(IF(ISBLANK('Ingest Template'!N228),"", 'Ingest Template'!N228&amp;"|Operations - Core Title"),CHAR(10), IF(ISBLANK('Ingest Template'!O228),"", 'Ingest Template'!O228&amp;"|Operations - Core Title"),CHAR(10), IF(ISBLANK('Ingest Template'!P228),"", 'Ingest Template'!P228&amp;"|Operations - Core Title"))))</f>
        <v>#|Operations - Core Title
</v>
      </c>
      <c r="AH228" s="5"/>
      <c r="AI228" s="5"/>
      <c r="AJ228" s="5"/>
      <c r="AK228" s="5"/>
      <c r="AL228" s="5"/>
    </row>
    <row r="229">
      <c r="A229" s="5"/>
      <c r="B229" s="5" t="str">
        <f>'Ingest Template'!B229&amp;IF('Ingest Template'!A229 = "Standard", " - DAR","")</f>
        <v/>
      </c>
      <c r="C229" s="6" t="str">
        <f>'Ingest Template'!C229</f>
        <v/>
      </c>
      <c r="D229" s="7" t="str">
        <f>'Ingest Template'!E229</f>
        <v/>
      </c>
      <c r="E229" s="5"/>
      <c r="F229" s="5"/>
      <c r="G229" s="5"/>
      <c r="H229" s="7"/>
      <c r="I229" s="5"/>
      <c r="J229" s="7" t="str">
        <f>'Ingest Template'!Q229</f>
        <v/>
      </c>
      <c r="K229" s="5" t="str">
        <f>'Ingest Template'!R229</f>
        <v/>
      </c>
      <c r="L229" s="8" t="s">
        <v>38</v>
      </c>
      <c r="M229" s="9"/>
      <c r="N229" s="5"/>
      <c r="O229" s="5"/>
      <c r="P229" s="5"/>
      <c r="Q229" s="5"/>
      <c r="R229" s="5" t="str">
        <f>'Ingest Template'!D229</f>
        <v/>
      </c>
      <c r="S229" s="5" t="str">
        <f>'Ingest Template'!G229</f>
        <v/>
      </c>
      <c r="T229" s="5" t="str">
        <f>'Ingest Template'!H229</f>
        <v/>
      </c>
      <c r="U229" s="5" t="str">
        <f>LOWER(SUBSTITUTE(SUBSTITUTE(SUBSTITUTE(SUBSTITUTE(SUBSTITUTE('Ingest Template'!I229,"https:",""),"www.",""),"/",""),"?hl=en",""),"instagram.com",""))</f>
        <v/>
      </c>
      <c r="V229" s="10" t="str">
        <f>'Ingest Template'!J229</f>
        <v/>
      </c>
      <c r="W229" s="10" t="str">
        <f>'Ingest Template'!K229</f>
        <v/>
      </c>
      <c r="X229" s="5"/>
      <c r="Y229" s="5" t="str">
        <f>SUBSTITUTE(SUBSTITUTE(SUBSTITUTE('Ingest Template'!L229,"http:",""),"https:",""),"/","")</f>
        <v/>
      </c>
      <c r="Z229" s="5" t="str">
        <f t="array" ref="Z229">IF('Ingest Template'!A229="Standard",(IF(ISBLANK('Ingest Template'!M229),"", 'Ingest Template'!M229&amp;"|DAR")),(IF(ISBLANK('Ingest Template'!M229),"", 'Ingest Template'!M229&amp;"|Operations - Core Title")))</f>
        <v/>
      </c>
      <c r="AA229" s="5"/>
      <c r="AB229" s="5" t="str">
        <f>'Ingest Template'!F229</f>
        <v/>
      </c>
      <c r="AC229" s="5"/>
      <c r="AD229" s="5"/>
      <c r="AE229" s="5"/>
      <c r="AF229" s="8"/>
      <c r="AG229" s="5" t="str">
        <f t="array" ref="AG229">IF('Ingest Template'!A229="Standard",(CONCATENATE(IF(ISBLANK('Ingest Template'!N229),"", 'Ingest Template'!N229&amp;"|DAR"),CHAR(10), IF(ISBLANK('Ingest Template'!O229),"", 'Ingest Template'!O229&amp;"|DAR"),CHAR(10), IF(ISBLANK('Ingest Template'!P229),"", 'Ingest Template'!P229&amp;"|DAR"))),(CONCATENATE(IF(ISBLANK('Ingest Template'!N229),"", 'Ingest Template'!N229&amp;"|Operations - Core Title"),CHAR(10), IF(ISBLANK('Ingest Template'!O229),"", 'Ingest Template'!O229&amp;"|Operations - Core Title"),CHAR(10), IF(ISBLANK('Ingest Template'!P229),"", 'Ingest Template'!P229&amp;"|Operations - Core Title"))))</f>
        <v>#|Operations - Core Title
</v>
      </c>
      <c r="AH229" s="5"/>
      <c r="AI229" s="5"/>
      <c r="AJ229" s="5"/>
      <c r="AK229" s="5"/>
      <c r="AL229" s="5"/>
    </row>
    <row r="230">
      <c r="A230" s="5"/>
      <c r="B230" s="5" t="str">
        <f>'Ingest Template'!B230&amp;IF('Ingest Template'!A230 = "Standard", " - DAR","")</f>
        <v/>
      </c>
      <c r="C230" s="6" t="str">
        <f>'Ingest Template'!C230</f>
        <v/>
      </c>
      <c r="D230" s="7" t="str">
        <f>'Ingest Template'!E230</f>
        <v/>
      </c>
      <c r="E230" s="5"/>
      <c r="F230" s="5"/>
      <c r="G230" s="5"/>
      <c r="H230" s="7"/>
      <c r="I230" s="5"/>
      <c r="J230" s="7" t="str">
        <f>'Ingest Template'!Q230</f>
        <v/>
      </c>
      <c r="K230" s="5" t="str">
        <f>'Ingest Template'!R230</f>
        <v/>
      </c>
      <c r="L230" s="8" t="s">
        <v>38</v>
      </c>
      <c r="M230" s="9"/>
      <c r="N230" s="5"/>
      <c r="O230" s="5"/>
      <c r="P230" s="5"/>
      <c r="Q230" s="5"/>
      <c r="R230" s="5" t="str">
        <f>'Ingest Template'!D230</f>
        <v/>
      </c>
      <c r="S230" s="5" t="str">
        <f>'Ingest Template'!G230</f>
        <v/>
      </c>
      <c r="T230" s="5" t="str">
        <f>'Ingest Template'!H230</f>
        <v/>
      </c>
      <c r="U230" s="5" t="str">
        <f>LOWER(SUBSTITUTE(SUBSTITUTE(SUBSTITUTE(SUBSTITUTE(SUBSTITUTE('Ingest Template'!I230,"https:",""),"www.",""),"/",""),"?hl=en",""),"instagram.com",""))</f>
        <v/>
      </c>
      <c r="V230" s="10" t="str">
        <f>'Ingest Template'!J230</f>
        <v/>
      </c>
      <c r="W230" s="10" t="str">
        <f>'Ingest Template'!K230</f>
        <v/>
      </c>
      <c r="X230" s="5"/>
      <c r="Y230" s="5" t="str">
        <f>SUBSTITUTE(SUBSTITUTE(SUBSTITUTE('Ingest Template'!L230,"http:",""),"https:",""),"/","")</f>
        <v/>
      </c>
      <c r="Z230" s="5" t="str">
        <f t="array" ref="Z230">IF('Ingest Template'!A230="Standard",(IF(ISBLANK('Ingest Template'!M230),"", 'Ingest Template'!M230&amp;"|DAR")),(IF(ISBLANK('Ingest Template'!M230),"", 'Ingest Template'!M230&amp;"|Operations - Core Title")))</f>
        <v/>
      </c>
      <c r="AA230" s="5"/>
      <c r="AB230" s="5" t="str">
        <f>'Ingest Template'!F230</f>
        <v/>
      </c>
      <c r="AC230" s="5"/>
      <c r="AD230" s="5"/>
      <c r="AE230" s="5"/>
      <c r="AF230" s="8"/>
      <c r="AG230" s="5" t="str">
        <f t="array" ref="AG230">IF('Ingest Template'!A230="Standard",(CONCATENATE(IF(ISBLANK('Ingest Template'!N230),"", 'Ingest Template'!N230&amp;"|DAR"),CHAR(10), IF(ISBLANK('Ingest Template'!O230),"", 'Ingest Template'!O230&amp;"|DAR"),CHAR(10), IF(ISBLANK('Ingest Template'!P230),"", 'Ingest Template'!P230&amp;"|DAR"))),(CONCATENATE(IF(ISBLANK('Ingest Template'!N230),"", 'Ingest Template'!N230&amp;"|Operations - Core Title"),CHAR(10), IF(ISBLANK('Ingest Template'!O230),"", 'Ingest Template'!O230&amp;"|Operations - Core Title"),CHAR(10), IF(ISBLANK('Ingest Template'!P230),"", 'Ingest Template'!P230&amp;"|Operations - Core Title"))))</f>
        <v>#|Operations - Core Title
</v>
      </c>
      <c r="AH230" s="5"/>
      <c r="AI230" s="5"/>
      <c r="AJ230" s="5"/>
      <c r="AK230" s="5"/>
      <c r="AL230" s="5"/>
    </row>
    <row r="231">
      <c r="A231" s="5"/>
      <c r="B231" s="5" t="str">
        <f>'Ingest Template'!B231&amp;IF('Ingest Template'!A231 = "Standard", " - DAR","")</f>
        <v/>
      </c>
      <c r="C231" s="6" t="str">
        <f>'Ingest Template'!C231</f>
        <v/>
      </c>
      <c r="D231" s="7" t="str">
        <f>'Ingest Template'!E231</f>
        <v/>
      </c>
      <c r="E231" s="5"/>
      <c r="F231" s="5"/>
      <c r="G231" s="5"/>
      <c r="H231" s="7"/>
      <c r="I231" s="5"/>
      <c r="J231" s="7" t="str">
        <f>'Ingest Template'!Q231</f>
        <v/>
      </c>
      <c r="K231" s="5" t="str">
        <f>'Ingest Template'!R231</f>
        <v/>
      </c>
      <c r="L231" s="8" t="s">
        <v>38</v>
      </c>
      <c r="M231" s="9"/>
      <c r="N231" s="5"/>
      <c r="O231" s="5"/>
      <c r="P231" s="5"/>
      <c r="Q231" s="5"/>
      <c r="R231" s="5" t="str">
        <f>'Ingest Template'!D231</f>
        <v/>
      </c>
      <c r="S231" s="5" t="str">
        <f>'Ingest Template'!G231</f>
        <v/>
      </c>
      <c r="T231" s="5" t="str">
        <f>'Ingest Template'!H231</f>
        <v/>
      </c>
      <c r="U231" s="5" t="str">
        <f>LOWER(SUBSTITUTE(SUBSTITUTE(SUBSTITUTE(SUBSTITUTE(SUBSTITUTE('Ingest Template'!I231,"https:",""),"www.",""),"/",""),"?hl=en",""),"instagram.com",""))</f>
        <v/>
      </c>
      <c r="V231" s="10" t="str">
        <f>'Ingest Template'!J231</f>
        <v/>
      </c>
      <c r="W231" s="10" t="str">
        <f>'Ingest Template'!K231</f>
        <v/>
      </c>
      <c r="X231" s="5"/>
      <c r="Y231" s="5" t="str">
        <f>SUBSTITUTE(SUBSTITUTE(SUBSTITUTE('Ingest Template'!L231,"http:",""),"https:",""),"/","")</f>
        <v/>
      </c>
      <c r="Z231" s="5" t="str">
        <f t="array" ref="Z231">IF('Ingest Template'!A231="Standard",(IF(ISBLANK('Ingest Template'!M231),"", 'Ingest Template'!M231&amp;"|DAR")),(IF(ISBLANK('Ingest Template'!M231),"", 'Ingest Template'!M231&amp;"|Operations - Core Title")))</f>
        <v/>
      </c>
      <c r="AA231" s="5"/>
      <c r="AB231" s="5" t="str">
        <f>'Ingest Template'!F231</f>
        <v/>
      </c>
      <c r="AC231" s="5"/>
      <c r="AD231" s="5"/>
      <c r="AE231" s="5"/>
      <c r="AF231" s="8"/>
      <c r="AG231" s="5" t="str">
        <f t="array" ref="AG231">IF('Ingest Template'!A231="Standard",(CONCATENATE(IF(ISBLANK('Ingest Template'!N231),"", 'Ingest Template'!N231&amp;"|DAR"),CHAR(10), IF(ISBLANK('Ingest Template'!O231),"", 'Ingest Template'!O231&amp;"|DAR"),CHAR(10), IF(ISBLANK('Ingest Template'!P231),"", 'Ingest Template'!P231&amp;"|DAR"))),(CONCATENATE(IF(ISBLANK('Ingest Template'!N231),"", 'Ingest Template'!N231&amp;"|Operations - Core Title"),CHAR(10), IF(ISBLANK('Ingest Template'!O231),"", 'Ingest Template'!O231&amp;"|Operations - Core Title"),CHAR(10), IF(ISBLANK('Ingest Template'!P231),"", 'Ingest Template'!P231&amp;"|Operations - Core Title"))))</f>
        <v>#|Operations - Core Title
</v>
      </c>
      <c r="AH231" s="5"/>
      <c r="AI231" s="5"/>
      <c r="AJ231" s="5"/>
      <c r="AK231" s="5"/>
      <c r="AL231" s="5"/>
    </row>
    <row r="232">
      <c r="A232" s="5"/>
      <c r="B232" s="5" t="str">
        <f>'Ingest Template'!B232&amp;IF('Ingest Template'!A232 = "Standard", " - DAR","")</f>
        <v/>
      </c>
      <c r="C232" s="6" t="str">
        <f>'Ingest Template'!C232</f>
        <v/>
      </c>
      <c r="D232" s="7" t="str">
        <f>'Ingest Template'!E232</f>
        <v/>
      </c>
      <c r="E232" s="5"/>
      <c r="F232" s="5"/>
      <c r="G232" s="5"/>
      <c r="H232" s="7"/>
      <c r="I232" s="5"/>
      <c r="J232" s="7" t="str">
        <f>'Ingest Template'!Q232</f>
        <v/>
      </c>
      <c r="K232" s="5" t="str">
        <f>'Ingest Template'!R232</f>
        <v/>
      </c>
      <c r="L232" s="8" t="s">
        <v>38</v>
      </c>
      <c r="M232" s="9"/>
      <c r="N232" s="5"/>
      <c r="O232" s="5"/>
      <c r="P232" s="5"/>
      <c r="Q232" s="5"/>
      <c r="R232" s="5" t="str">
        <f>'Ingest Template'!D232</f>
        <v/>
      </c>
      <c r="S232" s="5" t="str">
        <f>'Ingest Template'!G232</f>
        <v/>
      </c>
      <c r="T232" s="5" t="str">
        <f>'Ingest Template'!H232</f>
        <v/>
      </c>
      <c r="U232" s="5" t="str">
        <f>LOWER(SUBSTITUTE(SUBSTITUTE(SUBSTITUTE(SUBSTITUTE(SUBSTITUTE('Ingest Template'!I232,"https:",""),"www.",""),"/",""),"?hl=en",""),"instagram.com",""))</f>
        <v/>
      </c>
      <c r="V232" s="10" t="str">
        <f>'Ingest Template'!J232</f>
        <v/>
      </c>
      <c r="W232" s="10" t="str">
        <f>'Ingest Template'!K232</f>
        <v/>
      </c>
      <c r="X232" s="5"/>
      <c r="Y232" s="5" t="str">
        <f>SUBSTITUTE(SUBSTITUTE(SUBSTITUTE('Ingest Template'!L232,"http:",""),"https:",""),"/","")</f>
        <v/>
      </c>
      <c r="Z232" s="5" t="str">
        <f t="array" ref="Z232">IF('Ingest Template'!A232="Standard",(IF(ISBLANK('Ingest Template'!M232),"", 'Ingest Template'!M232&amp;"|DAR")),(IF(ISBLANK('Ingest Template'!M232),"", 'Ingest Template'!M232&amp;"|Operations - Core Title")))</f>
        <v/>
      </c>
      <c r="AA232" s="5"/>
      <c r="AB232" s="5" t="str">
        <f>'Ingest Template'!F232</f>
        <v/>
      </c>
      <c r="AC232" s="5"/>
      <c r="AD232" s="5"/>
      <c r="AE232" s="5"/>
      <c r="AF232" s="8"/>
      <c r="AG232" s="5" t="str">
        <f t="array" ref="AG232">IF('Ingest Template'!A232="Standard",(CONCATENATE(IF(ISBLANK('Ingest Template'!N232),"", 'Ingest Template'!N232&amp;"|DAR"),CHAR(10), IF(ISBLANK('Ingest Template'!O232),"", 'Ingest Template'!O232&amp;"|DAR"),CHAR(10), IF(ISBLANK('Ingest Template'!P232),"", 'Ingest Template'!P232&amp;"|DAR"))),(CONCATENATE(IF(ISBLANK('Ingest Template'!N232),"", 'Ingest Template'!N232&amp;"|Operations - Core Title"),CHAR(10), IF(ISBLANK('Ingest Template'!O232),"", 'Ingest Template'!O232&amp;"|Operations - Core Title"),CHAR(10), IF(ISBLANK('Ingest Template'!P232),"", 'Ingest Template'!P232&amp;"|Operations - Core Title"))))</f>
        <v>#|Operations - Core Title
</v>
      </c>
      <c r="AH232" s="5"/>
      <c r="AI232" s="5"/>
      <c r="AJ232" s="5"/>
      <c r="AK232" s="5"/>
      <c r="AL232" s="5"/>
    </row>
    <row r="233">
      <c r="A233" s="5"/>
      <c r="B233" s="5" t="str">
        <f>'Ingest Template'!B233&amp;IF('Ingest Template'!A233 = "Standard", " - DAR","")</f>
        <v/>
      </c>
      <c r="C233" s="6" t="str">
        <f>'Ingest Template'!C233</f>
        <v/>
      </c>
      <c r="D233" s="7" t="str">
        <f>'Ingest Template'!E233</f>
        <v/>
      </c>
      <c r="E233" s="5"/>
      <c r="F233" s="5"/>
      <c r="G233" s="5"/>
      <c r="H233" s="7"/>
      <c r="I233" s="5"/>
      <c r="J233" s="7" t="str">
        <f>'Ingest Template'!Q233</f>
        <v/>
      </c>
      <c r="K233" s="5" t="str">
        <f>'Ingest Template'!R233</f>
        <v/>
      </c>
      <c r="L233" s="8" t="s">
        <v>38</v>
      </c>
      <c r="M233" s="9"/>
      <c r="N233" s="5"/>
      <c r="O233" s="5"/>
      <c r="P233" s="5"/>
      <c r="Q233" s="5"/>
      <c r="R233" s="5" t="str">
        <f>'Ingest Template'!D233</f>
        <v/>
      </c>
      <c r="S233" s="5" t="str">
        <f>'Ingest Template'!G233</f>
        <v/>
      </c>
      <c r="T233" s="5" t="str">
        <f>'Ingest Template'!H233</f>
        <v/>
      </c>
      <c r="U233" s="5" t="str">
        <f>LOWER(SUBSTITUTE(SUBSTITUTE(SUBSTITUTE(SUBSTITUTE(SUBSTITUTE('Ingest Template'!I233,"https:",""),"www.",""),"/",""),"?hl=en",""),"instagram.com",""))</f>
        <v/>
      </c>
      <c r="V233" s="10" t="str">
        <f>'Ingest Template'!J233</f>
        <v/>
      </c>
      <c r="W233" s="10" t="str">
        <f>'Ingest Template'!K233</f>
        <v/>
      </c>
      <c r="X233" s="5"/>
      <c r="Y233" s="5" t="str">
        <f>SUBSTITUTE(SUBSTITUTE(SUBSTITUTE('Ingest Template'!L233,"http:",""),"https:",""),"/","")</f>
        <v/>
      </c>
      <c r="Z233" s="5" t="str">
        <f t="array" ref="Z233">IF('Ingest Template'!A233="Standard",(IF(ISBLANK('Ingest Template'!M233),"", 'Ingest Template'!M233&amp;"|DAR")),(IF(ISBLANK('Ingest Template'!M233),"", 'Ingest Template'!M233&amp;"|Operations - Core Title")))</f>
        <v/>
      </c>
      <c r="AA233" s="5"/>
      <c r="AB233" s="5" t="str">
        <f>'Ingest Template'!F233</f>
        <v/>
      </c>
      <c r="AC233" s="5"/>
      <c r="AD233" s="5"/>
      <c r="AE233" s="5"/>
      <c r="AF233" s="8"/>
      <c r="AG233" s="5" t="str">
        <f t="array" ref="AG233">IF('Ingest Template'!A233="Standard",(CONCATENATE(IF(ISBLANK('Ingest Template'!N233),"", 'Ingest Template'!N233&amp;"|DAR"),CHAR(10), IF(ISBLANK('Ingest Template'!O233),"", 'Ingest Template'!O233&amp;"|DAR"),CHAR(10), IF(ISBLANK('Ingest Template'!P233),"", 'Ingest Template'!P233&amp;"|DAR"))),(CONCATENATE(IF(ISBLANK('Ingest Template'!N233),"", 'Ingest Template'!N233&amp;"|Operations - Core Title"),CHAR(10), IF(ISBLANK('Ingest Template'!O233),"", 'Ingest Template'!O233&amp;"|Operations - Core Title"),CHAR(10), IF(ISBLANK('Ingest Template'!P233),"", 'Ingest Template'!P233&amp;"|Operations - Core Title"))))</f>
        <v>#|Operations - Core Title
</v>
      </c>
      <c r="AH233" s="5"/>
      <c r="AI233" s="5"/>
      <c r="AJ233" s="5"/>
      <c r="AK233" s="5"/>
      <c r="AL233" s="5"/>
    </row>
    <row r="234">
      <c r="A234" s="5"/>
      <c r="B234" s="5" t="str">
        <f>'Ingest Template'!B234&amp;IF('Ingest Template'!A234 = "Standard", " - DAR","")</f>
        <v/>
      </c>
      <c r="C234" s="6" t="str">
        <f>'Ingest Template'!C234</f>
        <v/>
      </c>
      <c r="D234" s="7" t="str">
        <f>'Ingest Template'!E234</f>
        <v/>
      </c>
      <c r="E234" s="5"/>
      <c r="F234" s="5"/>
      <c r="G234" s="5"/>
      <c r="H234" s="7"/>
      <c r="I234" s="5"/>
      <c r="J234" s="7" t="str">
        <f>'Ingest Template'!Q234</f>
        <v/>
      </c>
      <c r="K234" s="5" t="str">
        <f>'Ingest Template'!R234</f>
        <v/>
      </c>
      <c r="L234" s="8" t="s">
        <v>38</v>
      </c>
      <c r="M234" s="9"/>
      <c r="N234" s="5"/>
      <c r="O234" s="5"/>
      <c r="P234" s="5"/>
      <c r="Q234" s="5"/>
      <c r="R234" s="5" t="str">
        <f>'Ingest Template'!D234</f>
        <v/>
      </c>
      <c r="S234" s="5" t="str">
        <f>'Ingest Template'!G234</f>
        <v/>
      </c>
      <c r="T234" s="5" t="str">
        <f>'Ingest Template'!H234</f>
        <v/>
      </c>
      <c r="U234" s="5" t="str">
        <f>LOWER(SUBSTITUTE(SUBSTITUTE(SUBSTITUTE(SUBSTITUTE(SUBSTITUTE('Ingest Template'!I234,"https:",""),"www.",""),"/",""),"?hl=en",""),"instagram.com",""))</f>
        <v/>
      </c>
      <c r="V234" s="10" t="str">
        <f>'Ingest Template'!J234</f>
        <v/>
      </c>
      <c r="W234" s="10" t="str">
        <f>'Ingest Template'!K234</f>
        <v/>
      </c>
      <c r="X234" s="5"/>
      <c r="Y234" s="5" t="str">
        <f>SUBSTITUTE(SUBSTITUTE(SUBSTITUTE('Ingest Template'!L234,"http:",""),"https:",""),"/","")</f>
        <v/>
      </c>
      <c r="Z234" s="5" t="str">
        <f t="array" ref="Z234">IF('Ingest Template'!A234="Standard",(IF(ISBLANK('Ingest Template'!M234),"", 'Ingest Template'!M234&amp;"|DAR")),(IF(ISBLANK('Ingest Template'!M234),"", 'Ingest Template'!M234&amp;"|Operations - Core Title")))</f>
        <v/>
      </c>
      <c r="AA234" s="5"/>
      <c r="AB234" s="5" t="str">
        <f>'Ingest Template'!F234</f>
        <v/>
      </c>
      <c r="AC234" s="5"/>
      <c r="AD234" s="5"/>
      <c r="AE234" s="5"/>
      <c r="AF234" s="8"/>
      <c r="AG234" s="5" t="str">
        <f t="array" ref="AG234">IF('Ingest Template'!A234="Standard",(CONCATENATE(IF(ISBLANK('Ingest Template'!N234),"", 'Ingest Template'!N234&amp;"|DAR"),CHAR(10), IF(ISBLANK('Ingest Template'!O234),"", 'Ingest Template'!O234&amp;"|DAR"),CHAR(10), IF(ISBLANK('Ingest Template'!P234),"", 'Ingest Template'!P234&amp;"|DAR"))),(CONCATENATE(IF(ISBLANK('Ingest Template'!N234),"", 'Ingest Template'!N234&amp;"|Operations - Core Title"),CHAR(10), IF(ISBLANK('Ingest Template'!O234),"", 'Ingest Template'!O234&amp;"|Operations - Core Title"),CHAR(10), IF(ISBLANK('Ingest Template'!P234),"", 'Ingest Template'!P234&amp;"|Operations - Core Title"))))</f>
        <v>#|Operations - Core Title
</v>
      </c>
      <c r="AH234" s="5"/>
      <c r="AI234" s="5"/>
      <c r="AJ234" s="5"/>
      <c r="AK234" s="5"/>
      <c r="AL234" s="5"/>
    </row>
    <row r="235">
      <c r="A235" s="5"/>
      <c r="B235" s="5" t="str">
        <f>'Ingest Template'!B235&amp;IF('Ingest Template'!A235 = "Standard", " - DAR","")</f>
        <v/>
      </c>
      <c r="C235" s="6" t="str">
        <f>'Ingest Template'!C235</f>
        <v/>
      </c>
      <c r="D235" s="7" t="str">
        <f>'Ingest Template'!E235</f>
        <v/>
      </c>
      <c r="E235" s="5"/>
      <c r="F235" s="5"/>
      <c r="G235" s="5"/>
      <c r="H235" s="7"/>
      <c r="I235" s="5"/>
      <c r="J235" s="7" t="str">
        <f>'Ingest Template'!Q235</f>
        <v/>
      </c>
      <c r="K235" s="5" t="str">
        <f>'Ingest Template'!R235</f>
        <v/>
      </c>
      <c r="L235" s="8" t="s">
        <v>38</v>
      </c>
      <c r="M235" s="9"/>
      <c r="N235" s="5"/>
      <c r="O235" s="5"/>
      <c r="P235" s="5"/>
      <c r="Q235" s="5"/>
      <c r="R235" s="5" t="str">
        <f>'Ingest Template'!D235</f>
        <v/>
      </c>
      <c r="S235" s="5" t="str">
        <f>'Ingest Template'!G235</f>
        <v/>
      </c>
      <c r="T235" s="5" t="str">
        <f>'Ingest Template'!H235</f>
        <v/>
      </c>
      <c r="U235" s="5" t="str">
        <f>LOWER(SUBSTITUTE(SUBSTITUTE(SUBSTITUTE(SUBSTITUTE(SUBSTITUTE('Ingest Template'!I235,"https:",""),"www.",""),"/",""),"?hl=en",""),"instagram.com",""))</f>
        <v/>
      </c>
      <c r="V235" s="10" t="str">
        <f>'Ingest Template'!J235</f>
        <v/>
      </c>
      <c r="W235" s="10" t="str">
        <f>'Ingest Template'!K235</f>
        <v/>
      </c>
      <c r="X235" s="5"/>
      <c r="Y235" s="5" t="str">
        <f>SUBSTITUTE(SUBSTITUTE(SUBSTITUTE('Ingest Template'!L235,"http:",""),"https:",""),"/","")</f>
        <v/>
      </c>
      <c r="Z235" s="5" t="str">
        <f t="array" ref="Z235">IF('Ingest Template'!A235="Standard",(IF(ISBLANK('Ingest Template'!M235),"", 'Ingest Template'!M235&amp;"|DAR")),(IF(ISBLANK('Ingest Template'!M235),"", 'Ingest Template'!M235&amp;"|Operations - Core Title")))</f>
        <v/>
      </c>
      <c r="AA235" s="5"/>
      <c r="AB235" s="5" t="str">
        <f>'Ingest Template'!F235</f>
        <v/>
      </c>
      <c r="AC235" s="5"/>
      <c r="AD235" s="5"/>
      <c r="AE235" s="5"/>
      <c r="AF235" s="8"/>
      <c r="AG235" s="5" t="str">
        <f t="array" ref="AG235">IF('Ingest Template'!A235="Standard",(CONCATENATE(IF(ISBLANK('Ingest Template'!N235),"", 'Ingest Template'!N235&amp;"|DAR"),CHAR(10), IF(ISBLANK('Ingest Template'!O235),"", 'Ingest Template'!O235&amp;"|DAR"),CHAR(10), IF(ISBLANK('Ingest Template'!P235),"", 'Ingest Template'!P235&amp;"|DAR"))),(CONCATENATE(IF(ISBLANK('Ingest Template'!N235),"", 'Ingest Template'!N235&amp;"|Operations - Core Title"),CHAR(10), IF(ISBLANK('Ingest Template'!O235),"", 'Ingest Template'!O235&amp;"|Operations - Core Title"),CHAR(10), IF(ISBLANK('Ingest Template'!P235),"", 'Ingest Template'!P235&amp;"|Operations - Core Title"))))</f>
        <v>#|Operations - Core Title
</v>
      </c>
      <c r="AH235" s="5"/>
      <c r="AI235" s="5"/>
      <c r="AJ235" s="5"/>
      <c r="AK235" s="5"/>
      <c r="AL235" s="5"/>
    </row>
    <row r="236">
      <c r="A236" s="5"/>
      <c r="B236" s="5" t="str">
        <f>'Ingest Template'!B236&amp;IF('Ingest Template'!A236 = "Standard", " - DAR","")</f>
        <v/>
      </c>
      <c r="C236" s="6" t="str">
        <f>'Ingest Template'!C236</f>
        <v/>
      </c>
      <c r="D236" s="7" t="str">
        <f>'Ingest Template'!E236</f>
        <v/>
      </c>
      <c r="E236" s="5"/>
      <c r="F236" s="5"/>
      <c r="G236" s="5"/>
      <c r="H236" s="7"/>
      <c r="I236" s="5"/>
      <c r="J236" s="7" t="str">
        <f>'Ingest Template'!Q236</f>
        <v/>
      </c>
      <c r="K236" s="5" t="str">
        <f>'Ingest Template'!R236</f>
        <v/>
      </c>
      <c r="L236" s="8" t="s">
        <v>38</v>
      </c>
      <c r="M236" s="9"/>
      <c r="N236" s="5"/>
      <c r="O236" s="5"/>
      <c r="P236" s="5"/>
      <c r="Q236" s="5"/>
      <c r="R236" s="5" t="str">
        <f>'Ingest Template'!D236</f>
        <v/>
      </c>
      <c r="S236" s="5" t="str">
        <f>'Ingest Template'!G236</f>
        <v/>
      </c>
      <c r="T236" s="5" t="str">
        <f>'Ingest Template'!H236</f>
        <v/>
      </c>
      <c r="U236" s="5" t="str">
        <f>LOWER(SUBSTITUTE(SUBSTITUTE(SUBSTITUTE(SUBSTITUTE(SUBSTITUTE('Ingest Template'!I236,"https:",""),"www.",""),"/",""),"?hl=en",""),"instagram.com",""))</f>
        <v/>
      </c>
      <c r="V236" s="10" t="str">
        <f>'Ingest Template'!J236</f>
        <v/>
      </c>
      <c r="W236" s="10" t="str">
        <f>'Ingest Template'!K236</f>
        <v/>
      </c>
      <c r="X236" s="5"/>
      <c r="Y236" s="5" t="str">
        <f>SUBSTITUTE(SUBSTITUTE(SUBSTITUTE('Ingest Template'!L236,"http:",""),"https:",""),"/","")</f>
        <v/>
      </c>
      <c r="Z236" s="5" t="str">
        <f t="array" ref="Z236">IF('Ingest Template'!A236="Standard",(IF(ISBLANK('Ingest Template'!M236),"", 'Ingest Template'!M236&amp;"|DAR")),(IF(ISBLANK('Ingest Template'!M236),"", 'Ingest Template'!M236&amp;"|Operations - Core Title")))</f>
        <v/>
      </c>
      <c r="AA236" s="5"/>
      <c r="AB236" s="5" t="str">
        <f>'Ingest Template'!F236</f>
        <v/>
      </c>
      <c r="AC236" s="5"/>
      <c r="AD236" s="5"/>
      <c r="AE236" s="5"/>
      <c r="AF236" s="8"/>
      <c r="AG236" s="5" t="str">
        <f t="array" ref="AG236">IF('Ingest Template'!A236="Standard",(CONCATENATE(IF(ISBLANK('Ingest Template'!N236),"", 'Ingest Template'!N236&amp;"|DAR"),CHAR(10), IF(ISBLANK('Ingest Template'!O236),"", 'Ingest Template'!O236&amp;"|DAR"),CHAR(10), IF(ISBLANK('Ingest Template'!P236),"", 'Ingest Template'!P236&amp;"|DAR"))),(CONCATENATE(IF(ISBLANK('Ingest Template'!N236),"", 'Ingest Template'!N236&amp;"|Operations - Core Title"),CHAR(10), IF(ISBLANK('Ingest Template'!O236),"", 'Ingest Template'!O236&amp;"|Operations - Core Title"),CHAR(10), IF(ISBLANK('Ingest Template'!P236),"", 'Ingest Template'!P236&amp;"|Operations - Core Title"))))</f>
        <v>#|Operations - Core Title
</v>
      </c>
      <c r="AH236" s="5"/>
      <c r="AI236" s="5"/>
      <c r="AJ236" s="5"/>
      <c r="AK236" s="5"/>
      <c r="AL236" s="5"/>
    </row>
    <row r="237">
      <c r="A237" s="5"/>
      <c r="B237" s="5" t="str">
        <f>'Ingest Template'!B237&amp;IF('Ingest Template'!A237 = "Standard", " - DAR","")</f>
        <v/>
      </c>
      <c r="C237" s="6" t="str">
        <f>'Ingest Template'!C237</f>
        <v/>
      </c>
      <c r="D237" s="7" t="str">
        <f>'Ingest Template'!E237</f>
        <v/>
      </c>
      <c r="E237" s="5"/>
      <c r="F237" s="5"/>
      <c r="G237" s="5"/>
      <c r="H237" s="7"/>
      <c r="I237" s="5"/>
      <c r="J237" s="7" t="str">
        <f>'Ingest Template'!Q237</f>
        <v/>
      </c>
      <c r="K237" s="5" t="str">
        <f>'Ingest Template'!R237</f>
        <v/>
      </c>
      <c r="L237" s="8" t="s">
        <v>38</v>
      </c>
      <c r="M237" s="9"/>
      <c r="N237" s="5"/>
      <c r="O237" s="5"/>
      <c r="P237" s="5"/>
      <c r="Q237" s="5"/>
      <c r="R237" s="5" t="str">
        <f>'Ingest Template'!D237</f>
        <v/>
      </c>
      <c r="S237" s="5" t="str">
        <f>'Ingest Template'!G237</f>
        <v/>
      </c>
      <c r="T237" s="5" t="str">
        <f>'Ingest Template'!H237</f>
        <v/>
      </c>
      <c r="U237" s="5" t="str">
        <f>LOWER(SUBSTITUTE(SUBSTITUTE(SUBSTITUTE(SUBSTITUTE(SUBSTITUTE('Ingest Template'!I237,"https:",""),"www.",""),"/",""),"?hl=en",""),"instagram.com",""))</f>
        <v/>
      </c>
      <c r="V237" s="10" t="str">
        <f>'Ingest Template'!J237</f>
        <v/>
      </c>
      <c r="W237" s="10" t="str">
        <f>'Ingest Template'!K237</f>
        <v/>
      </c>
      <c r="X237" s="5"/>
      <c r="Y237" s="5" t="str">
        <f>SUBSTITUTE(SUBSTITUTE(SUBSTITUTE('Ingest Template'!L237,"http:",""),"https:",""),"/","")</f>
        <v/>
      </c>
      <c r="Z237" s="5" t="str">
        <f t="array" ref="Z237">IF('Ingest Template'!A237="Standard",(IF(ISBLANK('Ingest Template'!M237),"", 'Ingest Template'!M237&amp;"|DAR")),(IF(ISBLANK('Ingest Template'!M237),"", 'Ingest Template'!M237&amp;"|Operations - Core Title")))</f>
        <v/>
      </c>
      <c r="AA237" s="5"/>
      <c r="AB237" s="5" t="str">
        <f>'Ingest Template'!F237</f>
        <v/>
      </c>
      <c r="AC237" s="5"/>
      <c r="AD237" s="5"/>
      <c r="AE237" s="5"/>
      <c r="AF237" s="8"/>
      <c r="AG237" s="5" t="str">
        <f t="array" ref="AG237">IF('Ingest Template'!A237="Standard",(CONCATENATE(IF(ISBLANK('Ingest Template'!N237),"", 'Ingest Template'!N237&amp;"|DAR"),CHAR(10), IF(ISBLANK('Ingest Template'!O237),"", 'Ingest Template'!O237&amp;"|DAR"),CHAR(10), IF(ISBLANK('Ingest Template'!P237),"", 'Ingest Template'!P237&amp;"|DAR"))),(CONCATENATE(IF(ISBLANK('Ingest Template'!N237),"", 'Ingest Template'!N237&amp;"|Operations - Core Title"),CHAR(10), IF(ISBLANK('Ingest Template'!O237),"", 'Ingest Template'!O237&amp;"|Operations - Core Title"),CHAR(10), IF(ISBLANK('Ingest Template'!P237),"", 'Ingest Template'!P237&amp;"|Operations - Core Title"))))</f>
        <v>#|Operations - Core Title
</v>
      </c>
      <c r="AH237" s="5"/>
      <c r="AI237" s="5"/>
      <c r="AJ237" s="5"/>
      <c r="AK237" s="5"/>
      <c r="AL237" s="5"/>
    </row>
    <row r="238">
      <c r="A238" s="5"/>
      <c r="B238" s="5" t="str">
        <f>'Ingest Template'!B238&amp;IF('Ingest Template'!A238 = "Standard", " - DAR","")</f>
        <v/>
      </c>
      <c r="C238" s="6" t="str">
        <f>'Ingest Template'!C238</f>
        <v/>
      </c>
      <c r="D238" s="7" t="str">
        <f>'Ingest Template'!E238</f>
        <v/>
      </c>
      <c r="E238" s="5"/>
      <c r="F238" s="5"/>
      <c r="G238" s="5"/>
      <c r="H238" s="7"/>
      <c r="I238" s="5"/>
      <c r="J238" s="7" t="str">
        <f>'Ingest Template'!Q238</f>
        <v/>
      </c>
      <c r="K238" s="5" t="str">
        <f>'Ingest Template'!R238</f>
        <v/>
      </c>
      <c r="L238" s="8" t="s">
        <v>38</v>
      </c>
      <c r="M238" s="9"/>
      <c r="N238" s="5"/>
      <c r="O238" s="5"/>
      <c r="P238" s="5"/>
      <c r="Q238" s="5"/>
      <c r="R238" s="5" t="str">
        <f>'Ingest Template'!D238</f>
        <v/>
      </c>
      <c r="S238" s="5" t="str">
        <f>'Ingest Template'!G238</f>
        <v/>
      </c>
      <c r="T238" s="5" t="str">
        <f>'Ingest Template'!H238</f>
        <v/>
      </c>
      <c r="U238" s="5" t="str">
        <f>LOWER(SUBSTITUTE(SUBSTITUTE(SUBSTITUTE(SUBSTITUTE(SUBSTITUTE('Ingest Template'!I238,"https:",""),"www.",""),"/",""),"?hl=en",""),"instagram.com",""))</f>
        <v/>
      </c>
      <c r="V238" s="10" t="str">
        <f>'Ingest Template'!J238</f>
        <v/>
      </c>
      <c r="W238" s="10" t="str">
        <f>'Ingest Template'!K238</f>
        <v/>
      </c>
      <c r="X238" s="5"/>
      <c r="Y238" s="5" t="str">
        <f>SUBSTITUTE(SUBSTITUTE(SUBSTITUTE('Ingest Template'!L238,"http:",""),"https:",""),"/","")</f>
        <v/>
      </c>
      <c r="Z238" s="5" t="str">
        <f t="array" ref="Z238">IF('Ingest Template'!A238="Standard",(IF(ISBLANK('Ingest Template'!M238),"", 'Ingest Template'!M238&amp;"|DAR")),(IF(ISBLANK('Ingest Template'!M238),"", 'Ingest Template'!M238&amp;"|Operations - Core Title")))</f>
        <v/>
      </c>
      <c r="AA238" s="5"/>
      <c r="AB238" s="5" t="str">
        <f>'Ingest Template'!F238</f>
        <v/>
      </c>
      <c r="AC238" s="5"/>
      <c r="AD238" s="5"/>
      <c r="AE238" s="5"/>
      <c r="AF238" s="8"/>
      <c r="AG238" s="5" t="str">
        <f t="array" ref="AG238">IF('Ingest Template'!A238="Standard",(CONCATENATE(IF(ISBLANK('Ingest Template'!N238),"", 'Ingest Template'!N238&amp;"|DAR"),CHAR(10), IF(ISBLANK('Ingest Template'!O238),"", 'Ingest Template'!O238&amp;"|DAR"),CHAR(10), IF(ISBLANK('Ingest Template'!P238),"", 'Ingest Template'!P238&amp;"|DAR"))),(CONCATENATE(IF(ISBLANK('Ingest Template'!N238),"", 'Ingest Template'!N238&amp;"|Operations - Core Title"),CHAR(10), IF(ISBLANK('Ingest Template'!O238),"", 'Ingest Template'!O238&amp;"|Operations - Core Title"),CHAR(10), IF(ISBLANK('Ingest Template'!P238),"", 'Ingest Template'!P238&amp;"|Operations - Core Title"))))</f>
        <v>#|Operations - Core Title
</v>
      </c>
      <c r="AH238" s="5"/>
      <c r="AI238" s="5"/>
      <c r="AJ238" s="5"/>
      <c r="AK238" s="5"/>
      <c r="AL238" s="5"/>
    </row>
    <row r="239">
      <c r="A239" s="5"/>
      <c r="B239" s="5" t="str">
        <f>'Ingest Template'!B239&amp;IF('Ingest Template'!A239 = "Standard", " - DAR","")</f>
        <v/>
      </c>
      <c r="C239" s="6" t="str">
        <f>'Ingest Template'!C239</f>
        <v/>
      </c>
      <c r="D239" s="7" t="str">
        <f>'Ingest Template'!E239</f>
        <v/>
      </c>
      <c r="E239" s="5"/>
      <c r="F239" s="5"/>
      <c r="G239" s="5"/>
      <c r="H239" s="7"/>
      <c r="I239" s="5"/>
      <c r="J239" s="7" t="str">
        <f>'Ingest Template'!Q239</f>
        <v/>
      </c>
      <c r="K239" s="5" t="str">
        <f>'Ingest Template'!R239</f>
        <v/>
      </c>
      <c r="L239" s="8" t="s">
        <v>38</v>
      </c>
      <c r="M239" s="9"/>
      <c r="N239" s="5"/>
      <c r="O239" s="5"/>
      <c r="P239" s="5"/>
      <c r="Q239" s="5"/>
      <c r="R239" s="5" t="str">
        <f>'Ingest Template'!D239</f>
        <v/>
      </c>
      <c r="S239" s="5" t="str">
        <f>'Ingest Template'!G239</f>
        <v/>
      </c>
      <c r="T239" s="5" t="str">
        <f>'Ingest Template'!H239</f>
        <v/>
      </c>
      <c r="U239" s="5" t="str">
        <f>LOWER(SUBSTITUTE(SUBSTITUTE(SUBSTITUTE(SUBSTITUTE(SUBSTITUTE('Ingest Template'!I239,"https:",""),"www.",""),"/",""),"?hl=en",""),"instagram.com",""))</f>
        <v/>
      </c>
      <c r="V239" s="10" t="str">
        <f>'Ingest Template'!J239</f>
        <v/>
      </c>
      <c r="W239" s="10" t="str">
        <f>'Ingest Template'!K239</f>
        <v/>
      </c>
      <c r="X239" s="5"/>
      <c r="Y239" s="5" t="str">
        <f>SUBSTITUTE(SUBSTITUTE(SUBSTITUTE('Ingest Template'!L239,"http:",""),"https:",""),"/","")</f>
        <v/>
      </c>
      <c r="Z239" s="5" t="str">
        <f t="array" ref="Z239">IF('Ingest Template'!A239="Standard",(IF(ISBLANK('Ingest Template'!M239),"", 'Ingest Template'!M239&amp;"|DAR")),(IF(ISBLANK('Ingest Template'!M239),"", 'Ingest Template'!M239&amp;"|Operations - Core Title")))</f>
        <v/>
      </c>
      <c r="AA239" s="5"/>
      <c r="AB239" s="5" t="str">
        <f>'Ingest Template'!F239</f>
        <v/>
      </c>
      <c r="AC239" s="5"/>
      <c r="AD239" s="5"/>
      <c r="AE239" s="5"/>
      <c r="AF239" s="8"/>
      <c r="AG239" s="5" t="str">
        <f t="array" ref="AG239">IF('Ingest Template'!A239="Standard",(CONCATENATE(IF(ISBLANK('Ingest Template'!N239),"", 'Ingest Template'!N239&amp;"|DAR"),CHAR(10), IF(ISBLANK('Ingest Template'!O239),"", 'Ingest Template'!O239&amp;"|DAR"),CHAR(10), IF(ISBLANK('Ingest Template'!P239),"", 'Ingest Template'!P239&amp;"|DAR"))),(CONCATENATE(IF(ISBLANK('Ingest Template'!N239),"", 'Ingest Template'!N239&amp;"|Operations - Core Title"),CHAR(10), IF(ISBLANK('Ingest Template'!O239),"", 'Ingest Template'!O239&amp;"|Operations - Core Title"),CHAR(10), IF(ISBLANK('Ingest Template'!P239),"", 'Ingest Template'!P239&amp;"|Operations - Core Title"))))</f>
        <v>#|Operations - Core Title
</v>
      </c>
      <c r="AH239" s="5"/>
      <c r="AI239" s="5"/>
      <c r="AJ239" s="5"/>
      <c r="AK239" s="5"/>
      <c r="AL239" s="5"/>
    </row>
    <row r="240">
      <c r="A240" s="5"/>
      <c r="B240" s="5" t="str">
        <f>'Ingest Template'!B240&amp;IF('Ingest Template'!A240 = "Standard", " - DAR","")</f>
        <v/>
      </c>
      <c r="C240" s="6" t="str">
        <f>'Ingest Template'!C240</f>
        <v/>
      </c>
      <c r="D240" s="7" t="str">
        <f>'Ingest Template'!E240</f>
        <v/>
      </c>
      <c r="E240" s="5"/>
      <c r="F240" s="5"/>
      <c r="G240" s="5"/>
      <c r="H240" s="7"/>
      <c r="I240" s="5"/>
      <c r="J240" s="7" t="str">
        <f>'Ingest Template'!Q240</f>
        <v/>
      </c>
      <c r="K240" s="5" t="str">
        <f>'Ingest Template'!R240</f>
        <v/>
      </c>
      <c r="L240" s="8" t="s">
        <v>38</v>
      </c>
      <c r="M240" s="9"/>
      <c r="N240" s="5"/>
      <c r="O240" s="5"/>
      <c r="P240" s="5"/>
      <c r="Q240" s="5"/>
      <c r="R240" s="5" t="str">
        <f>'Ingest Template'!D240</f>
        <v/>
      </c>
      <c r="S240" s="5" t="str">
        <f>'Ingest Template'!G240</f>
        <v/>
      </c>
      <c r="T240" s="5" t="str">
        <f>'Ingest Template'!H240</f>
        <v/>
      </c>
      <c r="U240" s="5" t="str">
        <f>LOWER(SUBSTITUTE(SUBSTITUTE(SUBSTITUTE(SUBSTITUTE(SUBSTITUTE('Ingest Template'!I240,"https:",""),"www.",""),"/",""),"?hl=en",""),"instagram.com",""))</f>
        <v/>
      </c>
      <c r="V240" s="10" t="str">
        <f>'Ingest Template'!J240</f>
        <v/>
      </c>
      <c r="W240" s="10" t="str">
        <f>'Ingest Template'!K240</f>
        <v/>
      </c>
      <c r="X240" s="5"/>
      <c r="Y240" s="5" t="str">
        <f>SUBSTITUTE(SUBSTITUTE(SUBSTITUTE('Ingest Template'!L240,"http:",""),"https:",""),"/","")</f>
        <v/>
      </c>
      <c r="Z240" s="5" t="str">
        <f t="array" ref="Z240">IF('Ingest Template'!A240="Standard",(IF(ISBLANK('Ingest Template'!M240),"", 'Ingest Template'!M240&amp;"|DAR")),(IF(ISBLANK('Ingest Template'!M240),"", 'Ingest Template'!M240&amp;"|Operations - Core Title")))</f>
        <v/>
      </c>
      <c r="AA240" s="5"/>
      <c r="AB240" s="5" t="str">
        <f>'Ingest Template'!F240</f>
        <v/>
      </c>
      <c r="AC240" s="5"/>
      <c r="AD240" s="5"/>
      <c r="AE240" s="5"/>
      <c r="AF240" s="8"/>
      <c r="AG240" s="5" t="str">
        <f t="array" ref="AG240">IF('Ingest Template'!A240="Standard",(CONCATENATE(IF(ISBLANK('Ingest Template'!N240),"", 'Ingest Template'!N240&amp;"|DAR"),CHAR(10), IF(ISBLANK('Ingest Template'!O240),"", 'Ingest Template'!O240&amp;"|DAR"),CHAR(10), IF(ISBLANK('Ingest Template'!P240),"", 'Ingest Template'!P240&amp;"|DAR"))),(CONCATENATE(IF(ISBLANK('Ingest Template'!N240),"", 'Ingest Template'!N240&amp;"|Operations - Core Title"),CHAR(10), IF(ISBLANK('Ingest Template'!O240),"", 'Ingest Template'!O240&amp;"|Operations - Core Title"),CHAR(10), IF(ISBLANK('Ingest Template'!P240),"", 'Ingest Template'!P240&amp;"|Operations - Core Title"))))</f>
        <v>#|Operations - Core Title
</v>
      </c>
      <c r="AH240" s="5"/>
      <c r="AI240" s="5"/>
      <c r="AJ240" s="5"/>
      <c r="AK240" s="5"/>
      <c r="AL240" s="5"/>
    </row>
    <row r="241">
      <c r="A241" s="5"/>
      <c r="B241" s="5" t="str">
        <f>'Ingest Template'!B241&amp;IF('Ingest Template'!A241 = "Standard", " - DAR","")</f>
        <v/>
      </c>
      <c r="C241" s="6" t="str">
        <f>'Ingest Template'!C241</f>
        <v/>
      </c>
      <c r="D241" s="7" t="str">
        <f>'Ingest Template'!E241</f>
        <v/>
      </c>
      <c r="E241" s="5"/>
      <c r="F241" s="5"/>
      <c r="G241" s="5"/>
      <c r="H241" s="7"/>
      <c r="I241" s="5"/>
      <c r="J241" s="7" t="str">
        <f>'Ingest Template'!Q241</f>
        <v/>
      </c>
      <c r="K241" s="5" t="str">
        <f>'Ingest Template'!R241</f>
        <v/>
      </c>
      <c r="L241" s="8" t="s">
        <v>38</v>
      </c>
      <c r="M241" s="9"/>
      <c r="N241" s="5"/>
      <c r="O241" s="5"/>
      <c r="P241" s="5"/>
      <c r="Q241" s="5"/>
      <c r="R241" s="5" t="str">
        <f>'Ingest Template'!D241</f>
        <v/>
      </c>
      <c r="S241" s="5" t="str">
        <f>'Ingest Template'!G241</f>
        <v/>
      </c>
      <c r="T241" s="5" t="str">
        <f>'Ingest Template'!H241</f>
        <v/>
      </c>
      <c r="U241" s="5" t="str">
        <f>LOWER(SUBSTITUTE(SUBSTITUTE(SUBSTITUTE(SUBSTITUTE(SUBSTITUTE('Ingest Template'!I241,"https:",""),"www.",""),"/",""),"?hl=en",""),"instagram.com",""))</f>
        <v/>
      </c>
      <c r="V241" s="10" t="str">
        <f>'Ingest Template'!J241</f>
        <v/>
      </c>
      <c r="W241" s="10" t="str">
        <f>'Ingest Template'!K241</f>
        <v/>
      </c>
      <c r="X241" s="5"/>
      <c r="Y241" s="5" t="str">
        <f>SUBSTITUTE(SUBSTITUTE(SUBSTITUTE('Ingest Template'!L241,"http:",""),"https:",""),"/","")</f>
        <v/>
      </c>
      <c r="Z241" s="5" t="str">
        <f t="array" ref="Z241">IF('Ingest Template'!A241="Standard",(IF(ISBLANK('Ingest Template'!M241),"", 'Ingest Template'!M241&amp;"|DAR")),(IF(ISBLANK('Ingest Template'!M241),"", 'Ingest Template'!M241&amp;"|Operations - Core Title")))</f>
        <v/>
      </c>
      <c r="AA241" s="5"/>
      <c r="AB241" s="5" t="str">
        <f>'Ingest Template'!F241</f>
        <v/>
      </c>
      <c r="AC241" s="5"/>
      <c r="AD241" s="5"/>
      <c r="AE241" s="5"/>
      <c r="AF241" s="8"/>
      <c r="AG241" s="5" t="str">
        <f t="array" ref="AG241">IF('Ingest Template'!A241="Standard",(CONCATENATE(IF(ISBLANK('Ingest Template'!N241),"", 'Ingest Template'!N241&amp;"|DAR"),CHAR(10), IF(ISBLANK('Ingest Template'!O241),"", 'Ingest Template'!O241&amp;"|DAR"),CHAR(10), IF(ISBLANK('Ingest Template'!P241),"", 'Ingest Template'!P241&amp;"|DAR"))),(CONCATENATE(IF(ISBLANK('Ingest Template'!N241),"", 'Ingest Template'!N241&amp;"|Operations - Core Title"),CHAR(10), IF(ISBLANK('Ingest Template'!O241),"", 'Ingest Template'!O241&amp;"|Operations - Core Title"),CHAR(10), IF(ISBLANK('Ingest Template'!P241),"", 'Ingest Template'!P241&amp;"|Operations - Core Title"))))</f>
        <v>#|Operations - Core Title
</v>
      </c>
      <c r="AH241" s="5"/>
      <c r="AI241" s="5"/>
      <c r="AJ241" s="5"/>
      <c r="AK241" s="5"/>
      <c r="AL241" s="5"/>
    </row>
    <row r="242">
      <c r="A242" s="5"/>
      <c r="B242" s="5" t="str">
        <f>'Ingest Template'!B242&amp;IF('Ingest Template'!A242 = "Standard", " - DAR","")</f>
        <v/>
      </c>
      <c r="C242" s="6" t="str">
        <f>'Ingest Template'!C242</f>
        <v/>
      </c>
      <c r="D242" s="7" t="str">
        <f>'Ingest Template'!E242</f>
        <v/>
      </c>
      <c r="E242" s="5"/>
      <c r="F242" s="5"/>
      <c r="G242" s="5"/>
      <c r="H242" s="7"/>
      <c r="I242" s="5"/>
      <c r="J242" s="7" t="str">
        <f>'Ingest Template'!Q242</f>
        <v/>
      </c>
      <c r="K242" s="5" t="str">
        <f>'Ingest Template'!R242</f>
        <v/>
      </c>
      <c r="L242" s="8" t="s">
        <v>38</v>
      </c>
      <c r="M242" s="9"/>
      <c r="N242" s="5"/>
      <c r="O242" s="5"/>
      <c r="P242" s="5"/>
      <c r="Q242" s="5"/>
      <c r="R242" s="5" t="str">
        <f>'Ingest Template'!D242</f>
        <v/>
      </c>
      <c r="S242" s="5" t="str">
        <f>'Ingest Template'!G242</f>
        <v/>
      </c>
      <c r="T242" s="5" t="str">
        <f>'Ingest Template'!H242</f>
        <v/>
      </c>
      <c r="U242" s="5" t="str">
        <f>LOWER(SUBSTITUTE(SUBSTITUTE(SUBSTITUTE(SUBSTITUTE(SUBSTITUTE('Ingest Template'!I242,"https:",""),"www.",""),"/",""),"?hl=en",""),"instagram.com",""))</f>
        <v/>
      </c>
      <c r="V242" s="10" t="str">
        <f>'Ingest Template'!J242</f>
        <v/>
      </c>
      <c r="W242" s="10" t="str">
        <f>'Ingest Template'!K242</f>
        <v/>
      </c>
      <c r="X242" s="5"/>
      <c r="Y242" s="5" t="str">
        <f>SUBSTITUTE(SUBSTITUTE(SUBSTITUTE('Ingest Template'!L242,"http:",""),"https:",""),"/","")</f>
        <v/>
      </c>
      <c r="Z242" s="5" t="str">
        <f t="array" ref="Z242">IF('Ingest Template'!A242="Standard",(IF(ISBLANK('Ingest Template'!M242),"", 'Ingest Template'!M242&amp;"|DAR")),(IF(ISBLANK('Ingest Template'!M242),"", 'Ingest Template'!M242&amp;"|Operations - Core Title")))</f>
        <v/>
      </c>
      <c r="AA242" s="5"/>
      <c r="AB242" s="5" t="str">
        <f>'Ingest Template'!F242</f>
        <v/>
      </c>
      <c r="AC242" s="5"/>
      <c r="AD242" s="5"/>
      <c r="AE242" s="5"/>
      <c r="AF242" s="8"/>
      <c r="AG242" s="5" t="str">
        <f t="array" ref="AG242">IF('Ingest Template'!A242="Standard",(CONCATENATE(IF(ISBLANK('Ingest Template'!N242),"", 'Ingest Template'!N242&amp;"|DAR"),CHAR(10), IF(ISBLANK('Ingest Template'!O242),"", 'Ingest Template'!O242&amp;"|DAR"),CHAR(10), IF(ISBLANK('Ingest Template'!P242),"", 'Ingest Template'!P242&amp;"|DAR"))),(CONCATENATE(IF(ISBLANK('Ingest Template'!N242),"", 'Ingest Template'!N242&amp;"|Operations - Core Title"),CHAR(10), IF(ISBLANK('Ingest Template'!O242),"", 'Ingest Template'!O242&amp;"|Operations - Core Title"),CHAR(10), IF(ISBLANK('Ingest Template'!P242),"", 'Ingest Template'!P242&amp;"|Operations - Core Title"))))</f>
        <v>#|Operations - Core Title
</v>
      </c>
      <c r="AH242" s="5"/>
      <c r="AI242" s="5"/>
      <c r="AJ242" s="5"/>
      <c r="AK242" s="5"/>
      <c r="AL242" s="5"/>
    </row>
    <row r="243">
      <c r="A243" s="5"/>
      <c r="B243" s="5" t="str">
        <f>'Ingest Template'!B243&amp;IF('Ingest Template'!A243 = "Standard", " - DAR","")</f>
        <v/>
      </c>
      <c r="C243" s="6" t="str">
        <f>'Ingest Template'!C243</f>
        <v/>
      </c>
      <c r="D243" s="7" t="str">
        <f>'Ingest Template'!E243</f>
        <v/>
      </c>
      <c r="E243" s="5"/>
      <c r="F243" s="5"/>
      <c r="G243" s="5"/>
      <c r="H243" s="7"/>
      <c r="I243" s="5"/>
      <c r="J243" s="7" t="str">
        <f>'Ingest Template'!Q243</f>
        <v/>
      </c>
      <c r="K243" s="5" t="str">
        <f>'Ingest Template'!R243</f>
        <v/>
      </c>
      <c r="L243" s="8" t="s">
        <v>38</v>
      </c>
      <c r="M243" s="9"/>
      <c r="N243" s="5"/>
      <c r="O243" s="5"/>
      <c r="P243" s="5"/>
      <c r="Q243" s="5"/>
      <c r="R243" s="5" t="str">
        <f>'Ingest Template'!D243</f>
        <v/>
      </c>
      <c r="S243" s="5" t="str">
        <f>'Ingest Template'!G243</f>
        <v/>
      </c>
      <c r="T243" s="5" t="str">
        <f>'Ingest Template'!H243</f>
        <v/>
      </c>
      <c r="U243" s="5" t="str">
        <f>LOWER(SUBSTITUTE(SUBSTITUTE(SUBSTITUTE(SUBSTITUTE(SUBSTITUTE('Ingest Template'!I243,"https:",""),"www.",""),"/",""),"?hl=en",""),"instagram.com",""))</f>
        <v/>
      </c>
      <c r="V243" s="10" t="str">
        <f>'Ingest Template'!J243</f>
        <v/>
      </c>
      <c r="W243" s="10" t="str">
        <f>'Ingest Template'!K243</f>
        <v/>
      </c>
      <c r="X243" s="5"/>
      <c r="Y243" s="5" t="str">
        <f>SUBSTITUTE(SUBSTITUTE(SUBSTITUTE('Ingest Template'!L243,"http:",""),"https:",""),"/","")</f>
        <v/>
      </c>
      <c r="Z243" s="5" t="str">
        <f t="array" ref="Z243">IF('Ingest Template'!A243="Standard",(IF(ISBLANK('Ingest Template'!M243),"", 'Ingest Template'!M243&amp;"|DAR")),(IF(ISBLANK('Ingest Template'!M243),"", 'Ingest Template'!M243&amp;"|Operations - Core Title")))</f>
        <v/>
      </c>
      <c r="AA243" s="5"/>
      <c r="AB243" s="5" t="str">
        <f>'Ingest Template'!F243</f>
        <v/>
      </c>
      <c r="AC243" s="5"/>
      <c r="AD243" s="5"/>
      <c r="AE243" s="5"/>
      <c r="AF243" s="8"/>
      <c r="AG243" s="5" t="str">
        <f t="array" ref="AG243">IF('Ingest Template'!A243="Standard",(CONCATENATE(IF(ISBLANK('Ingest Template'!N243),"", 'Ingest Template'!N243&amp;"|DAR"),CHAR(10), IF(ISBLANK('Ingest Template'!O243),"", 'Ingest Template'!O243&amp;"|DAR"),CHAR(10), IF(ISBLANK('Ingest Template'!P243),"", 'Ingest Template'!P243&amp;"|DAR"))),(CONCATENATE(IF(ISBLANK('Ingest Template'!N243),"", 'Ingest Template'!N243&amp;"|Operations - Core Title"),CHAR(10), IF(ISBLANK('Ingest Template'!O243),"", 'Ingest Template'!O243&amp;"|Operations - Core Title"),CHAR(10), IF(ISBLANK('Ingest Template'!P243),"", 'Ingest Template'!P243&amp;"|Operations - Core Title"))))</f>
        <v>#|Operations - Core Title
</v>
      </c>
      <c r="AH243" s="5"/>
      <c r="AI243" s="5"/>
      <c r="AJ243" s="5"/>
      <c r="AK243" s="5"/>
      <c r="AL243" s="5"/>
    </row>
    <row r="244">
      <c r="A244" s="5"/>
      <c r="B244" s="5" t="str">
        <f>'Ingest Template'!B244&amp;IF('Ingest Template'!A244 = "Standard", " - DAR","")</f>
        <v/>
      </c>
      <c r="C244" s="6" t="str">
        <f>'Ingest Template'!C244</f>
        <v/>
      </c>
      <c r="D244" s="7" t="str">
        <f>'Ingest Template'!E244</f>
        <v/>
      </c>
      <c r="E244" s="5"/>
      <c r="F244" s="5"/>
      <c r="G244" s="5"/>
      <c r="H244" s="7"/>
      <c r="I244" s="5"/>
      <c r="J244" s="7" t="str">
        <f>'Ingest Template'!Q244</f>
        <v/>
      </c>
      <c r="K244" s="5" t="str">
        <f>'Ingest Template'!R244</f>
        <v/>
      </c>
      <c r="L244" s="8" t="s">
        <v>38</v>
      </c>
      <c r="M244" s="9"/>
      <c r="N244" s="5"/>
      <c r="O244" s="5"/>
      <c r="P244" s="5"/>
      <c r="Q244" s="5"/>
      <c r="R244" s="5" t="str">
        <f>'Ingest Template'!D244</f>
        <v/>
      </c>
      <c r="S244" s="5" t="str">
        <f>'Ingest Template'!G244</f>
        <v/>
      </c>
      <c r="T244" s="5" t="str">
        <f>'Ingest Template'!H244</f>
        <v/>
      </c>
      <c r="U244" s="5" t="str">
        <f>LOWER(SUBSTITUTE(SUBSTITUTE(SUBSTITUTE(SUBSTITUTE(SUBSTITUTE('Ingest Template'!I244,"https:",""),"www.",""),"/",""),"?hl=en",""),"instagram.com",""))</f>
        <v/>
      </c>
      <c r="V244" s="10" t="str">
        <f>'Ingest Template'!J244</f>
        <v/>
      </c>
      <c r="W244" s="10" t="str">
        <f>'Ingest Template'!K244</f>
        <v/>
      </c>
      <c r="X244" s="5"/>
      <c r="Y244" s="5" t="str">
        <f>SUBSTITUTE(SUBSTITUTE(SUBSTITUTE('Ingest Template'!L244,"http:",""),"https:",""),"/","")</f>
        <v/>
      </c>
      <c r="Z244" s="5" t="str">
        <f t="array" ref="Z244">IF('Ingest Template'!A244="Standard",(IF(ISBLANK('Ingest Template'!M244),"", 'Ingest Template'!M244&amp;"|DAR")),(IF(ISBLANK('Ingest Template'!M244),"", 'Ingest Template'!M244&amp;"|Operations - Core Title")))</f>
        <v/>
      </c>
      <c r="AA244" s="5"/>
      <c r="AB244" s="5" t="str">
        <f>'Ingest Template'!F244</f>
        <v/>
      </c>
      <c r="AC244" s="5"/>
      <c r="AD244" s="5"/>
      <c r="AE244" s="5"/>
      <c r="AF244" s="8"/>
      <c r="AG244" s="5" t="str">
        <f t="array" ref="AG244">IF('Ingest Template'!A244="Standard",(CONCATENATE(IF(ISBLANK('Ingest Template'!N244),"", 'Ingest Template'!N244&amp;"|DAR"),CHAR(10), IF(ISBLANK('Ingest Template'!O244),"", 'Ingest Template'!O244&amp;"|DAR"),CHAR(10), IF(ISBLANK('Ingest Template'!P244),"", 'Ingest Template'!P244&amp;"|DAR"))),(CONCATENATE(IF(ISBLANK('Ingest Template'!N244),"", 'Ingest Template'!N244&amp;"|Operations - Core Title"),CHAR(10), IF(ISBLANK('Ingest Template'!O244),"", 'Ingest Template'!O244&amp;"|Operations - Core Title"),CHAR(10), IF(ISBLANK('Ingest Template'!P244),"", 'Ingest Template'!P244&amp;"|Operations - Core Title"))))</f>
        <v>#|Operations - Core Title
</v>
      </c>
      <c r="AH244" s="5"/>
      <c r="AI244" s="5"/>
      <c r="AJ244" s="5"/>
      <c r="AK244" s="5"/>
      <c r="AL244" s="5"/>
    </row>
    <row r="245">
      <c r="A245" s="5"/>
      <c r="B245" s="5" t="str">
        <f>'Ingest Template'!B245&amp;IF('Ingest Template'!A245 = "Standard", " - DAR","")</f>
        <v/>
      </c>
      <c r="C245" s="6" t="str">
        <f>'Ingest Template'!C245</f>
        <v/>
      </c>
      <c r="D245" s="7" t="str">
        <f>'Ingest Template'!E245</f>
        <v/>
      </c>
      <c r="E245" s="5"/>
      <c r="F245" s="5"/>
      <c r="G245" s="5"/>
      <c r="H245" s="7"/>
      <c r="I245" s="5"/>
      <c r="J245" s="7" t="str">
        <f>'Ingest Template'!Q245</f>
        <v/>
      </c>
      <c r="K245" s="5" t="str">
        <f>'Ingest Template'!R245</f>
        <v/>
      </c>
      <c r="L245" s="8" t="s">
        <v>38</v>
      </c>
      <c r="M245" s="9"/>
      <c r="N245" s="5"/>
      <c r="O245" s="5"/>
      <c r="P245" s="5"/>
      <c r="Q245" s="5"/>
      <c r="R245" s="5" t="str">
        <f>'Ingest Template'!D245</f>
        <v/>
      </c>
      <c r="S245" s="5" t="str">
        <f>'Ingest Template'!G245</f>
        <v/>
      </c>
      <c r="T245" s="5" t="str">
        <f>'Ingest Template'!H245</f>
        <v/>
      </c>
      <c r="U245" s="5" t="str">
        <f>LOWER(SUBSTITUTE(SUBSTITUTE(SUBSTITUTE(SUBSTITUTE(SUBSTITUTE('Ingest Template'!I245,"https:",""),"www.",""),"/",""),"?hl=en",""),"instagram.com",""))</f>
        <v/>
      </c>
      <c r="V245" s="10" t="str">
        <f>'Ingest Template'!J245</f>
        <v/>
      </c>
      <c r="W245" s="10" t="str">
        <f>'Ingest Template'!K245</f>
        <v/>
      </c>
      <c r="X245" s="5"/>
      <c r="Y245" s="5" t="str">
        <f>SUBSTITUTE(SUBSTITUTE(SUBSTITUTE('Ingest Template'!L245,"http:",""),"https:",""),"/","")</f>
        <v/>
      </c>
      <c r="Z245" s="5" t="str">
        <f t="array" ref="Z245">IF('Ingest Template'!A245="Standard",(IF(ISBLANK('Ingest Template'!M245),"", 'Ingest Template'!M245&amp;"|DAR")),(IF(ISBLANK('Ingest Template'!M245),"", 'Ingest Template'!M245&amp;"|Operations - Core Title")))</f>
        <v/>
      </c>
      <c r="AA245" s="5"/>
      <c r="AB245" s="5" t="str">
        <f>'Ingest Template'!F245</f>
        <v/>
      </c>
      <c r="AC245" s="5"/>
      <c r="AD245" s="5"/>
      <c r="AE245" s="5"/>
      <c r="AF245" s="8"/>
      <c r="AG245" s="5" t="str">
        <f t="array" ref="AG245">IF('Ingest Template'!A245="Standard",(CONCATENATE(IF(ISBLANK('Ingest Template'!N245),"", 'Ingest Template'!N245&amp;"|DAR"),CHAR(10), IF(ISBLANK('Ingest Template'!O245),"", 'Ingest Template'!O245&amp;"|DAR"),CHAR(10), IF(ISBLANK('Ingest Template'!P245),"", 'Ingest Template'!P245&amp;"|DAR"))),(CONCATENATE(IF(ISBLANK('Ingest Template'!N245),"", 'Ingest Template'!N245&amp;"|Operations - Core Title"),CHAR(10), IF(ISBLANK('Ingest Template'!O245),"", 'Ingest Template'!O245&amp;"|Operations - Core Title"),CHAR(10), IF(ISBLANK('Ingest Template'!P245),"", 'Ingest Template'!P245&amp;"|Operations - Core Title"))))</f>
        <v>#|Operations - Core Title
</v>
      </c>
      <c r="AH245" s="5"/>
      <c r="AI245" s="5"/>
      <c r="AJ245" s="5"/>
      <c r="AK245" s="5"/>
      <c r="AL245" s="5"/>
    </row>
    <row r="246">
      <c r="A246" s="5"/>
      <c r="B246" s="5" t="str">
        <f>'Ingest Template'!B246&amp;IF('Ingest Template'!A246 = "Standard", " - DAR","")</f>
        <v/>
      </c>
      <c r="C246" s="6" t="str">
        <f>'Ingest Template'!C246</f>
        <v/>
      </c>
      <c r="D246" s="7" t="str">
        <f>'Ingest Template'!E246</f>
        <v/>
      </c>
      <c r="E246" s="5"/>
      <c r="F246" s="5"/>
      <c r="G246" s="5"/>
      <c r="H246" s="7"/>
      <c r="I246" s="5"/>
      <c r="J246" s="7" t="str">
        <f>'Ingest Template'!Q246</f>
        <v/>
      </c>
      <c r="K246" s="5" t="str">
        <f>'Ingest Template'!R246</f>
        <v/>
      </c>
      <c r="L246" s="8" t="s">
        <v>38</v>
      </c>
      <c r="M246" s="9"/>
      <c r="N246" s="5"/>
      <c r="O246" s="5"/>
      <c r="P246" s="5"/>
      <c r="Q246" s="5"/>
      <c r="R246" s="5" t="str">
        <f>'Ingest Template'!D246</f>
        <v/>
      </c>
      <c r="S246" s="5" t="str">
        <f>'Ingest Template'!G246</f>
        <v/>
      </c>
      <c r="T246" s="5" t="str">
        <f>'Ingest Template'!H246</f>
        <v/>
      </c>
      <c r="U246" s="5" t="str">
        <f>LOWER(SUBSTITUTE(SUBSTITUTE(SUBSTITUTE(SUBSTITUTE(SUBSTITUTE('Ingest Template'!I246,"https:",""),"www.",""),"/",""),"?hl=en",""),"instagram.com",""))</f>
        <v/>
      </c>
      <c r="V246" s="10" t="str">
        <f>'Ingest Template'!J246</f>
        <v/>
      </c>
      <c r="W246" s="10" t="str">
        <f>'Ingest Template'!K246</f>
        <v/>
      </c>
      <c r="X246" s="5"/>
      <c r="Y246" s="5" t="str">
        <f>SUBSTITUTE(SUBSTITUTE(SUBSTITUTE('Ingest Template'!L246,"http:",""),"https:",""),"/","")</f>
        <v/>
      </c>
      <c r="Z246" s="5" t="str">
        <f t="array" ref="Z246">IF('Ingest Template'!A246="Standard",(IF(ISBLANK('Ingest Template'!M246),"", 'Ingest Template'!M246&amp;"|DAR")),(IF(ISBLANK('Ingest Template'!M246),"", 'Ingest Template'!M246&amp;"|Operations - Core Title")))</f>
        <v/>
      </c>
      <c r="AA246" s="5"/>
      <c r="AB246" s="5" t="str">
        <f>'Ingest Template'!F246</f>
        <v/>
      </c>
      <c r="AC246" s="5"/>
      <c r="AD246" s="5"/>
      <c r="AE246" s="5"/>
      <c r="AF246" s="8"/>
      <c r="AG246" s="5" t="str">
        <f t="array" ref="AG246">IF('Ingest Template'!A246="Standard",(CONCATENATE(IF(ISBLANK('Ingest Template'!N246),"", 'Ingest Template'!N246&amp;"|DAR"),CHAR(10), IF(ISBLANK('Ingest Template'!O246),"", 'Ingest Template'!O246&amp;"|DAR"),CHAR(10), IF(ISBLANK('Ingest Template'!P246),"", 'Ingest Template'!P246&amp;"|DAR"))),(CONCATENATE(IF(ISBLANK('Ingest Template'!N246),"", 'Ingest Template'!N246&amp;"|Operations - Core Title"),CHAR(10), IF(ISBLANK('Ingest Template'!O246),"", 'Ingest Template'!O246&amp;"|Operations - Core Title"),CHAR(10), IF(ISBLANK('Ingest Template'!P246),"", 'Ingest Template'!P246&amp;"|Operations - Core Title"))))</f>
        <v>#|Operations - Core Title
</v>
      </c>
      <c r="AH246" s="5"/>
      <c r="AI246" s="5"/>
      <c r="AJ246" s="5"/>
      <c r="AK246" s="5"/>
      <c r="AL246" s="5"/>
    </row>
    <row r="247">
      <c r="A247" s="5"/>
      <c r="B247" s="5" t="str">
        <f>'Ingest Template'!B247&amp;IF('Ingest Template'!A247 = "Standard", " - DAR","")</f>
        <v/>
      </c>
      <c r="C247" s="6" t="str">
        <f>'Ingest Template'!C247</f>
        <v/>
      </c>
      <c r="D247" s="7" t="str">
        <f>'Ingest Template'!E247</f>
        <v/>
      </c>
      <c r="E247" s="5"/>
      <c r="F247" s="5"/>
      <c r="G247" s="5"/>
      <c r="H247" s="7"/>
      <c r="I247" s="5"/>
      <c r="J247" s="7" t="str">
        <f>'Ingest Template'!Q247</f>
        <v/>
      </c>
      <c r="K247" s="5" t="str">
        <f>'Ingest Template'!R247</f>
        <v/>
      </c>
      <c r="L247" s="8" t="s">
        <v>38</v>
      </c>
      <c r="M247" s="9"/>
      <c r="N247" s="5"/>
      <c r="O247" s="5"/>
      <c r="P247" s="5"/>
      <c r="Q247" s="5"/>
      <c r="R247" s="5" t="str">
        <f>'Ingest Template'!D247</f>
        <v/>
      </c>
      <c r="S247" s="5" t="str">
        <f>'Ingest Template'!G247</f>
        <v/>
      </c>
      <c r="T247" s="5" t="str">
        <f>'Ingest Template'!H247</f>
        <v/>
      </c>
      <c r="U247" s="5" t="str">
        <f>LOWER(SUBSTITUTE(SUBSTITUTE(SUBSTITUTE(SUBSTITUTE(SUBSTITUTE('Ingest Template'!I247,"https:",""),"www.",""),"/",""),"?hl=en",""),"instagram.com",""))</f>
        <v/>
      </c>
      <c r="V247" s="10" t="str">
        <f>'Ingest Template'!J247</f>
        <v/>
      </c>
      <c r="W247" s="10" t="str">
        <f>'Ingest Template'!K247</f>
        <v/>
      </c>
      <c r="X247" s="5"/>
      <c r="Y247" s="5" t="str">
        <f>SUBSTITUTE(SUBSTITUTE(SUBSTITUTE('Ingest Template'!L247,"http:",""),"https:",""),"/","")</f>
        <v/>
      </c>
      <c r="Z247" s="5" t="str">
        <f t="array" ref="Z247">IF('Ingest Template'!A247="Standard",(IF(ISBLANK('Ingest Template'!M247),"", 'Ingest Template'!M247&amp;"|DAR")),(IF(ISBLANK('Ingest Template'!M247),"", 'Ingest Template'!M247&amp;"|Operations - Core Title")))</f>
        <v/>
      </c>
      <c r="AA247" s="5"/>
      <c r="AB247" s="5" t="str">
        <f>'Ingest Template'!F247</f>
        <v/>
      </c>
      <c r="AC247" s="5"/>
      <c r="AD247" s="5"/>
      <c r="AE247" s="5"/>
      <c r="AF247" s="8"/>
      <c r="AG247" s="5" t="str">
        <f t="array" ref="AG247">IF('Ingest Template'!A247="Standard",(CONCATENATE(IF(ISBLANK('Ingest Template'!N247),"", 'Ingest Template'!N247&amp;"|DAR"),CHAR(10), IF(ISBLANK('Ingest Template'!O247),"", 'Ingest Template'!O247&amp;"|DAR"),CHAR(10), IF(ISBLANK('Ingest Template'!P247),"", 'Ingest Template'!P247&amp;"|DAR"))),(CONCATENATE(IF(ISBLANK('Ingest Template'!N247),"", 'Ingest Template'!N247&amp;"|Operations - Core Title"),CHAR(10), IF(ISBLANK('Ingest Template'!O247),"", 'Ingest Template'!O247&amp;"|Operations - Core Title"),CHAR(10), IF(ISBLANK('Ingest Template'!P247),"", 'Ingest Template'!P247&amp;"|Operations - Core Title"))))</f>
        <v>#|Operations - Core Title
</v>
      </c>
      <c r="AH247" s="5"/>
      <c r="AI247" s="5"/>
      <c r="AJ247" s="5"/>
      <c r="AK247" s="5"/>
      <c r="AL247" s="5"/>
    </row>
    <row r="248">
      <c r="A248" s="5"/>
      <c r="B248" s="5" t="str">
        <f>'Ingest Template'!B248&amp;IF('Ingest Template'!A248 = "Standard", " - DAR","")</f>
        <v/>
      </c>
      <c r="C248" s="6" t="str">
        <f>'Ingest Template'!C248</f>
        <v/>
      </c>
      <c r="D248" s="7" t="str">
        <f>'Ingest Template'!E248</f>
        <v/>
      </c>
      <c r="E248" s="5"/>
      <c r="F248" s="5"/>
      <c r="G248" s="5"/>
      <c r="H248" s="7"/>
      <c r="I248" s="5"/>
      <c r="J248" s="7" t="str">
        <f>'Ingest Template'!Q248</f>
        <v/>
      </c>
      <c r="K248" s="5" t="str">
        <f>'Ingest Template'!R248</f>
        <v/>
      </c>
      <c r="L248" s="8" t="s">
        <v>38</v>
      </c>
      <c r="M248" s="9"/>
      <c r="N248" s="5"/>
      <c r="O248" s="5"/>
      <c r="P248" s="5"/>
      <c r="Q248" s="5"/>
      <c r="R248" s="5" t="str">
        <f>'Ingest Template'!D248</f>
        <v/>
      </c>
      <c r="S248" s="5" t="str">
        <f>'Ingest Template'!G248</f>
        <v/>
      </c>
      <c r="T248" s="5" t="str">
        <f>'Ingest Template'!H248</f>
        <v/>
      </c>
      <c r="U248" s="5" t="str">
        <f>LOWER(SUBSTITUTE(SUBSTITUTE(SUBSTITUTE(SUBSTITUTE(SUBSTITUTE('Ingest Template'!I248,"https:",""),"www.",""),"/",""),"?hl=en",""),"instagram.com",""))</f>
        <v/>
      </c>
      <c r="V248" s="10" t="str">
        <f>'Ingest Template'!J248</f>
        <v/>
      </c>
      <c r="W248" s="10" t="str">
        <f>'Ingest Template'!K248</f>
        <v/>
      </c>
      <c r="X248" s="5"/>
      <c r="Y248" s="5" t="str">
        <f>SUBSTITUTE(SUBSTITUTE(SUBSTITUTE('Ingest Template'!L248,"http:",""),"https:",""),"/","")</f>
        <v/>
      </c>
      <c r="Z248" s="5" t="str">
        <f t="array" ref="Z248">IF('Ingest Template'!A248="Standard",(IF(ISBLANK('Ingest Template'!M248),"", 'Ingest Template'!M248&amp;"|DAR")),(IF(ISBLANK('Ingest Template'!M248),"", 'Ingest Template'!M248&amp;"|Operations - Core Title")))</f>
        <v/>
      </c>
      <c r="AA248" s="5"/>
      <c r="AB248" s="5" t="str">
        <f>'Ingest Template'!F248</f>
        <v/>
      </c>
      <c r="AC248" s="5"/>
      <c r="AD248" s="5"/>
      <c r="AE248" s="5"/>
      <c r="AF248" s="8"/>
      <c r="AG248" s="5" t="str">
        <f t="array" ref="AG248">IF('Ingest Template'!A248="Standard",(CONCATENATE(IF(ISBLANK('Ingest Template'!N248),"", 'Ingest Template'!N248&amp;"|DAR"),CHAR(10), IF(ISBLANK('Ingest Template'!O248),"", 'Ingest Template'!O248&amp;"|DAR"),CHAR(10), IF(ISBLANK('Ingest Template'!P248),"", 'Ingest Template'!P248&amp;"|DAR"))),(CONCATENATE(IF(ISBLANK('Ingest Template'!N248),"", 'Ingest Template'!N248&amp;"|Operations - Core Title"),CHAR(10), IF(ISBLANK('Ingest Template'!O248),"", 'Ingest Template'!O248&amp;"|Operations - Core Title"),CHAR(10), IF(ISBLANK('Ingest Template'!P248),"", 'Ingest Template'!P248&amp;"|Operations - Core Title"))))</f>
        <v>#|Operations - Core Title
</v>
      </c>
      <c r="AH248" s="5"/>
      <c r="AI248" s="5"/>
      <c r="AJ248" s="5"/>
      <c r="AK248" s="5"/>
      <c r="AL248" s="5"/>
    </row>
    <row r="249">
      <c r="A249" s="5"/>
      <c r="B249" s="5" t="str">
        <f>'Ingest Template'!B249&amp;IF('Ingest Template'!A249 = "Standard", " - DAR","")</f>
        <v/>
      </c>
      <c r="C249" s="6" t="str">
        <f>'Ingest Template'!C249</f>
        <v/>
      </c>
      <c r="D249" s="7" t="str">
        <f>'Ingest Template'!E249</f>
        <v/>
      </c>
      <c r="E249" s="5"/>
      <c r="F249" s="5"/>
      <c r="G249" s="5"/>
      <c r="H249" s="7"/>
      <c r="I249" s="5"/>
      <c r="J249" s="7" t="str">
        <f>'Ingest Template'!Q249</f>
        <v/>
      </c>
      <c r="K249" s="5" t="str">
        <f>'Ingest Template'!R249</f>
        <v/>
      </c>
      <c r="L249" s="8" t="s">
        <v>38</v>
      </c>
      <c r="M249" s="9"/>
      <c r="N249" s="5"/>
      <c r="O249" s="5"/>
      <c r="P249" s="5"/>
      <c r="Q249" s="5"/>
      <c r="R249" s="5" t="str">
        <f>'Ingest Template'!D249</f>
        <v/>
      </c>
      <c r="S249" s="5" t="str">
        <f>'Ingest Template'!G249</f>
        <v/>
      </c>
      <c r="T249" s="5" t="str">
        <f>'Ingest Template'!H249</f>
        <v/>
      </c>
      <c r="U249" s="5" t="str">
        <f>LOWER(SUBSTITUTE(SUBSTITUTE(SUBSTITUTE(SUBSTITUTE(SUBSTITUTE('Ingest Template'!I249,"https:",""),"www.",""),"/",""),"?hl=en",""),"instagram.com",""))</f>
        <v/>
      </c>
      <c r="V249" s="10" t="str">
        <f>'Ingest Template'!J249</f>
        <v/>
      </c>
      <c r="W249" s="10" t="str">
        <f>'Ingest Template'!K249</f>
        <v/>
      </c>
      <c r="X249" s="5"/>
      <c r="Y249" s="5" t="str">
        <f>SUBSTITUTE(SUBSTITUTE(SUBSTITUTE('Ingest Template'!L249,"http:",""),"https:",""),"/","")</f>
        <v/>
      </c>
      <c r="Z249" s="5" t="str">
        <f t="array" ref="Z249">IF('Ingest Template'!A249="Standard",(IF(ISBLANK('Ingest Template'!M249),"", 'Ingest Template'!M249&amp;"|DAR")),(IF(ISBLANK('Ingest Template'!M249),"", 'Ingest Template'!M249&amp;"|Operations - Core Title")))</f>
        <v/>
      </c>
      <c r="AA249" s="5"/>
      <c r="AB249" s="5" t="str">
        <f>'Ingest Template'!F249</f>
        <v/>
      </c>
      <c r="AC249" s="5"/>
      <c r="AD249" s="5"/>
      <c r="AE249" s="5"/>
      <c r="AF249" s="8"/>
      <c r="AG249" s="5" t="str">
        <f t="array" ref="AG249">IF('Ingest Template'!A249="Standard",(CONCATENATE(IF(ISBLANK('Ingest Template'!N249),"", 'Ingest Template'!N249&amp;"|DAR"),CHAR(10), IF(ISBLANK('Ingest Template'!O249),"", 'Ingest Template'!O249&amp;"|DAR"),CHAR(10), IF(ISBLANK('Ingest Template'!P249),"", 'Ingest Template'!P249&amp;"|DAR"))),(CONCATENATE(IF(ISBLANK('Ingest Template'!N249),"", 'Ingest Template'!N249&amp;"|Operations - Core Title"),CHAR(10), IF(ISBLANK('Ingest Template'!O249),"", 'Ingest Template'!O249&amp;"|Operations - Core Title"),CHAR(10), IF(ISBLANK('Ingest Template'!P249),"", 'Ingest Template'!P249&amp;"|Operations - Core Title"))))</f>
        <v>#|Operations - Core Title
</v>
      </c>
      <c r="AH249" s="5"/>
      <c r="AI249" s="5"/>
      <c r="AJ249" s="5"/>
      <c r="AK249" s="5"/>
      <c r="AL249" s="5"/>
    </row>
    <row r="250">
      <c r="A250" s="5"/>
      <c r="B250" s="5" t="str">
        <f>'Ingest Template'!B250&amp;IF('Ingest Template'!A250 = "Standard", " - DAR","")</f>
        <v/>
      </c>
      <c r="C250" s="6" t="str">
        <f>'Ingest Template'!C250</f>
        <v/>
      </c>
      <c r="D250" s="7" t="str">
        <f>'Ingest Template'!E250</f>
        <v/>
      </c>
      <c r="E250" s="5"/>
      <c r="F250" s="5"/>
      <c r="G250" s="5"/>
      <c r="H250" s="7"/>
      <c r="I250" s="5"/>
      <c r="J250" s="7" t="str">
        <f>'Ingest Template'!Q250</f>
        <v/>
      </c>
      <c r="K250" s="5" t="str">
        <f>'Ingest Template'!R250</f>
        <v/>
      </c>
      <c r="L250" s="8" t="s">
        <v>38</v>
      </c>
      <c r="M250" s="9"/>
      <c r="N250" s="5"/>
      <c r="O250" s="5"/>
      <c r="P250" s="5"/>
      <c r="Q250" s="5"/>
      <c r="R250" s="5" t="str">
        <f>'Ingest Template'!D250</f>
        <v/>
      </c>
      <c r="S250" s="5" t="str">
        <f>'Ingest Template'!G250</f>
        <v/>
      </c>
      <c r="T250" s="5" t="str">
        <f>'Ingest Template'!H250</f>
        <v/>
      </c>
      <c r="U250" s="5" t="str">
        <f>LOWER(SUBSTITUTE(SUBSTITUTE(SUBSTITUTE(SUBSTITUTE(SUBSTITUTE('Ingest Template'!I250,"https:",""),"www.",""),"/",""),"?hl=en",""),"instagram.com",""))</f>
        <v/>
      </c>
      <c r="V250" s="10" t="str">
        <f>'Ingest Template'!J250</f>
        <v/>
      </c>
      <c r="W250" s="10" t="str">
        <f>'Ingest Template'!K250</f>
        <v/>
      </c>
      <c r="X250" s="5"/>
      <c r="Y250" s="5" t="str">
        <f>SUBSTITUTE(SUBSTITUTE(SUBSTITUTE('Ingest Template'!L250,"http:",""),"https:",""),"/","")</f>
        <v/>
      </c>
      <c r="Z250" s="5" t="str">
        <f t="array" ref="Z250">IF('Ingest Template'!A250="Standard",(IF(ISBLANK('Ingest Template'!M250),"", 'Ingest Template'!M250&amp;"|DAR")),(IF(ISBLANK('Ingest Template'!M250),"", 'Ingest Template'!M250&amp;"|Operations - Core Title")))</f>
        <v/>
      </c>
      <c r="AA250" s="5"/>
      <c r="AB250" s="5" t="str">
        <f>'Ingest Template'!F250</f>
        <v/>
      </c>
      <c r="AC250" s="5"/>
      <c r="AD250" s="5"/>
      <c r="AE250" s="5"/>
      <c r="AF250" s="8"/>
      <c r="AG250" s="5" t="str">
        <f t="array" ref="AG250">IF('Ingest Template'!A250="Standard",(CONCATENATE(IF(ISBLANK('Ingest Template'!N250),"", 'Ingest Template'!N250&amp;"|DAR"),CHAR(10), IF(ISBLANK('Ingest Template'!O250),"", 'Ingest Template'!O250&amp;"|DAR"),CHAR(10), IF(ISBLANK('Ingest Template'!P250),"", 'Ingest Template'!P250&amp;"|DAR"))),(CONCATENATE(IF(ISBLANK('Ingest Template'!N250),"", 'Ingest Template'!N250&amp;"|Operations - Core Title"),CHAR(10), IF(ISBLANK('Ingest Template'!O250),"", 'Ingest Template'!O250&amp;"|Operations - Core Title"),CHAR(10), IF(ISBLANK('Ingest Template'!P250),"", 'Ingest Template'!P250&amp;"|Operations - Core Title"))))</f>
        <v>#|Operations - Core Title
</v>
      </c>
      <c r="AH250" s="5"/>
      <c r="AI250" s="5"/>
      <c r="AJ250" s="5"/>
      <c r="AK250" s="5"/>
      <c r="AL250" s="5"/>
    </row>
    <row r="251">
      <c r="A251" s="5"/>
      <c r="B251" s="5" t="str">
        <f>'Ingest Template'!B251&amp;IF('Ingest Template'!A251 = "Standard", " - DAR","")</f>
        <v/>
      </c>
      <c r="C251" s="6" t="str">
        <f>'Ingest Template'!C251</f>
        <v/>
      </c>
      <c r="D251" s="7" t="str">
        <f>'Ingest Template'!E251</f>
        <v/>
      </c>
      <c r="E251" s="5"/>
      <c r="F251" s="5"/>
      <c r="G251" s="5"/>
      <c r="H251" s="7"/>
      <c r="I251" s="5"/>
      <c r="J251" s="7" t="str">
        <f>'Ingest Template'!Q251</f>
        <v/>
      </c>
      <c r="K251" s="5" t="str">
        <f>'Ingest Template'!R251</f>
        <v/>
      </c>
      <c r="L251" s="8" t="s">
        <v>38</v>
      </c>
      <c r="M251" s="9"/>
      <c r="N251" s="5"/>
      <c r="O251" s="5"/>
      <c r="P251" s="5"/>
      <c r="Q251" s="5"/>
      <c r="R251" s="5" t="str">
        <f>'Ingest Template'!D251</f>
        <v/>
      </c>
      <c r="S251" s="5" t="str">
        <f>'Ingest Template'!G251</f>
        <v/>
      </c>
      <c r="T251" s="5" t="str">
        <f>'Ingest Template'!H251</f>
        <v/>
      </c>
      <c r="U251" s="5" t="str">
        <f>LOWER(SUBSTITUTE(SUBSTITUTE(SUBSTITUTE(SUBSTITUTE(SUBSTITUTE('Ingest Template'!I251,"https:",""),"www.",""),"/",""),"?hl=en",""),"instagram.com",""))</f>
        <v/>
      </c>
      <c r="V251" s="10" t="str">
        <f>'Ingest Template'!J251</f>
        <v/>
      </c>
      <c r="W251" s="10" t="str">
        <f>'Ingest Template'!K251</f>
        <v/>
      </c>
      <c r="X251" s="5"/>
      <c r="Y251" s="5" t="str">
        <f>SUBSTITUTE(SUBSTITUTE(SUBSTITUTE('Ingest Template'!L251,"http:",""),"https:",""),"/","")</f>
        <v/>
      </c>
      <c r="Z251" s="5" t="str">
        <f t="array" ref="Z251">IF('Ingest Template'!A251="Standard",(IF(ISBLANK('Ingest Template'!M251),"", 'Ingest Template'!M251&amp;"|DAR")),(IF(ISBLANK('Ingest Template'!M251),"", 'Ingest Template'!M251&amp;"|Operations - Core Title")))</f>
        <v/>
      </c>
      <c r="AA251" s="5"/>
      <c r="AB251" s="5" t="str">
        <f>'Ingest Template'!F251</f>
        <v/>
      </c>
      <c r="AC251" s="5"/>
      <c r="AD251" s="5"/>
      <c r="AE251" s="5"/>
      <c r="AF251" s="8"/>
      <c r="AG251" s="5" t="str">
        <f t="array" ref="AG251">IF('Ingest Template'!A251="Standard",(CONCATENATE(IF(ISBLANK('Ingest Template'!N251),"", 'Ingest Template'!N251&amp;"|DAR"),CHAR(10), IF(ISBLANK('Ingest Template'!O251),"", 'Ingest Template'!O251&amp;"|DAR"),CHAR(10), IF(ISBLANK('Ingest Template'!P251),"", 'Ingest Template'!P251&amp;"|DAR"))),(CONCATENATE(IF(ISBLANK('Ingest Template'!N251),"", 'Ingest Template'!N251&amp;"|Operations - Core Title"),CHAR(10), IF(ISBLANK('Ingest Template'!O251),"", 'Ingest Template'!O251&amp;"|Operations - Core Title"),CHAR(10), IF(ISBLANK('Ingest Template'!P251),"", 'Ingest Template'!P251&amp;"|Operations - Core Title"))))</f>
        <v>#|Operations - Core Title
</v>
      </c>
      <c r="AH251" s="5"/>
      <c r="AI251" s="5"/>
      <c r="AJ251" s="5"/>
      <c r="AK251" s="5"/>
      <c r="AL251" s="5"/>
    </row>
    <row r="252">
      <c r="A252" s="5"/>
      <c r="B252" s="5" t="str">
        <f>'Ingest Template'!B252&amp;IF('Ingest Template'!A252 = "Standard", " - DAR","")</f>
        <v/>
      </c>
      <c r="C252" s="6" t="str">
        <f>'Ingest Template'!C252</f>
        <v/>
      </c>
      <c r="D252" s="7" t="str">
        <f>'Ingest Template'!E252</f>
        <v/>
      </c>
      <c r="E252" s="5"/>
      <c r="F252" s="5"/>
      <c r="G252" s="5"/>
      <c r="H252" s="7"/>
      <c r="I252" s="5"/>
      <c r="J252" s="7" t="str">
        <f>'Ingest Template'!Q252</f>
        <v/>
      </c>
      <c r="K252" s="5" t="str">
        <f>'Ingest Template'!R252</f>
        <v/>
      </c>
      <c r="L252" s="8" t="s">
        <v>38</v>
      </c>
      <c r="M252" s="9"/>
      <c r="N252" s="5"/>
      <c r="O252" s="5"/>
      <c r="P252" s="5"/>
      <c r="Q252" s="5"/>
      <c r="R252" s="5" t="str">
        <f>'Ingest Template'!D252</f>
        <v/>
      </c>
      <c r="S252" s="5" t="str">
        <f>'Ingest Template'!G252</f>
        <v/>
      </c>
      <c r="T252" s="5" t="str">
        <f>'Ingest Template'!H252</f>
        <v/>
      </c>
      <c r="U252" s="5" t="str">
        <f>LOWER(SUBSTITUTE(SUBSTITUTE(SUBSTITUTE(SUBSTITUTE(SUBSTITUTE('Ingest Template'!I252,"https:",""),"www.",""),"/",""),"?hl=en",""),"instagram.com",""))</f>
        <v/>
      </c>
      <c r="V252" s="10" t="str">
        <f>'Ingest Template'!J252</f>
        <v/>
      </c>
      <c r="W252" s="10" t="str">
        <f>'Ingest Template'!K252</f>
        <v/>
      </c>
      <c r="X252" s="5"/>
      <c r="Y252" s="5" t="str">
        <f>SUBSTITUTE(SUBSTITUTE(SUBSTITUTE('Ingest Template'!L252,"http:",""),"https:",""),"/","")</f>
        <v/>
      </c>
      <c r="Z252" s="5" t="str">
        <f t="array" ref="Z252">IF('Ingest Template'!A252="Standard",(IF(ISBLANK('Ingest Template'!M252),"", 'Ingest Template'!M252&amp;"|DAR")),(IF(ISBLANK('Ingest Template'!M252),"", 'Ingest Template'!M252&amp;"|Operations - Core Title")))</f>
        <v/>
      </c>
      <c r="AA252" s="5"/>
      <c r="AB252" s="5" t="str">
        <f>'Ingest Template'!F252</f>
        <v/>
      </c>
      <c r="AC252" s="5"/>
      <c r="AD252" s="5"/>
      <c r="AE252" s="5"/>
      <c r="AF252" s="8"/>
      <c r="AG252" s="5" t="str">
        <f t="array" ref="AG252">IF('Ingest Template'!A252="Standard",(CONCATENATE(IF(ISBLANK('Ingest Template'!N252),"", 'Ingest Template'!N252&amp;"|DAR"),CHAR(10), IF(ISBLANK('Ingest Template'!O252),"", 'Ingest Template'!O252&amp;"|DAR"),CHAR(10), IF(ISBLANK('Ingest Template'!P252),"", 'Ingest Template'!P252&amp;"|DAR"))),(CONCATENATE(IF(ISBLANK('Ingest Template'!N252),"", 'Ingest Template'!N252&amp;"|Operations - Core Title"),CHAR(10), IF(ISBLANK('Ingest Template'!O252),"", 'Ingest Template'!O252&amp;"|Operations - Core Title"),CHAR(10), IF(ISBLANK('Ingest Template'!P252),"", 'Ingest Template'!P252&amp;"|Operations - Core Title"))))</f>
        <v>#|Operations - Core Title
</v>
      </c>
      <c r="AH252" s="5"/>
      <c r="AI252" s="5"/>
      <c r="AJ252" s="5"/>
      <c r="AK252" s="5"/>
      <c r="AL252" s="5"/>
    </row>
    <row r="253">
      <c r="A253" s="5"/>
      <c r="B253" s="5" t="str">
        <f>'Ingest Template'!B253&amp;IF('Ingest Template'!A253 = "Standard", " - DAR","")</f>
        <v/>
      </c>
      <c r="C253" s="6" t="str">
        <f>'Ingest Template'!C253</f>
        <v/>
      </c>
      <c r="D253" s="7" t="str">
        <f>'Ingest Template'!E253</f>
        <v/>
      </c>
      <c r="E253" s="5"/>
      <c r="F253" s="5"/>
      <c r="G253" s="5"/>
      <c r="H253" s="7"/>
      <c r="I253" s="5"/>
      <c r="J253" s="7" t="str">
        <f>'Ingest Template'!Q253</f>
        <v/>
      </c>
      <c r="K253" s="5" t="str">
        <f>'Ingest Template'!R253</f>
        <v/>
      </c>
      <c r="L253" s="8" t="s">
        <v>38</v>
      </c>
      <c r="M253" s="9"/>
      <c r="N253" s="5"/>
      <c r="O253" s="5"/>
      <c r="P253" s="5"/>
      <c r="Q253" s="5"/>
      <c r="R253" s="5" t="str">
        <f>'Ingest Template'!D253</f>
        <v/>
      </c>
      <c r="S253" s="5" t="str">
        <f>'Ingest Template'!G253</f>
        <v/>
      </c>
      <c r="T253" s="5" t="str">
        <f>'Ingest Template'!H253</f>
        <v/>
      </c>
      <c r="U253" s="5" t="str">
        <f>LOWER(SUBSTITUTE(SUBSTITUTE(SUBSTITUTE(SUBSTITUTE(SUBSTITUTE('Ingest Template'!I253,"https:",""),"www.",""),"/",""),"?hl=en",""),"instagram.com",""))</f>
        <v/>
      </c>
      <c r="V253" s="10" t="str">
        <f>'Ingest Template'!J253</f>
        <v/>
      </c>
      <c r="W253" s="10" t="str">
        <f>'Ingest Template'!K253</f>
        <v/>
      </c>
      <c r="X253" s="5"/>
      <c r="Y253" s="5" t="str">
        <f>SUBSTITUTE(SUBSTITUTE(SUBSTITUTE('Ingest Template'!L253,"http:",""),"https:",""),"/","")</f>
        <v/>
      </c>
      <c r="Z253" s="5" t="str">
        <f t="array" ref="Z253">IF('Ingest Template'!A253="Standard",(IF(ISBLANK('Ingest Template'!M253),"", 'Ingest Template'!M253&amp;"|DAR")),(IF(ISBLANK('Ingest Template'!M253),"", 'Ingest Template'!M253&amp;"|Operations - Core Title")))</f>
        <v/>
      </c>
      <c r="AA253" s="5"/>
      <c r="AB253" s="5" t="str">
        <f>'Ingest Template'!F253</f>
        <v/>
      </c>
      <c r="AC253" s="5"/>
      <c r="AD253" s="5"/>
      <c r="AE253" s="5"/>
      <c r="AF253" s="8"/>
      <c r="AG253" s="5" t="str">
        <f t="array" ref="AG253">IF('Ingest Template'!A253="Standard",(CONCATENATE(IF(ISBLANK('Ingest Template'!N253),"", 'Ingest Template'!N253&amp;"|DAR"),CHAR(10), IF(ISBLANK('Ingest Template'!O253),"", 'Ingest Template'!O253&amp;"|DAR"),CHAR(10), IF(ISBLANK('Ingest Template'!P253),"", 'Ingest Template'!P253&amp;"|DAR"))),(CONCATENATE(IF(ISBLANK('Ingest Template'!N253),"", 'Ingest Template'!N253&amp;"|Operations - Core Title"),CHAR(10), IF(ISBLANK('Ingest Template'!O253),"", 'Ingest Template'!O253&amp;"|Operations - Core Title"),CHAR(10), IF(ISBLANK('Ingest Template'!P253),"", 'Ingest Template'!P253&amp;"|Operations - Core Title"))))</f>
        <v>#|Operations - Core Title
</v>
      </c>
      <c r="AH253" s="5"/>
      <c r="AI253" s="5"/>
      <c r="AJ253" s="5"/>
      <c r="AK253" s="5"/>
      <c r="AL253" s="5"/>
    </row>
    <row r="254">
      <c r="A254" s="5"/>
      <c r="B254" s="5" t="str">
        <f>'Ingest Template'!B254&amp;IF('Ingest Template'!A254 = "Standard", " - DAR","")</f>
        <v/>
      </c>
      <c r="C254" s="6" t="str">
        <f>'Ingest Template'!C254</f>
        <v/>
      </c>
      <c r="D254" s="7" t="str">
        <f>'Ingest Template'!E254</f>
        <v/>
      </c>
      <c r="E254" s="5"/>
      <c r="F254" s="5"/>
      <c r="G254" s="5"/>
      <c r="H254" s="7"/>
      <c r="I254" s="5"/>
      <c r="J254" s="7" t="str">
        <f>'Ingest Template'!Q254</f>
        <v/>
      </c>
      <c r="K254" s="5" t="str">
        <f>'Ingest Template'!R254</f>
        <v/>
      </c>
      <c r="L254" s="8" t="s">
        <v>38</v>
      </c>
      <c r="M254" s="9"/>
      <c r="N254" s="5"/>
      <c r="O254" s="5"/>
      <c r="P254" s="5"/>
      <c r="Q254" s="5"/>
      <c r="R254" s="5" t="str">
        <f>'Ingest Template'!D254</f>
        <v/>
      </c>
      <c r="S254" s="5" t="str">
        <f>'Ingest Template'!G254</f>
        <v/>
      </c>
      <c r="T254" s="5" t="str">
        <f>'Ingest Template'!H254</f>
        <v/>
      </c>
      <c r="U254" s="5" t="str">
        <f>LOWER(SUBSTITUTE(SUBSTITUTE(SUBSTITUTE(SUBSTITUTE(SUBSTITUTE('Ingest Template'!I254,"https:",""),"www.",""),"/",""),"?hl=en",""),"instagram.com",""))</f>
        <v/>
      </c>
      <c r="V254" s="10" t="str">
        <f>'Ingest Template'!J254</f>
        <v/>
      </c>
      <c r="W254" s="10" t="str">
        <f>'Ingest Template'!K254</f>
        <v/>
      </c>
      <c r="X254" s="5"/>
      <c r="Y254" s="5" t="str">
        <f>SUBSTITUTE(SUBSTITUTE(SUBSTITUTE('Ingest Template'!L254,"http:",""),"https:",""),"/","")</f>
        <v/>
      </c>
      <c r="Z254" s="5" t="str">
        <f t="array" ref="Z254">IF('Ingest Template'!A254="Standard",(IF(ISBLANK('Ingest Template'!M254),"", 'Ingest Template'!M254&amp;"|DAR")),(IF(ISBLANK('Ingest Template'!M254),"", 'Ingest Template'!M254&amp;"|Operations - Core Title")))</f>
        <v/>
      </c>
      <c r="AA254" s="5"/>
      <c r="AB254" s="5" t="str">
        <f>'Ingest Template'!F254</f>
        <v/>
      </c>
      <c r="AC254" s="5"/>
      <c r="AD254" s="5"/>
      <c r="AE254" s="5"/>
      <c r="AF254" s="8"/>
      <c r="AG254" s="5" t="str">
        <f t="array" ref="AG254">IF('Ingest Template'!A254="Standard",(CONCATENATE(IF(ISBLANK('Ingest Template'!N254),"", 'Ingest Template'!N254&amp;"|DAR"),CHAR(10), IF(ISBLANK('Ingest Template'!O254),"", 'Ingest Template'!O254&amp;"|DAR"),CHAR(10), IF(ISBLANK('Ingest Template'!P254),"", 'Ingest Template'!P254&amp;"|DAR"))),(CONCATENATE(IF(ISBLANK('Ingest Template'!N254),"", 'Ingest Template'!N254&amp;"|Operations - Core Title"),CHAR(10), IF(ISBLANK('Ingest Template'!O254),"", 'Ingest Template'!O254&amp;"|Operations - Core Title"),CHAR(10), IF(ISBLANK('Ingest Template'!P254),"", 'Ingest Template'!P254&amp;"|Operations - Core Title"))))</f>
        <v>#|Operations - Core Title
</v>
      </c>
      <c r="AH254" s="5"/>
      <c r="AI254" s="5"/>
      <c r="AJ254" s="5"/>
      <c r="AK254" s="5"/>
      <c r="AL254" s="5"/>
    </row>
    <row r="255">
      <c r="A255" s="5"/>
      <c r="B255" s="5" t="str">
        <f>'Ingest Template'!B255&amp;IF('Ingest Template'!A255 = "Standard", " - DAR","")</f>
        <v/>
      </c>
      <c r="C255" s="6" t="str">
        <f>'Ingest Template'!C255</f>
        <v/>
      </c>
      <c r="D255" s="7" t="str">
        <f>'Ingest Template'!E255</f>
        <v/>
      </c>
      <c r="E255" s="5"/>
      <c r="F255" s="5"/>
      <c r="G255" s="5"/>
      <c r="H255" s="7"/>
      <c r="I255" s="5"/>
      <c r="J255" s="7" t="str">
        <f>'Ingest Template'!Q255</f>
        <v/>
      </c>
      <c r="K255" s="5" t="str">
        <f>'Ingest Template'!R255</f>
        <v/>
      </c>
      <c r="L255" s="8" t="s">
        <v>38</v>
      </c>
      <c r="M255" s="9"/>
      <c r="N255" s="5"/>
      <c r="O255" s="5"/>
      <c r="P255" s="5"/>
      <c r="Q255" s="5"/>
      <c r="R255" s="5" t="str">
        <f>'Ingest Template'!D255</f>
        <v/>
      </c>
      <c r="S255" s="5" t="str">
        <f>'Ingest Template'!G255</f>
        <v/>
      </c>
      <c r="T255" s="5" t="str">
        <f>'Ingest Template'!H255</f>
        <v/>
      </c>
      <c r="U255" s="5" t="str">
        <f>LOWER(SUBSTITUTE(SUBSTITUTE(SUBSTITUTE(SUBSTITUTE(SUBSTITUTE('Ingest Template'!I255,"https:",""),"www.",""),"/",""),"?hl=en",""),"instagram.com",""))</f>
        <v/>
      </c>
      <c r="V255" s="10" t="str">
        <f>'Ingest Template'!J255</f>
        <v/>
      </c>
      <c r="W255" s="10" t="str">
        <f>'Ingest Template'!K255</f>
        <v/>
      </c>
      <c r="X255" s="5"/>
      <c r="Y255" s="5" t="str">
        <f>SUBSTITUTE(SUBSTITUTE(SUBSTITUTE('Ingest Template'!L255,"http:",""),"https:",""),"/","")</f>
        <v/>
      </c>
      <c r="Z255" s="5" t="str">
        <f t="array" ref="Z255">IF('Ingest Template'!A255="Standard",(IF(ISBLANK('Ingest Template'!M255),"", 'Ingest Template'!M255&amp;"|DAR")),(IF(ISBLANK('Ingest Template'!M255),"", 'Ingest Template'!M255&amp;"|Operations - Core Title")))</f>
        <v/>
      </c>
      <c r="AA255" s="5"/>
      <c r="AB255" s="5" t="str">
        <f>'Ingest Template'!F255</f>
        <v/>
      </c>
      <c r="AC255" s="5"/>
      <c r="AD255" s="5"/>
      <c r="AE255" s="5"/>
      <c r="AF255" s="8"/>
      <c r="AG255" s="5" t="str">
        <f t="array" ref="AG255">IF('Ingest Template'!A255="Standard",(CONCATENATE(IF(ISBLANK('Ingest Template'!N255),"", 'Ingest Template'!N255&amp;"|DAR"),CHAR(10), IF(ISBLANK('Ingest Template'!O255),"", 'Ingest Template'!O255&amp;"|DAR"),CHAR(10), IF(ISBLANK('Ingest Template'!P255),"", 'Ingest Template'!P255&amp;"|DAR"))),(CONCATENATE(IF(ISBLANK('Ingest Template'!N255),"", 'Ingest Template'!N255&amp;"|Operations - Core Title"),CHAR(10), IF(ISBLANK('Ingest Template'!O255),"", 'Ingest Template'!O255&amp;"|Operations - Core Title"),CHAR(10), IF(ISBLANK('Ingest Template'!P255),"", 'Ingest Template'!P255&amp;"|Operations - Core Title"))))</f>
        <v>#|Operations - Core Title
</v>
      </c>
      <c r="AH255" s="5"/>
      <c r="AI255" s="5"/>
      <c r="AJ255" s="5"/>
      <c r="AK255" s="5"/>
      <c r="AL255" s="5"/>
    </row>
    <row r="256">
      <c r="A256" s="5"/>
      <c r="B256" s="5" t="str">
        <f>'Ingest Template'!B256&amp;IF('Ingest Template'!A256 = "Standard", " - DAR","")</f>
        <v/>
      </c>
      <c r="C256" s="6" t="str">
        <f>'Ingest Template'!C256</f>
        <v/>
      </c>
      <c r="D256" s="7" t="str">
        <f>'Ingest Template'!E256</f>
        <v/>
      </c>
      <c r="E256" s="5"/>
      <c r="F256" s="5"/>
      <c r="G256" s="5"/>
      <c r="H256" s="7"/>
      <c r="I256" s="5"/>
      <c r="J256" s="7" t="str">
        <f>'Ingest Template'!Q256</f>
        <v/>
      </c>
      <c r="K256" s="5" t="str">
        <f>'Ingest Template'!R256</f>
        <v/>
      </c>
      <c r="L256" s="8" t="s">
        <v>38</v>
      </c>
      <c r="M256" s="9"/>
      <c r="N256" s="5"/>
      <c r="O256" s="5"/>
      <c r="P256" s="5"/>
      <c r="Q256" s="5"/>
      <c r="R256" s="5" t="str">
        <f>'Ingest Template'!D256</f>
        <v/>
      </c>
      <c r="S256" s="5" t="str">
        <f>'Ingest Template'!G256</f>
        <v/>
      </c>
      <c r="T256" s="5" t="str">
        <f>'Ingest Template'!H256</f>
        <v/>
      </c>
      <c r="U256" s="5" t="str">
        <f>LOWER(SUBSTITUTE(SUBSTITUTE(SUBSTITUTE(SUBSTITUTE(SUBSTITUTE('Ingest Template'!I256,"https:",""),"www.",""),"/",""),"?hl=en",""),"instagram.com",""))</f>
        <v/>
      </c>
      <c r="V256" s="10" t="str">
        <f>'Ingest Template'!J256</f>
        <v/>
      </c>
      <c r="W256" s="10" t="str">
        <f>'Ingest Template'!K256</f>
        <v/>
      </c>
      <c r="X256" s="5"/>
      <c r="Y256" s="5" t="str">
        <f>SUBSTITUTE(SUBSTITUTE(SUBSTITUTE('Ingest Template'!L256,"http:",""),"https:",""),"/","")</f>
        <v/>
      </c>
      <c r="Z256" s="5" t="str">
        <f t="array" ref="Z256">IF('Ingest Template'!A256="Standard",(IF(ISBLANK('Ingest Template'!M256),"", 'Ingest Template'!M256&amp;"|DAR")),(IF(ISBLANK('Ingest Template'!M256),"", 'Ingest Template'!M256&amp;"|Operations - Core Title")))</f>
        <v/>
      </c>
      <c r="AA256" s="5"/>
      <c r="AB256" s="5" t="str">
        <f>'Ingest Template'!F256</f>
        <v/>
      </c>
      <c r="AC256" s="5"/>
      <c r="AD256" s="5"/>
      <c r="AE256" s="5"/>
      <c r="AF256" s="8"/>
      <c r="AG256" s="5" t="str">
        <f t="array" ref="AG256">IF('Ingest Template'!A256="Standard",(CONCATENATE(IF(ISBLANK('Ingest Template'!N256),"", 'Ingest Template'!N256&amp;"|DAR"),CHAR(10), IF(ISBLANK('Ingest Template'!O256),"", 'Ingest Template'!O256&amp;"|DAR"),CHAR(10), IF(ISBLANK('Ingest Template'!P256),"", 'Ingest Template'!P256&amp;"|DAR"))),(CONCATENATE(IF(ISBLANK('Ingest Template'!N256),"", 'Ingest Template'!N256&amp;"|Operations - Core Title"),CHAR(10), IF(ISBLANK('Ingest Template'!O256),"", 'Ingest Template'!O256&amp;"|Operations - Core Title"),CHAR(10), IF(ISBLANK('Ingest Template'!P256),"", 'Ingest Template'!P256&amp;"|Operations - Core Title"))))</f>
        <v>#|Operations - Core Title
</v>
      </c>
      <c r="AH256" s="5"/>
      <c r="AI256" s="5"/>
      <c r="AJ256" s="5"/>
      <c r="AK256" s="5"/>
      <c r="AL256" s="5"/>
    </row>
    <row r="257">
      <c r="A257" s="5"/>
      <c r="B257" s="5" t="str">
        <f>'Ingest Template'!B257&amp;IF('Ingest Template'!A257 = "Standard", " - DAR","")</f>
        <v/>
      </c>
      <c r="C257" s="6" t="str">
        <f>'Ingest Template'!C257</f>
        <v/>
      </c>
      <c r="D257" s="7" t="str">
        <f>'Ingest Template'!E257</f>
        <v/>
      </c>
      <c r="E257" s="5"/>
      <c r="F257" s="5"/>
      <c r="G257" s="5"/>
      <c r="H257" s="7"/>
      <c r="I257" s="5"/>
      <c r="J257" s="7" t="str">
        <f>'Ingest Template'!Q257</f>
        <v/>
      </c>
      <c r="K257" s="5" t="str">
        <f>'Ingest Template'!R257</f>
        <v/>
      </c>
      <c r="L257" s="8" t="s">
        <v>38</v>
      </c>
      <c r="M257" s="9"/>
      <c r="N257" s="5"/>
      <c r="O257" s="5"/>
      <c r="P257" s="5"/>
      <c r="Q257" s="5"/>
      <c r="R257" s="5" t="str">
        <f>'Ingest Template'!D257</f>
        <v/>
      </c>
      <c r="S257" s="5" t="str">
        <f>'Ingest Template'!G257</f>
        <v/>
      </c>
      <c r="T257" s="5" t="str">
        <f>'Ingest Template'!H257</f>
        <v/>
      </c>
      <c r="U257" s="5" t="str">
        <f>LOWER(SUBSTITUTE(SUBSTITUTE(SUBSTITUTE(SUBSTITUTE(SUBSTITUTE('Ingest Template'!I257,"https:",""),"www.",""),"/",""),"?hl=en",""),"instagram.com",""))</f>
        <v/>
      </c>
      <c r="V257" s="10" t="str">
        <f>'Ingest Template'!J257</f>
        <v/>
      </c>
      <c r="W257" s="10" t="str">
        <f>'Ingest Template'!K257</f>
        <v/>
      </c>
      <c r="X257" s="5"/>
      <c r="Y257" s="5" t="str">
        <f>SUBSTITUTE(SUBSTITUTE(SUBSTITUTE('Ingest Template'!L257,"http:",""),"https:",""),"/","")</f>
        <v/>
      </c>
      <c r="Z257" s="5" t="str">
        <f t="array" ref="Z257">IF('Ingest Template'!A257="Standard",(IF(ISBLANK('Ingest Template'!M257),"", 'Ingest Template'!M257&amp;"|DAR")),(IF(ISBLANK('Ingest Template'!M257),"", 'Ingest Template'!M257&amp;"|Operations - Core Title")))</f>
        <v/>
      </c>
      <c r="AA257" s="5"/>
      <c r="AB257" s="5" t="str">
        <f>'Ingest Template'!F257</f>
        <v/>
      </c>
      <c r="AC257" s="5"/>
      <c r="AD257" s="5"/>
      <c r="AE257" s="5"/>
      <c r="AF257" s="8"/>
      <c r="AG257" s="5" t="str">
        <f t="array" ref="AG257">IF('Ingest Template'!A257="Standard",(CONCATENATE(IF(ISBLANK('Ingest Template'!N257),"", 'Ingest Template'!N257&amp;"|DAR"),CHAR(10), IF(ISBLANK('Ingest Template'!O257),"", 'Ingest Template'!O257&amp;"|DAR"),CHAR(10), IF(ISBLANK('Ingest Template'!P257),"", 'Ingest Template'!P257&amp;"|DAR"))),(CONCATENATE(IF(ISBLANK('Ingest Template'!N257),"", 'Ingest Template'!N257&amp;"|Operations - Core Title"),CHAR(10), IF(ISBLANK('Ingest Template'!O257),"", 'Ingest Template'!O257&amp;"|Operations - Core Title"),CHAR(10), IF(ISBLANK('Ingest Template'!P257),"", 'Ingest Template'!P257&amp;"|Operations - Core Title"))))</f>
        <v>#|Operations - Core Title
</v>
      </c>
      <c r="AH257" s="5"/>
      <c r="AI257" s="5"/>
      <c r="AJ257" s="5"/>
      <c r="AK257" s="5"/>
      <c r="AL257" s="5"/>
    </row>
    <row r="258">
      <c r="A258" s="5"/>
      <c r="B258" s="5" t="str">
        <f>'Ingest Template'!B258&amp;IF('Ingest Template'!A258 = "Standard", " - DAR","")</f>
        <v/>
      </c>
      <c r="C258" s="6" t="str">
        <f>'Ingest Template'!C258</f>
        <v/>
      </c>
      <c r="D258" s="7" t="str">
        <f>'Ingest Template'!E258</f>
        <v/>
      </c>
      <c r="E258" s="5"/>
      <c r="F258" s="5"/>
      <c r="G258" s="5"/>
      <c r="H258" s="7"/>
      <c r="I258" s="5"/>
      <c r="J258" s="7" t="str">
        <f>'Ingest Template'!Q258</f>
        <v/>
      </c>
      <c r="K258" s="5" t="str">
        <f>'Ingest Template'!R258</f>
        <v/>
      </c>
      <c r="L258" s="8" t="s">
        <v>38</v>
      </c>
      <c r="M258" s="9"/>
      <c r="N258" s="5"/>
      <c r="O258" s="5"/>
      <c r="P258" s="5"/>
      <c r="Q258" s="5"/>
      <c r="R258" s="5" t="str">
        <f>'Ingest Template'!D258</f>
        <v/>
      </c>
      <c r="S258" s="5" t="str">
        <f>'Ingest Template'!G258</f>
        <v/>
      </c>
      <c r="T258" s="5" t="str">
        <f>'Ingest Template'!H258</f>
        <v/>
      </c>
      <c r="U258" s="5" t="str">
        <f>LOWER(SUBSTITUTE(SUBSTITUTE(SUBSTITUTE(SUBSTITUTE(SUBSTITUTE('Ingest Template'!I258,"https:",""),"www.",""),"/",""),"?hl=en",""),"instagram.com",""))</f>
        <v/>
      </c>
      <c r="V258" s="10" t="str">
        <f>'Ingest Template'!J258</f>
        <v/>
      </c>
      <c r="W258" s="10" t="str">
        <f>'Ingest Template'!K258</f>
        <v/>
      </c>
      <c r="X258" s="5"/>
      <c r="Y258" s="5" t="str">
        <f>SUBSTITUTE(SUBSTITUTE(SUBSTITUTE('Ingest Template'!L258,"http:",""),"https:",""),"/","")</f>
        <v/>
      </c>
      <c r="Z258" s="5" t="str">
        <f t="array" ref="Z258">IF('Ingest Template'!A258="Standard",(IF(ISBLANK('Ingest Template'!M258),"", 'Ingest Template'!M258&amp;"|DAR")),(IF(ISBLANK('Ingest Template'!M258),"", 'Ingest Template'!M258&amp;"|Operations - Core Title")))</f>
        <v/>
      </c>
      <c r="AA258" s="5"/>
      <c r="AB258" s="5" t="str">
        <f>'Ingest Template'!F258</f>
        <v/>
      </c>
      <c r="AC258" s="5"/>
      <c r="AD258" s="5"/>
      <c r="AE258" s="5"/>
      <c r="AF258" s="8"/>
      <c r="AG258" s="5" t="str">
        <f t="array" ref="AG258">IF('Ingest Template'!A258="Standard",(CONCATENATE(IF(ISBLANK('Ingest Template'!N258),"", 'Ingest Template'!N258&amp;"|DAR"),CHAR(10), IF(ISBLANK('Ingest Template'!O258),"", 'Ingest Template'!O258&amp;"|DAR"),CHAR(10), IF(ISBLANK('Ingest Template'!P258),"", 'Ingest Template'!P258&amp;"|DAR"))),(CONCATENATE(IF(ISBLANK('Ingest Template'!N258),"", 'Ingest Template'!N258&amp;"|Operations - Core Title"),CHAR(10), IF(ISBLANK('Ingest Template'!O258),"", 'Ingest Template'!O258&amp;"|Operations - Core Title"),CHAR(10), IF(ISBLANK('Ingest Template'!P258),"", 'Ingest Template'!P258&amp;"|Operations - Core Title"))))</f>
        <v>#|Operations - Core Title
</v>
      </c>
      <c r="AH258" s="5"/>
      <c r="AI258" s="5"/>
      <c r="AJ258" s="5"/>
      <c r="AK258" s="5"/>
      <c r="AL258" s="5"/>
    </row>
    <row r="259">
      <c r="A259" s="5"/>
      <c r="B259" s="5" t="str">
        <f>'Ingest Template'!B259&amp;IF('Ingest Template'!A259 = "Standard", " - DAR","")</f>
        <v/>
      </c>
      <c r="C259" s="6" t="str">
        <f>'Ingest Template'!C259</f>
        <v/>
      </c>
      <c r="D259" s="7" t="str">
        <f>'Ingest Template'!E259</f>
        <v/>
      </c>
      <c r="E259" s="5"/>
      <c r="F259" s="5"/>
      <c r="G259" s="5"/>
      <c r="H259" s="7"/>
      <c r="I259" s="5"/>
      <c r="J259" s="7" t="str">
        <f>'Ingest Template'!Q259</f>
        <v/>
      </c>
      <c r="K259" s="5" t="str">
        <f>'Ingest Template'!R259</f>
        <v/>
      </c>
      <c r="L259" s="8" t="s">
        <v>38</v>
      </c>
      <c r="M259" s="9"/>
      <c r="N259" s="5"/>
      <c r="O259" s="5"/>
      <c r="P259" s="5"/>
      <c r="Q259" s="5"/>
      <c r="R259" s="5" t="str">
        <f>'Ingest Template'!D259</f>
        <v/>
      </c>
      <c r="S259" s="5" t="str">
        <f>'Ingest Template'!G259</f>
        <v/>
      </c>
      <c r="T259" s="5" t="str">
        <f>'Ingest Template'!H259</f>
        <v/>
      </c>
      <c r="U259" s="5" t="str">
        <f>LOWER(SUBSTITUTE(SUBSTITUTE(SUBSTITUTE(SUBSTITUTE(SUBSTITUTE('Ingest Template'!I259,"https:",""),"www.",""),"/",""),"?hl=en",""),"instagram.com",""))</f>
        <v/>
      </c>
      <c r="V259" s="10" t="str">
        <f>'Ingest Template'!J259</f>
        <v/>
      </c>
      <c r="W259" s="10" t="str">
        <f>'Ingest Template'!K259</f>
        <v/>
      </c>
      <c r="X259" s="5"/>
      <c r="Y259" s="5" t="str">
        <f>SUBSTITUTE(SUBSTITUTE(SUBSTITUTE('Ingest Template'!L259,"http:",""),"https:",""),"/","")</f>
        <v/>
      </c>
      <c r="Z259" s="5" t="str">
        <f t="array" ref="Z259">IF('Ingest Template'!A259="Standard",(IF(ISBLANK('Ingest Template'!M259),"", 'Ingest Template'!M259&amp;"|DAR")),(IF(ISBLANK('Ingest Template'!M259),"", 'Ingest Template'!M259&amp;"|Operations - Core Title")))</f>
        <v/>
      </c>
      <c r="AA259" s="5"/>
      <c r="AB259" s="5" t="str">
        <f>'Ingest Template'!F259</f>
        <v/>
      </c>
      <c r="AC259" s="5"/>
      <c r="AD259" s="5"/>
      <c r="AE259" s="5"/>
      <c r="AF259" s="8"/>
      <c r="AG259" s="5" t="str">
        <f t="array" ref="AG259">IF('Ingest Template'!A259="Standard",(CONCATENATE(IF(ISBLANK('Ingest Template'!N259),"", 'Ingest Template'!N259&amp;"|DAR"),CHAR(10), IF(ISBLANK('Ingest Template'!O259),"", 'Ingest Template'!O259&amp;"|DAR"),CHAR(10), IF(ISBLANK('Ingest Template'!P259),"", 'Ingest Template'!P259&amp;"|DAR"))),(CONCATENATE(IF(ISBLANK('Ingest Template'!N259),"", 'Ingest Template'!N259&amp;"|Operations - Core Title"),CHAR(10), IF(ISBLANK('Ingest Template'!O259),"", 'Ingest Template'!O259&amp;"|Operations - Core Title"),CHAR(10), IF(ISBLANK('Ingest Template'!P259),"", 'Ingest Template'!P259&amp;"|Operations - Core Title"))))</f>
        <v>#|Operations - Core Title
</v>
      </c>
      <c r="AH259" s="5"/>
      <c r="AI259" s="5"/>
      <c r="AJ259" s="5"/>
      <c r="AK259" s="5"/>
      <c r="AL259" s="5"/>
    </row>
    <row r="260">
      <c r="A260" s="5"/>
      <c r="B260" s="5" t="str">
        <f>'Ingest Template'!B260&amp;IF('Ingest Template'!A260 = "Standard", " - DAR","")</f>
        <v/>
      </c>
      <c r="C260" s="6" t="str">
        <f>'Ingest Template'!C260</f>
        <v/>
      </c>
      <c r="D260" s="7" t="str">
        <f>'Ingest Template'!E260</f>
        <v/>
      </c>
      <c r="E260" s="5"/>
      <c r="F260" s="5"/>
      <c r="G260" s="5"/>
      <c r="H260" s="7"/>
      <c r="I260" s="5"/>
      <c r="J260" s="7" t="str">
        <f>'Ingest Template'!Q260</f>
        <v/>
      </c>
      <c r="K260" s="5" t="str">
        <f>'Ingest Template'!R260</f>
        <v/>
      </c>
      <c r="L260" s="8" t="s">
        <v>38</v>
      </c>
      <c r="M260" s="9"/>
      <c r="N260" s="5"/>
      <c r="O260" s="5"/>
      <c r="P260" s="5"/>
      <c r="Q260" s="5"/>
      <c r="R260" s="5" t="str">
        <f>'Ingest Template'!D260</f>
        <v/>
      </c>
      <c r="S260" s="5" t="str">
        <f>'Ingest Template'!G260</f>
        <v/>
      </c>
      <c r="T260" s="5" t="str">
        <f>'Ingest Template'!H260</f>
        <v/>
      </c>
      <c r="U260" s="5" t="str">
        <f>LOWER(SUBSTITUTE(SUBSTITUTE(SUBSTITUTE(SUBSTITUTE(SUBSTITUTE('Ingest Template'!I260,"https:",""),"www.",""),"/",""),"?hl=en",""),"instagram.com",""))</f>
        <v/>
      </c>
      <c r="V260" s="10" t="str">
        <f>'Ingest Template'!J260</f>
        <v/>
      </c>
      <c r="W260" s="10" t="str">
        <f>'Ingest Template'!K260</f>
        <v/>
      </c>
      <c r="X260" s="5"/>
      <c r="Y260" s="5" t="str">
        <f>SUBSTITUTE(SUBSTITUTE(SUBSTITUTE('Ingest Template'!L260,"http:",""),"https:",""),"/","")</f>
        <v/>
      </c>
      <c r="Z260" s="5" t="str">
        <f t="array" ref="Z260">IF('Ingest Template'!A260="Standard",(IF(ISBLANK('Ingest Template'!M260),"", 'Ingest Template'!M260&amp;"|DAR")),(IF(ISBLANK('Ingest Template'!M260),"", 'Ingest Template'!M260&amp;"|Operations - Core Title")))</f>
        <v/>
      </c>
      <c r="AA260" s="5"/>
      <c r="AB260" s="5" t="str">
        <f>'Ingest Template'!F260</f>
        <v/>
      </c>
      <c r="AC260" s="5"/>
      <c r="AD260" s="5"/>
      <c r="AE260" s="5"/>
      <c r="AF260" s="8"/>
      <c r="AG260" s="5" t="str">
        <f t="array" ref="AG260">IF('Ingest Template'!A260="Standard",(CONCATENATE(IF(ISBLANK('Ingest Template'!N260),"", 'Ingest Template'!N260&amp;"|DAR"),CHAR(10), IF(ISBLANK('Ingest Template'!O260),"", 'Ingest Template'!O260&amp;"|DAR"),CHAR(10), IF(ISBLANK('Ingest Template'!P260),"", 'Ingest Template'!P260&amp;"|DAR"))),(CONCATENATE(IF(ISBLANK('Ingest Template'!N260),"", 'Ingest Template'!N260&amp;"|Operations - Core Title"),CHAR(10), IF(ISBLANK('Ingest Template'!O260),"", 'Ingest Template'!O260&amp;"|Operations - Core Title"),CHAR(10), IF(ISBLANK('Ingest Template'!P260),"", 'Ingest Template'!P260&amp;"|Operations - Core Title"))))</f>
        <v>#|Operations - Core Title
</v>
      </c>
      <c r="AH260" s="5"/>
      <c r="AI260" s="5"/>
      <c r="AJ260" s="5"/>
      <c r="AK260" s="5"/>
      <c r="AL260" s="5"/>
    </row>
    <row r="261">
      <c r="A261" s="5"/>
      <c r="B261" s="5" t="str">
        <f>'Ingest Template'!B261&amp;IF('Ingest Template'!A261 = "Standard", " - DAR","")</f>
        <v/>
      </c>
      <c r="C261" s="6" t="str">
        <f>'Ingest Template'!C261</f>
        <v/>
      </c>
      <c r="D261" s="7" t="str">
        <f>'Ingest Template'!E261</f>
        <v/>
      </c>
      <c r="E261" s="5"/>
      <c r="F261" s="5"/>
      <c r="G261" s="5"/>
      <c r="H261" s="7"/>
      <c r="I261" s="5"/>
      <c r="J261" s="7" t="str">
        <f>'Ingest Template'!Q261</f>
        <v/>
      </c>
      <c r="K261" s="5" t="str">
        <f>'Ingest Template'!R261</f>
        <v/>
      </c>
      <c r="L261" s="8" t="s">
        <v>38</v>
      </c>
      <c r="M261" s="9"/>
      <c r="N261" s="5"/>
      <c r="O261" s="5"/>
      <c r="P261" s="5"/>
      <c r="Q261" s="5"/>
      <c r="R261" s="5" t="str">
        <f>'Ingest Template'!D261</f>
        <v/>
      </c>
      <c r="S261" s="5" t="str">
        <f>'Ingest Template'!G261</f>
        <v/>
      </c>
      <c r="T261" s="5" t="str">
        <f>'Ingest Template'!H261</f>
        <v/>
      </c>
      <c r="U261" s="5" t="str">
        <f>LOWER(SUBSTITUTE(SUBSTITUTE(SUBSTITUTE(SUBSTITUTE(SUBSTITUTE('Ingest Template'!I261,"https:",""),"www.",""),"/",""),"?hl=en",""),"instagram.com",""))</f>
        <v/>
      </c>
      <c r="V261" s="10" t="str">
        <f>'Ingest Template'!J261</f>
        <v/>
      </c>
      <c r="W261" s="10" t="str">
        <f>'Ingest Template'!K261</f>
        <v/>
      </c>
      <c r="X261" s="5"/>
      <c r="Y261" s="5" t="str">
        <f>SUBSTITUTE(SUBSTITUTE(SUBSTITUTE('Ingest Template'!L261,"http:",""),"https:",""),"/","")</f>
        <v/>
      </c>
      <c r="Z261" s="5" t="str">
        <f t="array" ref="Z261">IF('Ingest Template'!A261="Standard",(IF(ISBLANK('Ingest Template'!M261),"", 'Ingest Template'!M261&amp;"|DAR")),(IF(ISBLANK('Ingest Template'!M261),"", 'Ingest Template'!M261&amp;"|Operations - Core Title")))</f>
        <v/>
      </c>
      <c r="AA261" s="5"/>
      <c r="AB261" s="5" t="str">
        <f>'Ingest Template'!F261</f>
        <v/>
      </c>
      <c r="AC261" s="5"/>
      <c r="AD261" s="5"/>
      <c r="AE261" s="5"/>
      <c r="AF261" s="8"/>
      <c r="AG261" s="5" t="str">
        <f t="array" ref="AG261">IF('Ingest Template'!A261="Standard",(CONCATENATE(IF(ISBLANK('Ingest Template'!N261),"", 'Ingest Template'!N261&amp;"|DAR"),CHAR(10), IF(ISBLANK('Ingest Template'!O261),"", 'Ingest Template'!O261&amp;"|DAR"),CHAR(10), IF(ISBLANK('Ingest Template'!P261),"", 'Ingest Template'!P261&amp;"|DAR"))),(CONCATENATE(IF(ISBLANK('Ingest Template'!N261),"", 'Ingest Template'!N261&amp;"|Operations - Core Title"),CHAR(10), IF(ISBLANK('Ingest Template'!O261),"", 'Ingest Template'!O261&amp;"|Operations - Core Title"),CHAR(10), IF(ISBLANK('Ingest Template'!P261),"", 'Ingest Template'!P261&amp;"|Operations - Core Title"))))</f>
        <v>#|Operations - Core Title
</v>
      </c>
      <c r="AH261" s="5"/>
      <c r="AI261" s="5"/>
      <c r="AJ261" s="5"/>
      <c r="AK261" s="5"/>
      <c r="AL261" s="5"/>
    </row>
    <row r="262">
      <c r="A262" s="5"/>
      <c r="B262" s="5" t="str">
        <f>'Ingest Template'!B262&amp;IF('Ingest Template'!A262 = "Standard", " - DAR","")</f>
        <v/>
      </c>
      <c r="C262" s="6" t="str">
        <f>'Ingest Template'!C262</f>
        <v/>
      </c>
      <c r="D262" s="7" t="str">
        <f>'Ingest Template'!E262</f>
        <v/>
      </c>
      <c r="E262" s="5"/>
      <c r="F262" s="5"/>
      <c r="G262" s="5"/>
      <c r="H262" s="7"/>
      <c r="I262" s="5"/>
      <c r="J262" s="7" t="str">
        <f>'Ingest Template'!Q262</f>
        <v/>
      </c>
      <c r="K262" s="5" t="str">
        <f>'Ingest Template'!R262</f>
        <v/>
      </c>
      <c r="L262" s="8" t="s">
        <v>38</v>
      </c>
      <c r="M262" s="9"/>
      <c r="N262" s="5"/>
      <c r="O262" s="5"/>
      <c r="P262" s="5"/>
      <c r="Q262" s="5"/>
      <c r="R262" s="5" t="str">
        <f>'Ingest Template'!D262</f>
        <v/>
      </c>
      <c r="S262" s="5" t="str">
        <f>'Ingest Template'!G262</f>
        <v/>
      </c>
      <c r="T262" s="5" t="str">
        <f>'Ingest Template'!H262</f>
        <v/>
      </c>
      <c r="U262" s="5" t="str">
        <f>LOWER(SUBSTITUTE(SUBSTITUTE(SUBSTITUTE(SUBSTITUTE(SUBSTITUTE('Ingest Template'!I262,"https:",""),"www.",""),"/",""),"?hl=en",""),"instagram.com",""))</f>
        <v/>
      </c>
      <c r="V262" s="10" t="str">
        <f>'Ingest Template'!J262</f>
        <v/>
      </c>
      <c r="W262" s="10" t="str">
        <f>'Ingest Template'!K262</f>
        <v/>
      </c>
      <c r="X262" s="5"/>
      <c r="Y262" s="5" t="str">
        <f>SUBSTITUTE(SUBSTITUTE(SUBSTITUTE('Ingest Template'!L262,"http:",""),"https:",""),"/","")</f>
        <v/>
      </c>
      <c r="Z262" s="5" t="str">
        <f t="array" ref="Z262">IF('Ingest Template'!A262="Standard",(IF(ISBLANK('Ingest Template'!M262),"", 'Ingest Template'!M262&amp;"|DAR")),(IF(ISBLANK('Ingest Template'!M262),"", 'Ingest Template'!M262&amp;"|Operations - Core Title")))</f>
        <v/>
      </c>
      <c r="AA262" s="5"/>
      <c r="AB262" s="5" t="str">
        <f>'Ingest Template'!F262</f>
        <v/>
      </c>
      <c r="AC262" s="5"/>
      <c r="AD262" s="5"/>
      <c r="AE262" s="5"/>
      <c r="AF262" s="8"/>
      <c r="AG262" s="5" t="str">
        <f t="array" ref="AG262">IF('Ingest Template'!A262="Standard",(CONCATENATE(IF(ISBLANK('Ingest Template'!N262),"", 'Ingest Template'!N262&amp;"|DAR"),CHAR(10), IF(ISBLANK('Ingest Template'!O262),"", 'Ingest Template'!O262&amp;"|DAR"),CHAR(10), IF(ISBLANK('Ingest Template'!P262),"", 'Ingest Template'!P262&amp;"|DAR"))),(CONCATENATE(IF(ISBLANK('Ingest Template'!N262),"", 'Ingest Template'!N262&amp;"|Operations - Core Title"),CHAR(10), IF(ISBLANK('Ingest Template'!O262),"", 'Ingest Template'!O262&amp;"|Operations - Core Title"),CHAR(10), IF(ISBLANK('Ingest Template'!P262),"", 'Ingest Template'!P262&amp;"|Operations - Core Title"))))</f>
        <v>#|Operations - Core Title
</v>
      </c>
      <c r="AH262" s="5"/>
      <c r="AI262" s="5"/>
      <c r="AJ262" s="5"/>
      <c r="AK262" s="5"/>
      <c r="AL262" s="5"/>
    </row>
    <row r="263">
      <c r="A263" s="5"/>
      <c r="B263" s="5" t="str">
        <f>'Ingest Template'!B263&amp;IF('Ingest Template'!A263 = "Standard", " - DAR","")</f>
        <v/>
      </c>
      <c r="C263" s="6" t="str">
        <f>'Ingest Template'!C263</f>
        <v/>
      </c>
      <c r="D263" s="7" t="str">
        <f>'Ingest Template'!E263</f>
        <v/>
      </c>
      <c r="E263" s="5"/>
      <c r="F263" s="5"/>
      <c r="G263" s="5"/>
      <c r="H263" s="7"/>
      <c r="I263" s="5"/>
      <c r="J263" s="7" t="str">
        <f>'Ingest Template'!Q263</f>
        <v/>
      </c>
      <c r="K263" s="5" t="str">
        <f>'Ingest Template'!R263</f>
        <v/>
      </c>
      <c r="L263" s="8" t="s">
        <v>38</v>
      </c>
      <c r="M263" s="9"/>
      <c r="N263" s="5"/>
      <c r="O263" s="5"/>
      <c r="P263" s="5"/>
      <c r="Q263" s="5"/>
      <c r="R263" s="5" t="str">
        <f>'Ingest Template'!D263</f>
        <v/>
      </c>
      <c r="S263" s="5" t="str">
        <f>'Ingest Template'!G263</f>
        <v/>
      </c>
      <c r="T263" s="5" t="str">
        <f>'Ingest Template'!H263</f>
        <v/>
      </c>
      <c r="U263" s="5" t="str">
        <f>LOWER(SUBSTITUTE(SUBSTITUTE(SUBSTITUTE(SUBSTITUTE(SUBSTITUTE('Ingest Template'!I263,"https:",""),"www.",""),"/",""),"?hl=en",""),"instagram.com",""))</f>
        <v/>
      </c>
      <c r="V263" s="10" t="str">
        <f>'Ingest Template'!J263</f>
        <v/>
      </c>
      <c r="W263" s="10" t="str">
        <f>'Ingest Template'!K263</f>
        <v/>
      </c>
      <c r="X263" s="5"/>
      <c r="Y263" s="5" t="str">
        <f>SUBSTITUTE(SUBSTITUTE(SUBSTITUTE('Ingest Template'!L263,"http:",""),"https:",""),"/","")</f>
        <v/>
      </c>
      <c r="Z263" s="5" t="str">
        <f t="array" ref="Z263">IF('Ingest Template'!A263="Standard",(IF(ISBLANK('Ingest Template'!M263),"", 'Ingest Template'!M263&amp;"|DAR")),(IF(ISBLANK('Ingest Template'!M263),"", 'Ingest Template'!M263&amp;"|Operations - Core Title")))</f>
        <v/>
      </c>
      <c r="AA263" s="5"/>
      <c r="AB263" s="5" t="str">
        <f>'Ingest Template'!F263</f>
        <v/>
      </c>
      <c r="AC263" s="5"/>
      <c r="AD263" s="5"/>
      <c r="AE263" s="5"/>
      <c r="AF263" s="8"/>
      <c r="AG263" s="5" t="str">
        <f t="array" ref="AG263">IF('Ingest Template'!A263="Standard",(CONCATENATE(IF(ISBLANK('Ingest Template'!N263),"", 'Ingest Template'!N263&amp;"|DAR"),CHAR(10), IF(ISBLANK('Ingest Template'!O263),"", 'Ingest Template'!O263&amp;"|DAR"),CHAR(10), IF(ISBLANK('Ingest Template'!P263),"", 'Ingest Template'!P263&amp;"|DAR"))),(CONCATENATE(IF(ISBLANK('Ingest Template'!N263),"", 'Ingest Template'!N263&amp;"|Operations - Core Title"),CHAR(10), IF(ISBLANK('Ingest Template'!O263),"", 'Ingest Template'!O263&amp;"|Operations - Core Title"),CHAR(10), IF(ISBLANK('Ingest Template'!P263),"", 'Ingest Template'!P263&amp;"|Operations - Core Title"))))</f>
        <v>#|Operations - Core Title
</v>
      </c>
      <c r="AH263" s="5"/>
      <c r="AI263" s="5"/>
      <c r="AJ263" s="5"/>
      <c r="AK263" s="5"/>
      <c r="AL263" s="5"/>
    </row>
    <row r="264">
      <c r="A264" s="5"/>
      <c r="B264" s="5" t="str">
        <f>'Ingest Template'!B264&amp;IF('Ingest Template'!A264 = "Standard", " - DAR","")</f>
        <v/>
      </c>
      <c r="C264" s="6" t="str">
        <f>'Ingest Template'!C264</f>
        <v/>
      </c>
      <c r="D264" s="7" t="str">
        <f>'Ingest Template'!E264</f>
        <v/>
      </c>
      <c r="E264" s="5"/>
      <c r="F264" s="5"/>
      <c r="G264" s="5"/>
      <c r="H264" s="7"/>
      <c r="I264" s="5"/>
      <c r="J264" s="7" t="str">
        <f>'Ingest Template'!Q264</f>
        <v/>
      </c>
      <c r="K264" s="5" t="str">
        <f>'Ingest Template'!R264</f>
        <v/>
      </c>
      <c r="L264" s="8" t="s">
        <v>38</v>
      </c>
      <c r="M264" s="9"/>
      <c r="N264" s="5"/>
      <c r="O264" s="5"/>
      <c r="P264" s="5"/>
      <c r="Q264" s="5"/>
      <c r="R264" s="5" t="str">
        <f>'Ingest Template'!D264</f>
        <v/>
      </c>
      <c r="S264" s="5" t="str">
        <f>'Ingest Template'!G264</f>
        <v/>
      </c>
      <c r="T264" s="5" t="str">
        <f>'Ingest Template'!H264</f>
        <v/>
      </c>
      <c r="U264" s="5" t="str">
        <f>LOWER(SUBSTITUTE(SUBSTITUTE(SUBSTITUTE(SUBSTITUTE(SUBSTITUTE('Ingest Template'!I264,"https:",""),"www.",""),"/",""),"?hl=en",""),"instagram.com",""))</f>
        <v/>
      </c>
      <c r="V264" s="10" t="str">
        <f>'Ingest Template'!J264</f>
        <v/>
      </c>
      <c r="W264" s="10" t="str">
        <f>'Ingest Template'!K264</f>
        <v/>
      </c>
      <c r="X264" s="5"/>
      <c r="Y264" s="5" t="str">
        <f>SUBSTITUTE(SUBSTITUTE(SUBSTITUTE('Ingest Template'!L264,"http:",""),"https:",""),"/","")</f>
        <v/>
      </c>
      <c r="Z264" s="5" t="str">
        <f t="array" ref="Z264">IF('Ingest Template'!A264="Standard",(IF(ISBLANK('Ingest Template'!M264),"", 'Ingest Template'!M264&amp;"|DAR")),(IF(ISBLANK('Ingest Template'!M264),"", 'Ingest Template'!M264&amp;"|Operations - Core Title")))</f>
        <v/>
      </c>
      <c r="AA264" s="5"/>
      <c r="AB264" s="5" t="str">
        <f>'Ingest Template'!F264</f>
        <v/>
      </c>
      <c r="AC264" s="5"/>
      <c r="AD264" s="5"/>
      <c r="AE264" s="5"/>
      <c r="AF264" s="8"/>
      <c r="AG264" s="5" t="str">
        <f t="array" ref="AG264">IF('Ingest Template'!A264="Standard",(CONCATENATE(IF(ISBLANK('Ingest Template'!N264),"", 'Ingest Template'!N264&amp;"|DAR"),CHAR(10), IF(ISBLANK('Ingest Template'!O264),"", 'Ingest Template'!O264&amp;"|DAR"),CHAR(10), IF(ISBLANK('Ingest Template'!P264),"", 'Ingest Template'!P264&amp;"|DAR"))),(CONCATENATE(IF(ISBLANK('Ingest Template'!N264),"", 'Ingest Template'!N264&amp;"|Operations - Core Title"),CHAR(10), IF(ISBLANK('Ingest Template'!O264),"", 'Ingest Template'!O264&amp;"|Operations - Core Title"),CHAR(10), IF(ISBLANK('Ingest Template'!P264),"", 'Ingest Template'!P264&amp;"|Operations - Core Title"))))</f>
        <v>#|Operations - Core Title
</v>
      </c>
      <c r="AH264" s="5"/>
      <c r="AI264" s="5"/>
      <c r="AJ264" s="5"/>
      <c r="AK264" s="5"/>
      <c r="AL264" s="5"/>
    </row>
    <row r="265">
      <c r="A265" s="5"/>
      <c r="B265" s="5" t="str">
        <f>'Ingest Template'!B265&amp;IF('Ingest Template'!A265 = "Standard", " - DAR","")</f>
        <v/>
      </c>
      <c r="C265" s="6" t="str">
        <f>'Ingest Template'!C265</f>
        <v/>
      </c>
      <c r="D265" s="7" t="str">
        <f>'Ingest Template'!E265</f>
        <v/>
      </c>
      <c r="E265" s="5"/>
      <c r="F265" s="5"/>
      <c r="G265" s="5"/>
      <c r="H265" s="7"/>
      <c r="I265" s="5"/>
      <c r="J265" s="7" t="str">
        <f>'Ingest Template'!Q265</f>
        <v/>
      </c>
      <c r="K265" s="5" t="str">
        <f>'Ingest Template'!R265</f>
        <v/>
      </c>
      <c r="L265" s="8" t="s">
        <v>38</v>
      </c>
      <c r="M265" s="9"/>
      <c r="N265" s="5"/>
      <c r="O265" s="5"/>
      <c r="P265" s="5"/>
      <c r="Q265" s="5"/>
      <c r="R265" s="5" t="str">
        <f>'Ingest Template'!D265</f>
        <v/>
      </c>
      <c r="S265" s="5" t="str">
        <f>'Ingest Template'!G265</f>
        <v/>
      </c>
      <c r="T265" s="5" t="str">
        <f>'Ingest Template'!H265</f>
        <v/>
      </c>
      <c r="U265" s="5" t="str">
        <f>LOWER(SUBSTITUTE(SUBSTITUTE(SUBSTITUTE(SUBSTITUTE(SUBSTITUTE('Ingest Template'!I265,"https:",""),"www.",""),"/",""),"?hl=en",""),"instagram.com",""))</f>
        <v/>
      </c>
      <c r="V265" s="10" t="str">
        <f>'Ingest Template'!J265</f>
        <v/>
      </c>
      <c r="W265" s="10" t="str">
        <f>'Ingest Template'!K265</f>
        <v/>
      </c>
      <c r="X265" s="5"/>
      <c r="Y265" s="5" t="str">
        <f>SUBSTITUTE(SUBSTITUTE(SUBSTITUTE('Ingest Template'!L265,"http:",""),"https:",""),"/","")</f>
        <v/>
      </c>
      <c r="Z265" s="5" t="str">
        <f t="array" ref="Z265">IF('Ingest Template'!A265="Standard",(IF(ISBLANK('Ingest Template'!M265),"", 'Ingest Template'!M265&amp;"|DAR")),(IF(ISBLANK('Ingest Template'!M265),"", 'Ingest Template'!M265&amp;"|Operations - Core Title")))</f>
        <v/>
      </c>
      <c r="AA265" s="5"/>
      <c r="AB265" s="5" t="str">
        <f>'Ingest Template'!F265</f>
        <v/>
      </c>
      <c r="AC265" s="5"/>
      <c r="AD265" s="5"/>
      <c r="AE265" s="5"/>
      <c r="AF265" s="8"/>
      <c r="AG265" s="5" t="str">
        <f t="array" ref="AG265">IF('Ingest Template'!A265="Standard",(CONCATENATE(IF(ISBLANK('Ingest Template'!N265),"", 'Ingest Template'!N265&amp;"|DAR"),CHAR(10), IF(ISBLANK('Ingest Template'!O265),"", 'Ingest Template'!O265&amp;"|DAR"),CHAR(10), IF(ISBLANK('Ingest Template'!P265),"", 'Ingest Template'!P265&amp;"|DAR"))),(CONCATENATE(IF(ISBLANK('Ingest Template'!N265),"", 'Ingest Template'!N265&amp;"|Operations - Core Title"),CHAR(10), IF(ISBLANK('Ingest Template'!O265),"", 'Ingest Template'!O265&amp;"|Operations - Core Title"),CHAR(10), IF(ISBLANK('Ingest Template'!P265),"", 'Ingest Template'!P265&amp;"|Operations - Core Title"))))</f>
        <v>#|Operations - Core Title
</v>
      </c>
      <c r="AH265" s="5"/>
      <c r="AI265" s="5"/>
      <c r="AJ265" s="5"/>
      <c r="AK265" s="5"/>
      <c r="AL265" s="5"/>
    </row>
    <row r="266">
      <c r="A266" s="5"/>
      <c r="B266" s="5" t="str">
        <f>'Ingest Template'!B266&amp;IF('Ingest Template'!A266 = "Standard", " - DAR","")</f>
        <v/>
      </c>
      <c r="C266" s="6" t="str">
        <f>'Ingest Template'!C266</f>
        <v/>
      </c>
      <c r="D266" s="7" t="str">
        <f>'Ingest Template'!E266</f>
        <v/>
      </c>
      <c r="E266" s="5"/>
      <c r="F266" s="5"/>
      <c r="G266" s="5"/>
      <c r="H266" s="7"/>
      <c r="I266" s="5"/>
      <c r="J266" s="7" t="str">
        <f>'Ingest Template'!Q266</f>
        <v/>
      </c>
      <c r="K266" s="5" t="str">
        <f>'Ingest Template'!R266</f>
        <v/>
      </c>
      <c r="L266" s="8" t="s">
        <v>38</v>
      </c>
      <c r="M266" s="9"/>
      <c r="N266" s="5"/>
      <c r="O266" s="5"/>
      <c r="P266" s="5"/>
      <c r="Q266" s="5"/>
      <c r="R266" s="5" t="str">
        <f>'Ingest Template'!D266</f>
        <v/>
      </c>
      <c r="S266" s="5" t="str">
        <f>'Ingest Template'!G266</f>
        <v/>
      </c>
      <c r="T266" s="5" t="str">
        <f>'Ingest Template'!H266</f>
        <v/>
      </c>
      <c r="U266" s="5" t="str">
        <f>LOWER(SUBSTITUTE(SUBSTITUTE(SUBSTITUTE(SUBSTITUTE(SUBSTITUTE('Ingest Template'!I266,"https:",""),"www.",""),"/",""),"?hl=en",""),"instagram.com",""))</f>
        <v/>
      </c>
      <c r="V266" s="10" t="str">
        <f>'Ingest Template'!J266</f>
        <v/>
      </c>
      <c r="W266" s="10" t="str">
        <f>'Ingest Template'!K266</f>
        <v/>
      </c>
      <c r="X266" s="5"/>
      <c r="Y266" s="5" t="str">
        <f>SUBSTITUTE(SUBSTITUTE(SUBSTITUTE('Ingest Template'!L266,"http:",""),"https:",""),"/","")</f>
        <v/>
      </c>
      <c r="Z266" s="5" t="str">
        <f t="array" ref="Z266">IF('Ingest Template'!A266="Standard",(IF(ISBLANK('Ingest Template'!M266),"", 'Ingest Template'!M266&amp;"|DAR")),(IF(ISBLANK('Ingest Template'!M266),"", 'Ingest Template'!M266&amp;"|Operations - Core Title")))</f>
        <v/>
      </c>
      <c r="AA266" s="5"/>
      <c r="AB266" s="5" t="str">
        <f>'Ingest Template'!F266</f>
        <v/>
      </c>
      <c r="AC266" s="5"/>
      <c r="AD266" s="5"/>
      <c r="AE266" s="5"/>
      <c r="AF266" s="8"/>
      <c r="AG266" s="5" t="str">
        <f t="array" ref="AG266">IF('Ingest Template'!A266="Standard",(CONCATENATE(IF(ISBLANK('Ingest Template'!N266),"", 'Ingest Template'!N266&amp;"|DAR"),CHAR(10), IF(ISBLANK('Ingest Template'!O266),"", 'Ingest Template'!O266&amp;"|DAR"),CHAR(10), IF(ISBLANK('Ingest Template'!P266),"", 'Ingest Template'!P266&amp;"|DAR"))),(CONCATENATE(IF(ISBLANK('Ingest Template'!N266),"", 'Ingest Template'!N266&amp;"|Operations - Core Title"),CHAR(10), IF(ISBLANK('Ingest Template'!O266),"", 'Ingest Template'!O266&amp;"|Operations - Core Title"),CHAR(10), IF(ISBLANK('Ingest Template'!P266),"", 'Ingest Template'!P266&amp;"|Operations - Core Title"))))</f>
        <v>#|Operations - Core Title
</v>
      </c>
      <c r="AH266" s="5"/>
      <c r="AI266" s="5"/>
      <c r="AJ266" s="5"/>
      <c r="AK266" s="5"/>
      <c r="AL266" s="5"/>
    </row>
    <row r="267">
      <c r="A267" s="5"/>
      <c r="B267" s="5" t="str">
        <f>'Ingest Template'!B267&amp;IF('Ingest Template'!A267 = "Standard", " - DAR","")</f>
        <v/>
      </c>
      <c r="C267" s="6" t="str">
        <f>'Ingest Template'!C267</f>
        <v/>
      </c>
      <c r="D267" s="7" t="str">
        <f>'Ingest Template'!E267</f>
        <v/>
      </c>
      <c r="E267" s="5"/>
      <c r="F267" s="5"/>
      <c r="G267" s="5"/>
      <c r="H267" s="7"/>
      <c r="I267" s="5"/>
      <c r="J267" s="7" t="str">
        <f>'Ingest Template'!Q267</f>
        <v/>
      </c>
      <c r="K267" s="5" t="str">
        <f>'Ingest Template'!R267</f>
        <v/>
      </c>
      <c r="L267" s="8" t="s">
        <v>38</v>
      </c>
      <c r="M267" s="9"/>
      <c r="N267" s="5"/>
      <c r="O267" s="5"/>
      <c r="P267" s="5"/>
      <c r="Q267" s="5"/>
      <c r="R267" s="5" t="str">
        <f>'Ingest Template'!D267</f>
        <v/>
      </c>
      <c r="S267" s="5" t="str">
        <f>'Ingest Template'!G267</f>
        <v/>
      </c>
      <c r="T267" s="5" t="str">
        <f>'Ingest Template'!H267</f>
        <v/>
      </c>
      <c r="U267" s="5" t="str">
        <f>LOWER(SUBSTITUTE(SUBSTITUTE(SUBSTITUTE(SUBSTITUTE(SUBSTITUTE('Ingest Template'!I267,"https:",""),"www.",""),"/",""),"?hl=en",""),"instagram.com",""))</f>
        <v/>
      </c>
      <c r="V267" s="10" t="str">
        <f>'Ingest Template'!J267</f>
        <v/>
      </c>
      <c r="W267" s="10" t="str">
        <f>'Ingest Template'!K267</f>
        <v/>
      </c>
      <c r="X267" s="5"/>
      <c r="Y267" s="5" t="str">
        <f>SUBSTITUTE(SUBSTITUTE(SUBSTITUTE('Ingest Template'!L267,"http:",""),"https:",""),"/","")</f>
        <v/>
      </c>
      <c r="Z267" s="5" t="str">
        <f t="array" ref="Z267">IF('Ingest Template'!A267="Standard",(IF(ISBLANK('Ingest Template'!M267),"", 'Ingest Template'!M267&amp;"|DAR")),(IF(ISBLANK('Ingest Template'!M267),"", 'Ingest Template'!M267&amp;"|Operations - Core Title")))</f>
        <v/>
      </c>
      <c r="AA267" s="5"/>
      <c r="AB267" s="5" t="str">
        <f>'Ingest Template'!F267</f>
        <v/>
      </c>
      <c r="AC267" s="5"/>
      <c r="AD267" s="5"/>
      <c r="AE267" s="5"/>
      <c r="AF267" s="8"/>
      <c r="AG267" s="5" t="str">
        <f t="array" ref="AG267">IF('Ingest Template'!A267="Standard",(CONCATENATE(IF(ISBLANK('Ingest Template'!N267),"", 'Ingest Template'!N267&amp;"|DAR"),CHAR(10), IF(ISBLANK('Ingest Template'!O267),"", 'Ingest Template'!O267&amp;"|DAR"),CHAR(10), IF(ISBLANK('Ingest Template'!P267),"", 'Ingest Template'!P267&amp;"|DAR"))),(CONCATENATE(IF(ISBLANK('Ingest Template'!N267),"", 'Ingest Template'!N267&amp;"|Operations - Core Title"),CHAR(10), IF(ISBLANK('Ingest Template'!O267),"", 'Ingest Template'!O267&amp;"|Operations - Core Title"),CHAR(10), IF(ISBLANK('Ingest Template'!P267),"", 'Ingest Template'!P267&amp;"|Operations - Core Title"))))</f>
        <v>#|Operations - Core Title
</v>
      </c>
      <c r="AH267" s="5"/>
      <c r="AI267" s="5"/>
      <c r="AJ267" s="5"/>
      <c r="AK267" s="5"/>
      <c r="AL267" s="5"/>
    </row>
    <row r="268">
      <c r="A268" s="5"/>
      <c r="B268" s="5" t="str">
        <f>'Ingest Template'!B268&amp;IF('Ingest Template'!A268 = "Standard", " - DAR","")</f>
        <v/>
      </c>
      <c r="C268" s="6" t="str">
        <f>'Ingest Template'!C268</f>
        <v/>
      </c>
      <c r="D268" s="7" t="str">
        <f>'Ingest Template'!E268</f>
        <v/>
      </c>
      <c r="E268" s="5"/>
      <c r="F268" s="5"/>
      <c r="G268" s="5"/>
      <c r="H268" s="7"/>
      <c r="I268" s="5"/>
      <c r="J268" s="7" t="str">
        <f>'Ingest Template'!Q268</f>
        <v/>
      </c>
      <c r="K268" s="5" t="str">
        <f>'Ingest Template'!R268</f>
        <v/>
      </c>
      <c r="L268" s="8" t="s">
        <v>38</v>
      </c>
      <c r="M268" s="9"/>
      <c r="N268" s="5"/>
      <c r="O268" s="5"/>
      <c r="P268" s="5"/>
      <c r="Q268" s="5"/>
      <c r="R268" s="5" t="str">
        <f>'Ingest Template'!D268</f>
        <v/>
      </c>
      <c r="S268" s="5" t="str">
        <f>'Ingest Template'!G268</f>
        <v/>
      </c>
      <c r="T268" s="5" t="str">
        <f>'Ingest Template'!H268</f>
        <v/>
      </c>
      <c r="U268" s="5" t="str">
        <f>LOWER(SUBSTITUTE(SUBSTITUTE(SUBSTITUTE(SUBSTITUTE(SUBSTITUTE('Ingest Template'!I268,"https:",""),"www.",""),"/",""),"?hl=en",""),"instagram.com",""))</f>
        <v/>
      </c>
      <c r="V268" s="10" t="str">
        <f>'Ingest Template'!J268</f>
        <v/>
      </c>
      <c r="W268" s="10" t="str">
        <f>'Ingest Template'!K268</f>
        <v/>
      </c>
      <c r="X268" s="5"/>
      <c r="Y268" s="5" t="str">
        <f>SUBSTITUTE(SUBSTITUTE(SUBSTITUTE('Ingest Template'!L268,"http:",""),"https:",""),"/","")</f>
        <v/>
      </c>
      <c r="Z268" s="5" t="str">
        <f t="array" ref="Z268">IF('Ingest Template'!A268="Standard",(IF(ISBLANK('Ingest Template'!M268),"", 'Ingest Template'!M268&amp;"|DAR")),(IF(ISBLANK('Ingest Template'!M268),"", 'Ingest Template'!M268&amp;"|Operations - Core Title")))</f>
        <v/>
      </c>
      <c r="AA268" s="5"/>
      <c r="AB268" s="5" t="str">
        <f>'Ingest Template'!F268</f>
        <v/>
      </c>
      <c r="AC268" s="5"/>
      <c r="AD268" s="5"/>
      <c r="AE268" s="5"/>
      <c r="AF268" s="8"/>
      <c r="AG268" s="5" t="str">
        <f t="array" ref="AG268">IF('Ingest Template'!A268="Standard",(CONCATENATE(IF(ISBLANK('Ingest Template'!N268),"", 'Ingest Template'!N268&amp;"|DAR"),CHAR(10), IF(ISBLANK('Ingest Template'!O268),"", 'Ingest Template'!O268&amp;"|DAR"),CHAR(10), IF(ISBLANK('Ingest Template'!P268),"", 'Ingest Template'!P268&amp;"|DAR"))),(CONCATENATE(IF(ISBLANK('Ingest Template'!N268),"", 'Ingest Template'!N268&amp;"|Operations - Core Title"),CHAR(10), IF(ISBLANK('Ingest Template'!O268),"", 'Ingest Template'!O268&amp;"|Operations - Core Title"),CHAR(10), IF(ISBLANK('Ingest Template'!P268),"", 'Ingest Template'!P268&amp;"|Operations - Core Title"))))</f>
        <v>#|Operations - Core Title
</v>
      </c>
      <c r="AH268" s="5"/>
      <c r="AI268" s="5"/>
      <c r="AJ268" s="5"/>
      <c r="AK268" s="5"/>
      <c r="AL268" s="5"/>
    </row>
    <row r="269">
      <c r="A269" s="5"/>
      <c r="B269" s="5" t="str">
        <f>'Ingest Template'!B269&amp;IF('Ingest Template'!A269 = "Standard", " - DAR","")</f>
        <v/>
      </c>
      <c r="C269" s="6" t="str">
        <f>'Ingest Template'!C269</f>
        <v/>
      </c>
      <c r="D269" s="7" t="str">
        <f>'Ingest Template'!E269</f>
        <v/>
      </c>
      <c r="E269" s="5"/>
      <c r="F269" s="5"/>
      <c r="G269" s="5"/>
      <c r="H269" s="7"/>
      <c r="I269" s="5"/>
      <c r="J269" s="7" t="str">
        <f>'Ingest Template'!Q269</f>
        <v/>
      </c>
      <c r="K269" s="5" t="str">
        <f>'Ingest Template'!R269</f>
        <v/>
      </c>
      <c r="L269" s="8" t="s">
        <v>38</v>
      </c>
      <c r="M269" s="9"/>
      <c r="N269" s="5"/>
      <c r="O269" s="5"/>
      <c r="P269" s="5"/>
      <c r="Q269" s="5"/>
      <c r="R269" s="5" t="str">
        <f>'Ingest Template'!D269</f>
        <v/>
      </c>
      <c r="S269" s="5" t="str">
        <f>'Ingest Template'!G269</f>
        <v/>
      </c>
      <c r="T269" s="5" t="str">
        <f>'Ingest Template'!H269</f>
        <v/>
      </c>
      <c r="U269" s="5" t="str">
        <f>LOWER(SUBSTITUTE(SUBSTITUTE(SUBSTITUTE(SUBSTITUTE(SUBSTITUTE('Ingest Template'!I269,"https:",""),"www.",""),"/",""),"?hl=en",""),"instagram.com",""))</f>
        <v/>
      </c>
      <c r="V269" s="10" t="str">
        <f>'Ingest Template'!J269</f>
        <v/>
      </c>
      <c r="W269" s="10" t="str">
        <f>'Ingest Template'!K269</f>
        <v/>
      </c>
      <c r="X269" s="5"/>
      <c r="Y269" s="5" t="str">
        <f>SUBSTITUTE(SUBSTITUTE(SUBSTITUTE('Ingest Template'!L269,"http:",""),"https:",""),"/","")</f>
        <v/>
      </c>
      <c r="Z269" s="5" t="str">
        <f t="array" ref="Z269">IF('Ingest Template'!A269="Standard",(IF(ISBLANK('Ingest Template'!M269),"", 'Ingest Template'!M269&amp;"|DAR")),(IF(ISBLANK('Ingest Template'!M269),"", 'Ingest Template'!M269&amp;"|Operations - Core Title")))</f>
        <v/>
      </c>
      <c r="AA269" s="5"/>
      <c r="AB269" s="5" t="str">
        <f>'Ingest Template'!F269</f>
        <v/>
      </c>
      <c r="AC269" s="5"/>
      <c r="AD269" s="5"/>
      <c r="AE269" s="5"/>
      <c r="AF269" s="8"/>
      <c r="AG269" s="5" t="str">
        <f t="array" ref="AG269">IF('Ingest Template'!A269="Standard",(CONCATENATE(IF(ISBLANK('Ingest Template'!N269),"", 'Ingest Template'!N269&amp;"|DAR"),CHAR(10), IF(ISBLANK('Ingest Template'!O269),"", 'Ingest Template'!O269&amp;"|DAR"),CHAR(10), IF(ISBLANK('Ingest Template'!P269),"", 'Ingest Template'!P269&amp;"|DAR"))),(CONCATENATE(IF(ISBLANK('Ingest Template'!N269),"", 'Ingest Template'!N269&amp;"|Operations - Core Title"),CHAR(10), IF(ISBLANK('Ingest Template'!O269),"", 'Ingest Template'!O269&amp;"|Operations - Core Title"),CHAR(10), IF(ISBLANK('Ingest Template'!P269),"", 'Ingest Template'!P269&amp;"|Operations - Core Title"))))</f>
        <v>#|Operations - Core Title
</v>
      </c>
      <c r="AH269" s="5"/>
      <c r="AI269" s="5"/>
      <c r="AJ269" s="5"/>
      <c r="AK269" s="5"/>
      <c r="AL269" s="5"/>
    </row>
    <row r="270">
      <c r="A270" s="5"/>
      <c r="B270" s="5" t="str">
        <f>'Ingest Template'!B270&amp;IF('Ingest Template'!A270 = "Standard", " - DAR","")</f>
        <v/>
      </c>
      <c r="C270" s="6" t="str">
        <f>'Ingest Template'!C270</f>
        <v/>
      </c>
      <c r="D270" s="7" t="str">
        <f>'Ingest Template'!E270</f>
        <v/>
      </c>
      <c r="E270" s="5"/>
      <c r="F270" s="5"/>
      <c r="G270" s="5"/>
      <c r="H270" s="7"/>
      <c r="I270" s="5"/>
      <c r="J270" s="7" t="str">
        <f>'Ingest Template'!Q270</f>
        <v/>
      </c>
      <c r="K270" s="5" t="str">
        <f>'Ingest Template'!R270</f>
        <v/>
      </c>
      <c r="L270" s="8" t="s">
        <v>38</v>
      </c>
      <c r="M270" s="9"/>
      <c r="N270" s="5"/>
      <c r="O270" s="5"/>
      <c r="P270" s="5"/>
      <c r="Q270" s="5"/>
      <c r="R270" s="5" t="str">
        <f>'Ingest Template'!D270</f>
        <v/>
      </c>
      <c r="S270" s="5" t="str">
        <f>'Ingest Template'!G270</f>
        <v/>
      </c>
      <c r="T270" s="5" t="str">
        <f>'Ingest Template'!H270</f>
        <v/>
      </c>
      <c r="U270" s="5" t="str">
        <f>LOWER(SUBSTITUTE(SUBSTITUTE(SUBSTITUTE(SUBSTITUTE(SUBSTITUTE('Ingest Template'!I270,"https:",""),"www.",""),"/",""),"?hl=en",""),"instagram.com",""))</f>
        <v/>
      </c>
      <c r="V270" s="10" t="str">
        <f>'Ingest Template'!J270</f>
        <v/>
      </c>
      <c r="W270" s="10" t="str">
        <f>'Ingest Template'!K270</f>
        <v/>
      </c>
      <c r="X270" s="5"/>
      <c r="Y270" s="5" t="str">
        <f>SUBSTITUTE(SUBSTITUTE(SUBSTITUTE('Ingest Template'!L270,"http:",""),"https:",""),"/","")</f>
        <v/>
      </c>
      <c r="Z270" s="5" t="str">
        <f t="array" ref="Z270">IF('Ingest Template'!A270="Standard",(IF(ISBLANK('Ingest Template'!M270),"", 'Ingest Template'!M270&amp;"|DAR")),(IF(ISBLANK('Ingest Template'!M270),"", 'Ingest Template'!M270&amp;"|Operations - Core Title")))</f>
        <v/>
      </c>
      <c r="AA270" s="5"/>
      <c r="AB270" s="5" t="str">
        <f>'Ingest Template'!F270</f>
        <v/>
      </c>
      <c r="AC270" s="5"/>
      <c r="AD270" s="5"/>
      <c r="AE270" s="5"/>
      <c r="AF270" s="8"/>
      <c r="AG270" s="5" t="str">
        <f t="array" ref="AG270">IF('Ingest Template'!A270="Standard",(CONCATENATE(IF(ISBLANK('Ingest Template'!N270),"", 'Ingest Template'!N270&amp;"|DAR"),CHAR(10), IF(ISBLANK('Ingest Template'!O270),"", 'Ingest Template'!O270&amp;"|DAR"),CHAR(10), IF(ISBLANK('Ingest Template'!P270),"", 'Ingest Template'!P270&amp;"|DAR"))),(CONCATENATE(IF(ISBLANK('Ingest Template'!N270),"", 'Ingest Template'!N270&amp;"|Operations - Core Title"),CHAR(10), IF(ISBLANK('Ingest Template'!O270),"", 'Ingest Template'!O270&amp;"|Operations - Core Title"),CHAR(10), IF(ISBLANK('Ingest Template'!P270),"", 'Ingest Template'!P270&amp;"|Operations - Core Title"))))</f>
        <v>#|Operations - Core Title
</v>
      </c>
      <c r="AH270" s="5"/>
      <c r="AI270" s="5"/>
      <c r="AJ270" s="5"/>
      <c r="AK270" s="5"/>
      <c r="AL270" s="5"/>
    </row>
    <row r="271">
      <c r="A271" s="5"/>
      <c r="B271" s="5" t="str">
        <f>'Ingest Template'!B271&amp;IF('Ingest Template'!A271 = "Standard", " - DAR","")</f>
        <v/>
      </c>
      <c r="C271" s="6" t="str">
        <f>'Ingest Template'!C271</f>
        <v/>
      </c>
      <c r="D271" s="7" t="str">
        <f>'Ingest Template'!E271</f>
        <v/>
      </c>
      <c r="E271" s="5"/>
      <c r="F271" s="5"/>
      <c r="G271" s="5"/>
      <c r="H271" s="7"/>
      <c r="I271" s="5"/>
      <c r="J271" s="7" t="str">
        <f>'Ingest Template'!Q271</f>
        <v/>
      </c>
      <c r="K271" s="5" t="str">
        <f>'Ingest Template'!R271</f>
        <v/>
      </c>
      <c r="L271" s="8" t="s">
        <v>38</v>
      </c>
      <c r="M271" s="9"/>
      <c r="N271" s="5"/>
      <c r="O271" s="5"/>
      <c r="P271" s="5"/>
      <c r="Q271" s="5"/>
      <c r="R271" s="5" t="str">
        <f>'Ingest Template'!D271</f>
        <v/>
      </c>
      <c r="S271" s="5" t="str">
        <f>'Ingest Template'!G271</f>
        <v/>
      </c>
      <c r="T271" s="5" t="str">
        <f>'Ingest Template'!H271</f>
        <v/>
      </c>
      <c r="U271" s="5" t="str">
        <f>LOWER(SUBSTITUTE(SUBSTITUTE(SUBSTITUTE(SUBSTITUTE(SUBSTITUTE('Ingest Template'!I271,"https:",""),"www.",""),"/",""),"?hl=en",""),"instagram.com",""))</f>
        <v/>
      </c>
      <c r="V271" s="10" t="str">
        <f>'Ingest Template'!J271</f>
        <v/>
      </c>
      <c r="W271" s="10" t="str">
        <f>'Ingest Template'!K271</f>
        <v/>
      </c>
      <c r="X271" s="5"/>
      <c r="Y271" s="5" t="str">
        <f>SUBSTITUTE(SUBSTITUTE(SUBSTITUTE('Ingest Template'!L271,"http:",""),"https:",""),"/","")</f>
        <v/>
      </c>
      <c r="Z271" s="5" t="str">
        <f t="array" ref="Z271">IF('Ingest Template'!A271="Standard",(IF(ISBLANK('Ingest Template'!M271),"", 'Ingest Template'!M271&amp;"|DAR")),(IF(ISBLANK('Ingest Template'!M271),"", 'Ingest Template'!M271&amp;"|Operations - Core Title")))</f>
        <v/>
      </c>
      <c r="AA271" s="5"/>
      <c r="AB271" s="5" t="str">
        <f>'Ingest Template'!F271</f>
        <v/>
      </c>
      <c r="AC271" s="5"/>
      <c r="AD271" s="5"/>
      <c r="AE271" s="5"/>
      <c r="AF271" s="8"/>
      <c r="AG271" s="5" t="str">
        <f t="array" ref="AG271">IF('Ingest Template'!A271="Standard",(CONCATENATE(IF(ISBLANK('Ingest Template'!N271),"", 'Ingest Template'!N271&amp;"|DAR"),CHAR(10), IF(ISBLANK('Ingest Template'!O271),"", 'Ingest Template'!O271&amp;"|DAR"),CHAR(10), IF(ISBLANK('Ingest Template'!P271),"", 'Ingest Template'!P271&amp;"|DAR"))),(CONCATENATE(IF(ISBLANK('Ingest Template'!N271),"", 'Ingest Template'!N271&amp;"|Operations - Core Title"),CHAR(10), IF(ISBLANK('Ingest Template'!O271),"", 'Ingest Template'!O271&amp;"|Operations - Core Title"),CHAR(10), IF(ISBLANK('Ingest Template'!P271),"", 'Ingest Template'!P271&amp;"|Operations - Core Title"))))</f>
        <v>#|Operations - Core Title
</v>
      </c>
      <c r="AH271" s="5"/>
      <c r="AI271" s="5"/>
      <c r="AJ271" s="5"/>
      <c r="AK271" s="5"/>
      <c r="AL271" s="5"/>
    </row>
    <row r="272">
      <c r="A272" s="5"/>
      <c r="B272" s="5" t="str">
        <f>'Ingest Template'!B272&amp;IF('Ingest Template'!A272 = "Standard", " - DAR","")</f>
        <v/>
      </c>
      <c r="C272" s="6" t="str">
        <f>'Ingest Template'!C272</f>
        <v/>
      </c>
      <c r="D272" s="7" t="str">
        <f>'Ingest Template'!E272</f>
        <v/>
      </c>
      <c r="E272" s="5"/>
      <c r="F272" s="5"/>
      <c r="G272" s="5"/>
      <c r="H272" s="7"/>
      <c r="I272" s="5"/>
      <c r="J272" s="7" t="str">
        <f>'Ingest Template'!Q272</f>
        <v/>
      </c>
      <c r="K272" s="5" t="str">
        <f>'Ingest Template'!R272</f>
        <v/>
      </c>
      <c r="L272" s="8" t="s">
        <v>38</v>
      </c>
      <c r="M272" s="9"/>
      <c r="N272" s="5"/>
      <c r="O272" s="5"/>
      <c r="P272" s="5"/>
      <c r="Q272" s="5"/>
      <c r="R272" s="5" t="str">
        <f>'Ingest Template'!D272</f>
        <v/>
      </c>
      <c r="S272" s="5" t="str">
        <f>'Ingest Template'!G272</f>
        <v/>
      </c>
      <c r="T272" s="5" t="str">
        <f>'Ingest Template'!H272</f>
        <v/>
      </c>
      <c r="U272" s="5" t="str">
        <f>LOWER(SUBSTITUTE(SUBSTITUTE(SUBSTITUTE(SUBSTITUTE(SUBSTITUTE('Ingest Template'!I272,"https:",""),"www.",""),"/",""),"?hl=en",""),"instagram.com",""))</f>
        <v/>
      </c>
      <c r="V272" s="10" t="str">
        <f>'Ingest Template'!J272</f>
        <v/>
      </c>
      <c r="W272" s="10" t="str">
        <f>'Ingest Template'!K272</f>
        <v/>
      </c>
      <c r="X272" s="5"/>
      <c r="Y272" s="5" t="str">
        <f>SUBSTITUTE(SUBSTITUTE(SUBSTITUTE('Ingest Template'!L272,"http:",""),"https:",""),"/","")</f>
        <v/>
      </c>
      <c r="Z272" s="5" t="str">
        <f t="array" ref="Z272">IF('Ingest Template'!A272="Standard",(IF(ISBLANK('Ingest Template'!M272),"", 'Ingest Template'!M272&amp;"|DAR")),(IF(ISBLANK('Ingest Template'!M272),"", 'Ingest Template'!M272&amp;"|Operations - Core Title")))</f>
        <v/>
      </c>
      <c r="AA272" s="5"/>
      <c r="AB272" s="5" t="str">
        <f>'Ingest Template'!F272</f>
        <v/>
      </c>
      <c r="AC272" s="5"/>
      <c r="AD272" s="5"/>
      <c r="AE272" s="5"/>
      <c r="AF272" s="8"/>
      <c r="AG272" s="5" t="str">
        <f t="array" ref="AG272">IF('Ingest Template'!A272="Standard",(CONCATENATE(IF(ISBLANK('Ingest Template'!N272),"", 'Ingest Template'!N272&amp;"|DAR"),CHAR(10), IF(ISBLANK('Ingest Template'!O272),"", 'Ingest Template'!O272&amp;"|DAR"),CHAR(10), IF(ISBLANK('Ingest Template'!P272),"", 'Ingest Template'!P272&amp;"|DAR"))),(CONCATENATE(IF(ISBLANK('Ingest Template'!N272),"", 'Ingest Template'!N272&amp;"|Operations - Core Title"),CHAR(10), IF(ISBLANK('Ingest Template'!O272),"", 'Ingest Template'!O272&amp;"|Operations - Core Title"),CHAR(10), IF(ISBLANK('Ingest Template'!P272),"", 'Ingest Template'!P272&amp;"|Operations - Core Title"))))</f>
        <v>#|Operations - Core Title
</v>
      </c>
      <c r="AH272" s="5"/>
      <c r="AI272" s="5"/>
      <c r="AJ272" s="5"/>
      <c r="AK272" s="5"/>
      <c r="AL272" s="5"/>
    </row>
    <row r="273">
      <c r="A273" s="5"/>
      <c r="B273" s="5" t="str">
        <f>'Ingest Template'!B273&amp;IF('Ingest Template'!A273 = "Standard", " - DAR","")</f>
        <v/>
      </c>
      <c r="C273" s="6" t="str">
        <f>'Ingest Template'!C273</f>
        <v/>
      </c>
      <c r="D273" s="7" t="str">
        <f>'Ingest Template'!E273</f>
        <v/>
      </c>
      <c r="E273" s="5"/>
      <c r="F273" s="5"/>
      <c r="G273" s="5"/>
      <c r="H273" s="7"/>
      <c r="I273" s="5"/>
      <c r="J273" s="7" t="str">
        <f>'Ingest Template'!Q273</f>
        <v/>
      </c>
      <c r="K273" s="5" t="str">
        <f>'Ingest Template'!R273</f>
        <v/>
      </c>
      <c r="L273" s="8" t="s">
        <v>38</v>
      </c>
      <c r="M273" s="9"/>
      <c r="N273" s="5"/>
      <c r="O273" s="5"/>
      <c r="P273" s="5"/>
      <c r="Q273" s="5"/>
      <c r="R273" s="5" t="str">
        <f>'Ingest Template'!D273</f>
        <v/>
      </c>
      <c r="S273" s="5" t="str">
        <f>'Ingest Template'!G273</f>
        <v/>
      </c>
      <c r="T273" s="5" t="str">
        <f>'Ingest Template'!H273</f>
        <v/>
      </c>
      <c r="U273" s="5" t="str">
        <f>LOWER(SUBSTITUTE(SUBSTITUTE(SUBSTITUTE(SUBSTITUTE(SUBSTITUTE('Ingest Template'!I273,"https:",""),"www.",""),"/",""),"?hl=en",""),"instagram.com",""))</f>
        <v/>
      </c>
      <c r="V273" s="10" t="str">
        <f>'Ingest Template'!J273</f>
        <v/>
      </c>
      <c r="W273" s="10" t="str">
        <f>'Ingest Template'!K273</f>
        <v/>
      </c>
      <c r="X273" s="5"/>
      <c r="Y273" s="5" t="str">
        <f>SUBSTITUTE(SUBSTITUTE(SUBSTITUTE('Ingest Template'!L273,"http:",""),"https:",""),"/","")</f>
        <v/>
      </c>
      <c r="Z273" s="5" t="str">
        <f t="array" ref="Z273">IF('Ingest Template'!A273="Standard",(IF(ISBLANK('Ingest Template'!M273),"", 'Ingest Template'!M273&amp;"|DAR")),(IF(ISBLANK('Ingest Template'!M273),"", 'Ingest Template'!M273&amp;"|Operations - Core Title")))</f>
        <v/>
      </c>
      <c r="AA273" s="5"/>
      <c r="AB273" s="5" t="str">
        <f>'Ingest Template'!F273</f>
        <v/>
      </c>
      <c r="AC273" s="5"/>
      <c r="AD273" s="5"/>
      <c r="AE273" s="5"/>
      <c r="AF273" s="8"/>
      <c r="AG273" s="5" t="str">
        <f t="array" ref="AG273">IF('Ingest Template'!A273="Standard",(CONCATENATE(IF(ISBLANK('Ingest Template'!N273),"", 'Ingest Template'!N273&amp;"|DAR"),CHAR(10), IF(ISBLANK('Ingest Template'!O273),"", 'Ingest Template'!O273&amp;"|DAR"),CHAR(10), IF(ISBLANK('Ingest Template'!P273),"", 'Ingest Template'!P273&amp;"|DAR"))),(CONCATENATE(IF(ISBLANK('Ingest Template'!N273),"", 'Ingest Template'!N273&amp;"|Operations - Core Title"),CHAR(10), IF(ISBLANK('Ingest Template'!O273),"", 'Ingest Template'!O273&amp;"|Operations - Core Title"),CHAR(10), IF(ISBLANK('Ingest Template'!P273),"", 'Ingest Template'!P273&amp;"|Operations - Core Title"))))</f>
        <v>#|Operations - Core Title
</v>
      </c>
      <c r="AH273" s="5"/>
      <c r="AI273" s="5"/>
      <c r="AJ273" s="5"/>
      <c r="AK273" s="5"/>
      <c r="AL273" s="5"/>
    </row>
    <row r="274">
      <c r="A274" s="5"/>
      <c r="B274" s="5" t="str">
        <f>'Ingest Template'!B274&amp;IF('Ingest Template'!A274 = "Standard", " - DAR","")</f>
        <v/>
      </c>
      <c r="C274" s="6" t="str">
        <f>'Ingest Template'!C274</f>
        <v/>
      </c>
      <c r="D274" s="7" t="str">
        <f>'Ingest Template'!E274</f>
        <v/>
      </c>
      <c r="E274" s="5"/>
      <c r="F274" s="5"/>
      <c r="G274" s="5"/>
      <c r="H274" s="7"/>
      <c r="I274" s="5"/>
      <c r="J274" s="7" t="str">
        <f>'Ingest Template'!Q274</f>
        <v/>
      </c>
      <c r="K274" s="5" t="str">
        <f>'Ingest Template'!R274</f>
        <v/>
      </c>
      <c r="L274" s="8" t="s">
        <v>38</v>
      </c>
      <c r="M274" s="9"/>
      <c r="N274" s="5"/>
      <c r="O274" s="5"/>
      <c r="P274" s="5"/>
      <c r="Q274" s="5"/>
      <c r="R274" s="5" t="str">
        <f>'Ingest Template'!D274</f>
        <v/>
      </c>
      <c r="S274" s="5" t="str">
        <f>'Ingest Template'!G274</f>
        <v/>
      </c>
      <c r="T274" s="5" t="str">
        <f>'Ingest Template'!H274</f>
        <v/>
      </c>
      <c r="U274" s="5" t="str">
        <f>LOWER(SUBSTITUTE(SUBSTITUTE(SUBSTITUTE(SUBSTITUTE(SUBSTITUTE('Ingest Template'!I274,"https:",""),"www.",""),"/",""),"?hl=en",""),"instagram.com",""))</f>
        <v/>
      </c>
      <c r="V274" s="10" t="str">
        <f>'Ingest Template'!J274</f>
        <v/>
      </c>
      <c r="W274" s="10" t="str">
        <f>'Ingest Template'!K274</f>
        <v/>
      </c>
      <c r="X274" s="5"/>
      <c r="Y274" s="5" t="str">
        <f>SUBSTITUTE(SUBSTITUTE(SUBSTITUTE('Ingest Template'!L274,"http:",""),"https:",""),"/","")</f>
        <v/>
      </c>
      <c r="Z274" s="5" t="str">
        <f t="array" ref="Z274">IF('Ingest Template'!A274="Standard",(IF(ISBLANK('Ingest Template'!M274),"", 'Ingest Template'!M274&amp;"|DAR")),(IF(ISBLANK('Ingest Template'!M274),"", 'Ingest Template'!M274&amp;"|Operations - Core Title")))</f>
        <v/>
      </c>
      <c r="AA274" s="5"/>
      <c r="AB274" s="5" t="str">
        <f>'Ingest Template'!F274</f>
        <v/>
      </c>
      <c r="AC274" s="5"/>
      <c r="AD274" s="5"/>
      <c r="AE274" s="5"/>
      <c r="AF274" s="8"/>
      <c r="AG274" s="5" t="str">
        <f t="array" ref="AG274">IF('Ingest Template'!A274="Standard",(CONCATENATE(IF(ISBLANK('Ingest Template'!N274),"", 'Ingest Template'!N274&amp;"|DAR"),CHAR(10), IF(ISBLANK('Ingest Template'!O274),"", 'Ingest Template'!O274&amp;"|DAR"),CHAR(10), IF(ISBLANK('Ingest Template'!P274),"", 'Ingest Template'!P274&amp;"|DAR"))),(CONCATENATE(IF(ISBLANK('Ingest Template'!N274),"", 'Ingest Template'!N274&amp;"|Operations - Core Title"),CHAR(10), IF(ISBLANK('Ingest Template'!O274),"", 'Ingest Template'!O274&amp;"|Operations - Core Title"),CHAR(10), IF(ISBLANK('Ingest Template'!P274),"", 'Ingest Template'!P274&amp;"|Operations - Core Title"))))</f>
        <v>#|Operations - Core Title
</v>
      </c>
      <c r="AH274" s="5"/>
      <c r="AI274" s="5"/>
      <c r="AJ274" s="5"/>
      <c r="AK274" s="5"/>
      <c r="AL274" s="5"/>
    </row>
    <row r="275">
      <c r="A275" s="5"/>
      <c r="B275" s="5" t="str">
        <f>'Ingest Template'!B275&amp;IF('Ingest Template'!A275 = "Standard", " - DAR","")</f>
        <v/>
      </c>
      <c r="C275" s="6" t="str">
        <f>'Ingest Template'!C275</f>
        <v/>
      </c>
      <c r="D275" s="7" t="str">
        <f>'Ingest Template'!E275</f>
        <v/>
      </c>
      <c r="E275" s="5"/>
      <c r="F275" s="5"/>
      <c r="G275" s="5"/>
      <c r="H275" s="7"/>
      <c r="I275" s="5"/>
      <c r="J275" s="7" t="str">
        <f>'Ingest Template'!Q275</f>
        <v/>
      </c>
      <c r="K275" s="5" t="str">
        <f>'Ingest Template'!R275</f>
        <v/>
      </c>
      <c r="L275" s="8" t="s">
        <v>38</v>
      </c>
      <c r="M275" s="9"/>
      <c r="N275" s="5"/>
      <c r="O275" s="5"/>
      <c r="P275" s="5"/>
      <c r="Q275" s="5"/>
      <c r="R275" s="5" t="str">
        <f>'Ingest Template'!D275</f>
        <v/>
      </c>
      <c r="S275" s="5" t="str">
        <f>'Ingest Template'!G275</f>
        <v/>
      </c>
      <c r="T275" s="5" t="str">
        <f>'Ingest Template'!H275</f>
        <v/>
      </c>
      <c r="U275" s="5" t="str">
        <f>LOWER(SUBSTITUTE(SUBSTITUTE(SUBSTITUTE(SUBSTITUTE(SUBSTITUTE('Ingest Template'!I275,"https:",""),"www.",""),"/",""),"?hl=en",""),"instagram.com",""))</f>
        <v/>
      </c>
      <c r="V275" s="10" t="str">
        <f>'Ingest Template'!J275</f>
        <v/>
      </c>
      <c r="W275" s="10" t="str">
        <f>'Ingest Template'!K275</f>
        <v/>
      </c>
      <c r="X275" s="5"/>
      <c r="Y275" s="5" t="str">
        <f>SUBSTITUTE(SUBSTITUTE(SUBSTITUTE('Ingest Template'!L275,"http:",""),"https:",""),"/","")</f>
        <v/>
      </c>
      <c r="Z275" s="5" t="str">
        <f t="array" ref="Z275">IF('Ingest Template'!A275="Standard",(IF(ISBLANK('Ingest Template'!M275),"", 'Ingest Template'!M275&amp;"|DAR")),(IF(ISBLANK('Ingest Template'!M275),"", 'Ingest Template'!M275&amp;"|Operations - Core Title")))</f>
        <v/>
      </c>
      <c r="AA275" s="5"/>
      <c r="AB275" s="5" t="str">
        <f>'Ingest Template'!F275</f>
        <v/>
      </c>
      <c r="AC275" s="5"/>
      <c r="AD275" s="5"/>
      <c r="AE275" s="5"/>
      <c r="AF275" s="8"/>
      <c r="AG275" s="5" t="str">
        <f t="array" ref="AG275">IF('Ingest Template'!A275="Standard",(CONCATENATE(IF(ISBLANK('Ingest Template'!N275),"", 'Ingest Template'!N275&amp;"|DAR"),CHAR(10), IF(ISBLANK('Ingest Template'!O275),"", 'Ingest Template'!O275&amp;"|DAR"),CHAR(10), IF(ISBLANK('Ingest Template'!P275),"", 'Ingest Template'!P275&amp;"|DAR"))),(CONCATENATE(IF(ISBLANK('Ingest Template'!N275),"", 'Ingest Template'!N275&amp;"|Operations - Core Title"),CHAR(10), IF(ISBLANK('Ingest Template'!O275),"", 'Ingest Template'!O275&amp;"|Operations - Core Title"),CHAR(10), IF(ISBLANK('Ingest Template'!P275),"", 'Ingest Template'!P275&amp;"|Operations - Core Title"))))</f>
        <v>#|Operations - Core Title
</v>
      </c>
      <c r="AH275" s="5"/>
      <c r="AI275" s="5"/>
      <c r="AJ275" s="5"/>
      <c r="AK275" s="5"/>
      <c r="AL275" s="5"/>
    </row>
    <row r="276">
      <c r="A276" s="5"/>
      <c r="B276" s="5" t="str">
        <f>'Ingest Template'!B276&amp;IF('Ingest Template'!A276 = "Standard", " - DAR","")</f>
        <v/>
      </c>
      <c r="C276" s="6" t="str">
        <f>'Ingest Template'!C276</f>
        <v/>
      </c>
      <c r="D276" s="7" t="str">
        <f>'Ingest Template'!E276</f>
        <v/>
      </c>
      <c r="E276" s="5"/>
      <c r="F276" s="5"/>
      <c r="G276" s="5"/>
      <c r="H276" s="7"/>
      <c r="I276" s="5"/>
      <c r="J276" s="7" t="str">
        <f>'Ingest Template'!Q276</f>
        <v/>
      </c>
      <c r="K276" s="5" t="str">
        <f>'Ingest Template'!R276</f>
        <v/>
      </c>
      <c r="L276" s="8" t="s">
        <v>38</v>
      </c>
      <c r="M276" s="9"/>
      <c r="N276" s="5"/>
      <c r="O276" s="5"/>
      <c r="P276" s="5"/>
      <c r="Q276" s="5"/>
      <c r="R276" s="5" t="str">
        <f>'Ingest Template'!D276</f>
        <v/>
      </c>
      <c r="S276" s="5" t="str">
        <f>'Ingest Template'!G276</f>
        <v/>
      </c>
      <c r="T276" s="5" t="str">
        <f>'Ingest Template'!H276</f>
        <v/>
      </c>
      <c r="U276" s="5" t="str">
        <f>LOWER(SUBSTITUTE(SUBSTITUTE(SUBSTITUTE(SUBSTITUTE(SUBSTITUTE('Ingest Template'!I276,"https:",""),"www.",""),"/",""),"?hl=en",""),"instagram.com",""))</f>
        <v/>
      </c>
      <c r="V276" s="10" t="str">
        <f>'Ingest Template'!J276</f>
        <v/>
      </c>
      <c r="W276" s="10" t="str">
        <f>'Ingest Template'!K276</f>
        <v/>
      </c>
      <c r="X276" s="5"/>
      <c r="Y276" s="5" t="str">
        <f>SUBSTITUTE(SUBSTITUTE(SUBSTITUTE('Ingest Template'!L276,"http:",""),"https:",""),"/","")</f>
        <v/>
      </c>
      <c r="Z276" s="5" t="str">
        <f t="array" ref="Z276">IF('Ingest Template'!A276="Standard",(IF(ISBLANK('Ingest Template'!M276),"", 'Ingest Template'!M276&amp;"|DAR")),(IF(ISBLANK('Ingest Template'!M276),"", 'Ingest Template'!M276&amp;"|Operations - Core Title")))</f>
        <v/>
      </c>
      <c r="AA276" s="5"/>
      <c r="AB276" s="5" t="str">
        <f>'Ingest Template'!F276</f>
        <v/>
      </c>
      <c r="AC276" s="5"/>
      <c r="AD276" s="5"/>
      <c r="AE276" s="5"/>
      <c r="AF276" s="8"/>
      <c r="AG276" s="5" t="str">
        <f t="array" ref="AG276">IF('Ingest Template'!A276="Standard",(CONCATENATE(IF(ISBLANK('Ingest Template'!N276),"", 'Ingest Template'!N276&amp;"|DAR"),CHAR(10), IF(ISBLANK('Ingest Template'!O276),"", 'Ingest Template'!O276&amp;"|DAR"),CHAR(10), IF(ISBLANK('Ingest Template'!P276),"", 'Ingest Template'!P276&amp;"|DAR"))),(CONCATENATE(IF(ISBLANK('Ingest Template'!N276),"", 'Ingest Template'!N276&amp;"|Operations - Core Title"),CHAR(10), IF(ISBLANK('Ingest Template'!O276),"", 'Ingest Template'!O276&amp;"|Operations - Core Title"),CHAR(10), IF(ISBLANK('Ingest Template'!P276),"", 'Ingest Template'!P276&amp;"|Operations - Core Title"))))</f>
        <v>#|Operations - Core Title
</v>
      </c>
      <c r="AH276" s="5"/>
      <c r="AI276" s="5"/>
      <c r="AJ276" s="5"/>
      <c r="AK276" s="5"/>
      <c r="AL276" s="5"/>
    </row>
    <row r="277">
      <c r="A277" s="5"/>
      <c r="B277" s="5" t="str">
        <f>'Ingest Template'!B277&amp;IF('Ingest Template'!A277 = "Standard", " - DAR","")</f>
        <v/>
      </c>
      <c r="C277" s="6" t="str">
        <f>'Ingest Template'!C277</f>
        <v/>
      </c>
      <c r="D277" s="7" t="str">
        <f>'Ingest Template'!E277</f>
        <v/>
      </c>
      <c r="E277" s="5"/>
      <c r="F277" s="5"/>
      <c r="G277" s="5"/>
      <c r="H277" s="7"/>
      <c r="I277" s="5"/>
      <c r="J277" s="7" t="str">
        <f>'Ingest Template'!Q277</f>
        <v/>
      </c>
      <c r="K277" s="5" t="str">
        <f>'Ingest Template'!R277</f>
        <v/>
      </c>
      <c r="L277" s="8" t="s">
        <v>38</v>
      </c>
      <c r="M277" s="9"/>
      <c r="N277" s="5"/>
      <c r="O277" s="5"/>
      <c r="P277" s="5"/>
      <c r="Q277" s="5"/>
      <c r="R277" s="5" t="str">
        <f>'Ingest Template'!D277</f>
        <v/>
      </c>
      <c r="S277" s="5" t="str">
        <f>'Ingest Template'!G277</f>
        <v/>
      </c>
      <c r="T277" s="5" t="str">
        <f>'Ingest Template'!H277</f>
        <v/>
      </c>
      <c r="U277" s="5" t="str">
        <f>LOWER(SUBSTITUTE(SUBSTITUTE(SUBSTITUTE(SUBSTITUTE(SUBSTITUTE('Ingest Template'!I277,"https:",""),"www.",""),"/",""),"?hl=en",""),"instagram.com",""))</f>
        <v/>
      </c>
      <c r="V277" s="10" t="str">
        <f>'Ingest Template'!J277</f>
        <v/>
      </c>
      <c r="W277" s="10" t="str">
        <f>'Ingest Template'!K277</f>
        <v/>
      </c>
      <c r="X277" s="5"/>
      <c r="Y277" s="5" t="str">
        <f>SUBSTITUTE(SUBSTITUTE(SUBSTITUTE('Ingest Template'!L277,"http:",""),"https:",""),"/","")</f>
        <v/>
      </c>
      <c r="Z277" s="5" t="str">
        <f t="array" ref="Z277">IF('Ingest Template'!A277="Standard",(IF(ISBLANK('Ingest Template'!M277),"", 'Ingest Template'!M277&amp;"|DAR")),(IF(ISBLANK('Ingest Template'!M277),"", 'Ingest Template'!M277&amp;"|Operations - Core Title")))</f>
        <v/>
      </c>
      <c r="AA277" s="5"/>
      <c r="AB277" s="5" t="str">
        <f>'Ingest Template'!F277</f>
        <v/>
      </c>
      <c r="AC277" s="5"/>
      <c r="AD277" s="5"/>
      <c r="AE277" s="5"/>
      <c r="AF277" s="8"/>
      <c r="AG277" s="5" t="str">
        <f t="array" ref="AG277">IF('Ingest Template'!A277="Standard",(CONCATENATE(IF(ISBLANK('Ingest Template'!N277),"", 'Ingest Template'!N277&amp;"|DAR"),CHAR(10), IF(ISBLANK('Ingest Template'!O277),"", 'Ingest Template'!O277&amp;"|DAR"),CHAR(10), IF(ISBLANK('Ingest Template'!P277),"", 'Ingest Template'!P277&amp;"|DAR"))),(CONCATENATE(IF(ISBLANK('Ingest Template'!N277),"", 'Ingest Template'!N277&amp;"|Operations - Core Title"),CHAR(10), IF(ISBLANK('Ingest Template'!O277),"", 'Ingest Template'!O277&amp;"|Operations - Core Title"),CHAR(10), IF(ISBLANK('Ingest Template'!P277),"", 'Ingest Template'!P277&amp;"|Operations - Core Title"))))</f>
        <v>#|Operations - Core Title
</v>
      </c>
      <c r="AH277" s="5"/>
      <c r="AI277" s="5"/>
      <c r="AJ277" s="5"/>
      <c r="AK277" s="5"/>
      <c r="AL277" s="5"/>
    </row>
    <row r="278">
      <c r="A278" s="5"/>
      <c r="B278" s="5" t="str">
        <f>'Ingest Template'!B278&amp;IF('Ingest Template'!A278 = "Standard", " - DAR","")</f>
        <v/>
      </c>
      <c r="C278" s="6" t="str">
        <f>'Ingest Template'!C278</f>
        <v/>
      </c>
      <c r="D278" s="7" t="str">
        <f>'Ingest Template'!E278</f>
        <v/>
      </c>
      <c r="E278" s="5"/>
      <c r="F278" s="5"/>
      <c r="G278" s="5"/>
      <c r="H278" s="7"/>
      <c r="I278" s="5"/>
      <c r="J278" s="7" t="str">
        <f>'Ingest Template'!Q278</f>
        <v/>
      </c>
      <c r="K278" s="5" t="str">
        <f>'Ingest Template'!R278</f>
        <v/>
      </c>
      <c r="L278" s="8" t="s">
        <v>38</v>
      </c>
      <c r="M278" s="9"/>
      <c r="N278" s="5"/>
      <c r="O278" s="5"/>
      <c r="P278" s="5"/>
      <c r="Q278" s="5"/>
      <c r="R278" s="5" t="str">
        <f>'Ingest Template'!D278</f>
        <v/>
      </c>
      <c r="S278" s="5" t="str">
        <f>'Ingest Template'!G278</f>
        <v/>
      </c>
      <c r="T278" s="5" t="str">
        <f>'Ingest Template'!H278</f>
        <v/>
      </c>
      <c r="U278" s="5" t="str">
        <f>LOWER(SUBSTITUTE(SUBSTITUTE(SUBSTITUTE(SUBSTITUTE(SUBSTITUTE('Ingest Template'!I278,"https:",""),"www.",""),"/",""),"?hl=en",""),"instagram.com",""))</f>
        <v/>
      </c>
      <c r="V278" s="10" t="str">
        <f>'Ingest Template'!J278</f>
        <v/>
      </c>
      <c r="W278" s="10" t="str">
        <f>'Ingest Template'!K278</f>
        <v/>
      </c>
      <c r="X278" s="5"/>
      <c r="Y278" s="5" t="str">
        <f>SUBSTITUTE(SUBSTITUTE(SUBSTITUTE('Ingest Template'!L278,"http:",""),"https:",""),"/","")</f>
        <v/>
      </c>
      <c r="Z278" s="5" t="str">
        <f t="array" ref="Z278">IF('Ingest Template'!A278="Standard",(IF(ISBLANK('Ingest Template'!M278),"", 'Ingest Template'!M278&amp;"|DAR")),(IF(ISBLANK('Ingest Template'!M278),"", 'Ingest Template'!M278&amp;"|Operations - Core Title")))</f>
        <v/>
      </c>
      <c r="AA278" s="5"/>
      <c r="AB278" s="5" t="str">
        <f>'Ingest Template'!F278</f>
        <v/>
      </c>
      <c r="AC278" s="5"/>
      <c r="AD278" s="5"/>
      <c r="AE278" s="5"/>
      <c r="AF278" s="8"/>
      <c r="AG278" s="5" t="str">
        <f t="array" ref="AG278">IF('Ingest Template'!A278="Standard",(CONCATENATE(IF(ISBLANK('Ingest Template'!N278),"", 'Ingest Template'!N278&amp;"|DAR"),CHAR(10), IF(ISBLANK('Ingest Template'!O278),"", 'Ingest Template'!O278&amp;"|DAR"),CHAR(10), IF(ISBLANK('Ingest Template'!P278),"", 'Ingest Template'!P278&amp;"|DAR"))),(CONCATENATE(IF(ISBLANK('Ingest Template'!N278),"", 'Ingest Template'!N278&amp;"|Operations - Core Title"),CHAR(10), IF(ISBLANK('Ingest Template'!O278),"", 'Ingest Template'!O278&amp;"|Operations - Core Title"),CHAR(10), IF(ISBLANK('Ingest Template'!P278),"", 'Ingest Template'!P278&amp;"|Operations - Core Title"))))</f>
        <v>#|Operations - Core Title
</v>
      </c>
      <c r="AH278" s="5"/>
      <c r="AI278" s="5"/>
      <c r="AJ278" s="5"/>
      <c r="AK278" s="5"/>
      <c r="AL278" s="5"/>
    </row>
    <row r="279">
      <c r="A279" s="5"/>
      <c r="B279" s="5" t="str">
        <f>'Ingest Template'!B279&amp;IF('Ingest Template'!A279 = "Standard", " - DAR","")</f>
        <v/>
      </c>
      <c r="C279" s="6" t="str">
        <f>'Ingest Template'!C279</f>
        <v/>
      </c>
      <c r="D279" s="7" t="str">
        <f>'Ingest Template'!E279</f>
        <v/>
      </c>
      <c r="E279" s="5"/>
      <c r="F279" s="5"/>
      <c r="G279" s="5"/>
      <c r="H279" s="7"/>
      <c r="I279" s="5"/>
      <c r="J279" s="7" t="str">
        <f>'Ingest Template'!Q279</f>
        <v/>
      </c>
      <c r="K279" s="5" t="str">
        <f>'Ingest Template'!R279</f>
        <v/>
      </c>
      <c r="L279" s="8" t="s">
        <v>38</v>
      </c>
      <c r="M279" s="9"/>
      <c r="N279" s="5"/>
      <c r="O279" s="5"/>
      <c r="P279" s="5"/>
      <c r="Q279" s="5"/>
      <c r="R279" s="5" t="str">
        <f>'Ingest Template'!D279</f>
        <v/>
      </c>
      <c r="S279" s="5" t="str">
        <f>'Ingest Template'!G279</f>
        <v/>
      </c>
      <c r="T279" s="5" t="str">
        <f>'Ingest Template'!H279</f>
        <v/>
      </c>
      <c r="U279" s="5" t="str">
        <f>LOWER(SUBSTITUTE(SUBSTITUTE(SUBSTITUTE(SUBSTITUTE(SUBSTITUTE('Ingest Template'!I279,"https:",""),"www.",""),"/",""),"?hl=en",""),"instagram.com",""))</f>
        <v/>
      </c>
      <c r="V279" s="10" t="str">
        <f>'Ingest Template'!J279</f>
        <v/>
      </c>
      <c r="W279" s="10" t="str">
        <f>'Ingest Template'!K279</f>
        <v/>
      </c>
      <c r="X279" s="5"/>
      <c r="Y279" s="5" t="str">
        <f>SUBSTITUTE(SUBSTITUTE(SUBSTITUTE('Ingest Template'!L279,"http:",""),"https:",""),"/","")</f>
        <v/>
      </c>
      <c r="Z279" s="5" t="str">
        <f t="array" ref="Z279">IF('Ingest Template'!A279="Standard",(IF(ISBLANK('Ingest Template'!M279),"", 'Ingest Template'!M279&amp;"|DAR")),(IF(ISBLANK('Ingest Template'!M279),"", 'Ingest Template'!M279&amp;"|Operations - Core Title")))</f>
        <v/>
      </c>
      <c r="AA279" s="5"/>
      <c r="AB279" s="5" t="str">
        <f>'Ingest Template'!F279</f>
        <v/>
      </c>
      <c r="AC279" s="5"/>
      <c r="AD279" s="5"/>
      <c r="AE279" s="5"/>
      <c r="AF279" s="8"/>
      <c r="AG279" s="5" t="str">
        <f t="array" ref="AG279">IF('Ingest Template'!A279="Standard",(CONCATENATE(IF(ISBLANK('Ingest Template'!N279),"", 'Ingest Template'!N279&amp;"|DAR"),CHAR(10), IF(ISBLANK('Ingest Template'!O279),"", 'Ingest Template'!O279&amp;"|DAR"),CHAR(10), IF(ISBLANK('Ingest Template'!P279),"", 'Ingest Template'!P279&amp;"|DAR"))),(CONCATENATE(IF(ISBLANK('Ingest Template'!N279),"", 'Ingest Template'!N279&amp;"|Operations - Core Title"),CHAR(10), IF(ISBLANK('Ingest Template'!O279),"", 'Ingest Template'!O279&amp;"|Operations - Core Title"),CHAR(10), IF(ISBLANK('Ingest Template'!P279),"", 'Ingest Template'!P279&amp;"|Operations - Core Title"))))</f>
        <v>#|Operations - Core Title
</v>
      </c>
      <c r="AH279" s="5"/>
      <c r="AI279" s="5"/>
      <c r="AJ279" s="5"/>
      <c r="AK279" s="5"/>
      <c r="AL279" s="5"/>
    </row>
    <row r="280">
      <c r="A280" s="5"/>
      <c r="B280" s="5" t="str">
        <f>'Ingest Template'!B280&amp;IF('Ingest Template'!A280 = "Standard", " - DAR","")</f>
        <v/>
      </c>
      <c r="C280" s="6" t="str">
        <f>'Ingest Template'!C280</f>
        <v/>
      </c>
      <c r="D280" s="7" t="str">
        <f>'Ingest Template'!E280</f>
        <v/>
      </c>
      <c r="E280" s="5"/>
      <c r="F280" s="5"/>
      <c r="G280" s="5"/>
      <c r="H280" s="7"/>
      <c r="I280" s="5"/>
      <c r="J280" s="7" t="str">
        <f>'Ingest Template'!Q280</f>
        <v/>
      </c>
      <c r="K280" s="5" t="str">
        <f>'Ingest Template'!R280</f>
        <v/>
      </c>
      <c r="L280" s="8" t="s">
        <v>38</v>
      </c>
      <c r="M280" s="9"/>
      <c r="N280" s="5"/>
      <c r="O280" s="5"/>
      <c r="P280" s="5"/>
      <c r="Q280" s="5"/>
      <c r="R280" s="5" t="str">
        <f>'Ingest Template'!D280</f>
        <v/>
      </c>
      <c r="S280" s="5" t="str">
        <f>'Ingest Template'!G280</f>
        <v/>
      </c>
      <c r="T280" s="5" t="str">
        <f>'Ingest Template'!H280</f>
        <v/>
      </c>
      <c r="U280" s="5" t="str">
        <f>LOWER(SUBSTITUTE(SUBSTITUTE(SUBSTITUTE(SUBSTITUTE(SUBSTITUTE('Ingest Template'!I280,"https:",""),"www.",""),"/",""),"?hl=en",""),"instagram.com",""))</f>
        <v/>
      </c>
      <c r="V280" s="10" t="str">
        <f>'Ingest Template'!J280</f>
        <v/>
      </c>
      <c r="W280" s="10" t="str">
        <f>'Ingest Template'!K280</f>
        <v/>
      </c>
      <c r="X280" s="5"/>
      <c r="Y280" s="5" t="str">
        <f>SUBSTITUTE(SUBSTITUTE(SUBSTITUTE('Ingest Template'!L280,"http:",""),"https:",""),"/","")</f>
        <v/>
      </c>
      <c r="Z280" s="5" t="str">
        <f t="array" ref="Z280">IF('Ingest Template'!A280="Standard",(IF(ISBLANK('Ingest Template'!M280),"", 'Ingest Template'!M280&amp;"|DAR")),(IF(ISBLANK('Ingest Template'!M280),"", 'Ingest Template'!M280&amp;"|Operations - Core Title")))</f>
        <v/>
      </c>
      <c r="AA280" s="5"/>
      <c r="AB280" s="5" t="str">
        <f>'Ingest Template'!F280</f>
        <v/>
      </c>
      <c r="AC280" s="5"/>
      <c r="AD280" s="5"/>
      <c r="AE280" s="5"/>
      <c r="AF280" s="8"/>
      <c r="AG280" s="5" t="str">
        <f t="array" ref="AG280">IF('Ingest Template'!A280="Standard",(CONCATENATE(IF(ISBLANK('Ingest Template'!N280),"", 'Ingest Template'!N280&amp;"|DAR"),CHAR(10), IF(ISBLANK('Ingest Template'!O280),"", 'Ingest Template'!O280&amp;"|DAR"),CHAR(10), IF(ISBLANK('Ingest Template'!P280),"", 'Ingest Template'!P280&amp;"|DAR"))),(CONCATENATE(IF(ISBLANK('Ingest Template'!N280),"", 'Ingest Template'!N280&amp;"|Operations - Core Title"),CHAR(10), IF(ISBLANK('Ingest Template'!O280),"", 'Ingest Template'!O280&amp;"|Operations - Core Title"),CHAR(10), IF(ISBLANK('Ingest Template'!P280),"", 'Ingest Template'!P280&amp;"|Operations - Core Title"))))</f>
        <v>#|Operations - Core Title
</v>
      </c>
      <c r="AH280" s="5"/>
      <c r="AI280" s="5"/>
      <c r="AJ280" s="5"/>
      <c r="AK280" s="5"/>
      <c r="AL280" s="5"/>
    </row>
    <row r="281">
      <c r="A281" s="5"/>
      <c r="B281" s="5" t="str">
        <f>'Ingest Template'!B281&amp;IF('Ingest Template'!A281 = "Standard", " - DAR","")</f>
        <v/>
      </c>
      <c r="C281" s="6" t="str">
        <f>'Ingest Template'!C281</f>
        <v/>
      </c>
      <c r="D281" s="7" t="str">
        <f>'Ingest Template'!E281</f>
        <v/>
      </c>
      <c r="E281" s="5"/>
      <c r="F281" s="5"/>
      <c r="G281" s="5"/>
      <c r="H281" s="7"/>
      <c r="I281" s="5"/>
      <c r="J281" s="7" t="str">
        <f>'Ingest Template'!Q281</f>
        <v/>
      </c>
      <c r="K281" s="5" t="str">
        <f>'Ingest Template'!R281</f>
        <v/>
      </c>
      <c r="L281" s="8" t="s">
        <v>38</v>
      </c>
      <c r="M281" s="9"/>
      <c r="N281" s="5"/>
      <c r="O281" s="5"/>
      <c r="P281" s="5"/>
      <c r="Q281" s="5"/>
      <c r="R281" s="5" t="str">
        <f>'Ingest Template'!D281</f>
        <v/>
      </c>
      <c r="S281" s="5" t="str">
        <f>'Ingest Template'!G281</f>
        <v/>
      </c>
      <c r="T281" s="5" t="str">
        <f>'Ingest Template'!H281</f>
        <v/>
      </c>
      <c r="U281" s="5" t="str">
        <f>LOWER(SUBSTITUTE(SUBSTITUTE(SUBSTITUTE(SUBSTITUTE(SUBSTITUTE('Ingest Template'!I281,"https:",""),"www.",""),"/",""),"?hl=en",""),"instagram.com",""))</f>
        <v/>
      </c>
      <c r="V281" s="10" t="str">
        <f>'Ingest Template'!J281</f>
        <v/>
      </c>
      <c r="W281" s="10" t="str">
        <f>'Ingest Template'!K281</f>
        <v/>
      </c>
      <c r="X281" s="5"/>
      <c r="Y281" s="5" t="str">
        <f>SUBSTITUTE(SUBSTITUTE(SUBSTITUTE('Ingest Template'!L281,"http:",""),"https:",""),"/","")</f>
        <v/>
      </c>
      <c r="Z281" s="5" t="str">
        <f t="array" ref="Z281">IF('Ingest Template'!A281="Standard",(IF(ISBLANK('Ingest Template'!M281),"", 'Ingest Template'!M281&amp;"|DAR")),(IF(ISBLANK('Ingest Template'!M281),"", 'Ingest Template'!M281&amp;"|Operations - Core Title")))</f>
        <v/>
      </c>
      <c r="AA281" s="5"/>
      <c r="AB281" s="5" t="str">
        <f>'Ingest Template'!F281</f>
        <v/>
      </c>
      <c r="AC281" s="5"/>
      <c r="AD281" s="5"/>
      <c r="AE281" s="5"/>
      <c r="AF281" s="8"/>
      <c r="AG281" s="5" t="str">
        <f t="array" ref="AG281">IF('Ingest Template'!A281="Standard",(CONCATENATE(IF(ISBLANK('Ingest Template'!N281),"", 'Ingest Template'!N281&amp;"|DAR"),CHAR(10), IF(ISBLANK('Ingest Template'!O281),"", 'Ingest Template'!O281&amp;"|DAR"),CHAR(10), IF(ISBLANK('Ingest Template'!P281),"", 'Ingest Template'!P281&amp;"|DAR"))),(CONCATENATE(IF(ISBLANK('Ingest Template'!N281),"", 'Ingest Template'!N281&amp;"|Operations - Core Title"),CHAR(10), IF(ISBLANK('Ingest Template'!O281),"", 'Ingest Template'!O281&amp;"|Operations - Core Title"),CHAR(10), IF(ISBLANK('Ingest Template'!P281),"", 'Ingest Template'!P281&amp;"|Operations - Core Title"))))</f>
        <v>#|Operations - Core Title
</v>
      </c>
      <c r="AH281" s="5"/>
      <c r="AI281" s="5"/>
      <c r="AJ281" s="5"/>
      <c r="AK281" s="5"/>
      <c r="AL281" s="5"/>
    </row>
    <row r="282">
      <c r="A282" s="5"/>
      <c r="B282" s="5" t="str">
        <f>'Ingest Template'!B282&amp;IF('Ingest Template'!A282 = "Standard", " - DAR","")</f>
        <v/>
      </c>
      <c r="C282" s="6" t="str">
        <f>'Ingest Template'!C282</f>
        <v/>
      </c>
      <c r="D282" s="7" t="str">
        <f>'Ingest Template'!E282</f>
        <v/>
      </c>
      <c r="E282" s="5"/>
      <c r="F282" s="5"/>
      <c r="G282" s="5"/>
      <c r="H282" s="7"/>
      <c r="I282" s="5"/>
      <c r="J282" s="7" t="str">
        <f>'Ingest Template'!Q282</f>
        <v/>
      </c>
      <c r="K282" s="5" t="str">
        <f>'Ingest Template'!R282</f>
        <v/>
      </c>
      <c r="L282" s="8" t="s">
        <v>38</v>
      </c>
      <c r="M282" s="9"/>
      <c r="N282" s="5"/>
      <c r="O282" s="5"/>
      <c r="P282" s="5"/>
      <c r="Q282" s="5"/>
      <c r="R282" s="5" t="str">
        <f>'Ingest Template'!D282</f>
        <v/>
      </c>
      <c r="S282" s="5" t="str">
        <f>'Ingest Template'!G282</f>
        <v/>
      </c>
      <c r="T282" s="5" t="str">
        <f>'Ingest Template'!H282</f>
        <v/>
      </c>
      <c r="U282" s="5" t="str">
        <f>LOWER(SUBSTITUTE(SUBSTITUTE(SUBSTITUTE(SUBSTITUTE(SUBSTITUTE('Ingest Template'!I282,"https:",""),"www.",""),"/",""),"?hl=en",""),"instagram.com",""))</f>
        <v/>
      </c>
      <c r="V282" s="10" t="str">
        <f>'Ingest Template'!J282</f>
        <v/>
      </c>
      <c r="W282" s="10" t="str">
        <f>'Ingest Template'!K282</f>
        <v/>
      </c>
      <c r="X282" s="5"/>
      <c r="Y282" s="5" t="str">
        <f>SUBSTITUTE(SUBSTITUTE(SUBSTITUTE('Ingest Template'!L282,"http:",""),"https:",""),"/","")</f>
        <v/>
      </c>
      <c r="Z282" s="5" t="str">
        <f t="array" ref="Z282">IF('Ingest Template'!A282="Standard",(IF(ISBLANK('Ingest Template'!M282),"", 'Ingest Template'!M282&amp;"|DAR")),(IF(ISBLANK('Ingest Template'!M282),"", 'Ingest Template'!M282&amp;"|Operations - Core Title")))</f>
        <v/>
      </c>
      <c r="AA282" s="5"/>
      <c r="AB282" s="5" t="str">
        <f>'Ingest Template'!F282</f>
        <v/>
      </c>
      <c r="AC282" s="5"/>
      <c r="AD282" s="5"/>
      <c r="AE282" s="5"/>
      <c r="AF282" s="8"/>
      <c r="AG282" s="5" t="str">
        <f t="array" ref="AG282">IF('Ingest Template'!A282="Standard",(CONCATENATE(IF(ISBLANK('Ingest Template'!N282),"", 'Ingest Template'!N282&amp;"|DAR"),CHAR(10), IF(ISBLANK('Ingest Template'!O282),"", 'Ingest Template'!O282&amp;"|DAR"),CHAR(10), IF(ISBLANK('Ingest Template'!P282),"", 'Ingest Template'!P282&amp;"|DAR"))),(CONCATENATE(IF(ISBLANK('Ingest Template'!N282),"", 'Ingest Template'!N282&amp;"|Operations - Core Title"),CHAR(10), IF(ISBLANK('Ingest Template'!O282),"", 'Ingest Template'!O282&amp;"|Operations - Core Title"),CHAR(10), IF(ISBLANK('Ingest Template'!P282),"", 'Ingest Template'!P282&amp;"|Operations - Core Title"))))</f>
        <v>#|Operations - Core Title
</v>
      </c>
      <c r="AH282" s="5"/>
      <c r="AI282" s="5"/>
      <c r="AJ282" s="5"/>
      <c r="AK282" s="5"/>
      <c r="AL282" s="5"/>
    </row>
    <row r="283">
      <c r="A283" s="5"/>
      <c r="B283" s="5" t="str">
        <f>'Ingest Template'!B283&amp;IF('Ingest Template'!A283 = "Standard", " - DAR","")</f>
        <v/>
      </c>
      <c r="C283" s="6" t="str">
        <f>'Ingest Template'!C283</f>
        <v/>
      </c>
      <c r="D283" s="7" t="str">
        <f>'Ingest Template'!E283</f>
        <v/>
      </c>
      <c r="E283" s="5"/>
      <c r="F283" s="5"/>
      <c r="G283" s="5"/>
      <c r="H283" s="7"/>
      <c r="I283" s="5"/>
      <c r="J283" s="7" t="str">
        <f>'Ingest Template'!Q283</f>
        <v/>
      </c>
      <c r="K283" s="5" t="str">
        <f>'Ingest Template'!R283</f>
        <v/>
      </c>
      <c r="L283" s="8" t="s">
        <v>38</v>
      </c>
      <c r="M283" s="9"/>
      <c r="N283" s="5"/>
      <c r="O283" s="5"/>
      <c r="P283" s="5"/>
      <c r="Q283" s="5"/>
      <c r="R283" s="5" t="str">
        <f>'Ingest Template'!D283</f>
        <v/>
      </c>
      <c r="S283" s="5" t="str">
        <f>'Ingest Template'!G283</f>
        <v/>
      </c>
      <c r="T283" s="5" t="str">
        <f>'Ingest Template'!H283</f>
        <v/>
      </c>
      <c r="U283" s="5" t="str">
        <f>LOWER(SUBSTITUTE(SUBSTITUTE(SUBSTITUTE(SUBSTITUTE(SUBSTITUTE('Ingest Template'!I283,"https:",""),"www.",""),"/",""),"?hl=en",""),"instagram.com",""))</f>
        <v/>
      </c>
      <c r="V283" s="10" t="str">
        <f>'Ingest Template'!J283</f>
        <v/>
      </c>
      <c r="W283" s="10" t="str">
        <f>'Ingest Template'!K283</f>
        <v/>
      </c>
      <c r="X283" s="5"/>
      <c r="Y283" s="5" t="str">
        <f>SUBSTITUTE(SUBSTITUTE(SUBSTITUTE('Ingest Template'!L283,"http:",""),"https:",""),"/","")</f>
        <v/>
      </c>
      <c r="Z283" s="5" t="str">
        <f t="array" ref="Z283">IF('Ingest Template'!A283="Standard",(IF(ISBLANK('Ingest Template'!M283),"", 'Ingest Template'!M283&amp;"|DAR")),(IF(ISBLANK('Ingest Template'!M283),"", 'Ingest Template'!M283&amp;"|Operations - Core Title")))</f>
        <v/>
      </c>
      <c r="AA283" s="5"/>
      <c r="AB283" s="5" t="str">
        <f>'Ingest Template'!F283</f>
        <v/>
      </c>
      <c r="AC283" s="5"/>
      <c r="AD283" s="5"/>
      <c r="AE283" s="5"/>
      <c r="AF283" s="8"/>
      <c r="AG283" s="5" t="str">
        <f t="array" ref="AG283">IF('Ingest Template'!A283="Standard",(CONCATENATE(IF(ISBLANK('Ingest Template'!N283),"", 'Ingest Template'!N283&amp;"|DAR"),CHAR(10), IF(ISBLANK('Ingest Template'!O283),"", 'Ingest Template'!O283&amp;"|DAR"),CHAR(10), IF(ISBLANK('Ingest Template'!P283),"", 'Ingest Template'!P283&amp;"|DAR"))),(CONCATENATE(IF(ISBLANK('Ingest Template'!N283),"", 'Ingest Template'!N283&amp;"|Operations - Core Title"),CHAR(10), IF(ISBLANK('Ingest Template'!O283),"", 'Ingest Template'!O283&amp;"|Operations - Core Title"),CHAR(10), IF(ISBLANK('Ingest Template'!P283),"", 'Ingest Template'!P283&amp;"|Operations - Core Title"))))</f>
        <v>#|Operations - Core Title
</v>
      </c>
      <c r="AH283" s="5"/>
      <c r="AI283" s="5"/>
      <c r="AJ283" s="5"/>
      <c r="AK283" s="5"/>
      <c r="AL283" s="5"/>
    </row>
    <row r="284">
      <c r="A284" s="5"/>
      <c r="B284" s="5" t="str">
        <f>'Ingest Template'!B284&amp;IF('Ingest Template'!A284 = "Standard", " - DAR","")</f>
        <v/>
      </c>
      <c r="C284" s="6" t="str">
        <f>'Ingest Template'!C284</f>
        <v/>
      </c>
      <c r="D284" s="7" t="str">
        <f>'Ingest Template'!E284</f>
        <v/>
      </c>
      <c r="E284" s="5"/>
      <c r="F284" s="5"/>
      <c r="G284" s="5"/>
      <c r="H284" s="7"/>
      <c r="I284" s="5"/>
      <c r="J284" s="7" t="str">
        <f>'Ingest Template'!Q284</f>
        <v/>
      </c>
      <c r="K284" s="5" t="str">
        <f>'Ingest Template'!R284</f>
        <v/>
      </c>
      <c r="L284" s="8" t="s">
        <v>38</v>
      </c>
      <c r="M284" s="9"/>
      <c r="N284" s="5"/>
      <c r="O284" s="5"/>
      <c r="P284" s="5"/>
      <c r="Q284" s="5"/>
      <c r="R284" s="5" t="str">
        <f>'Ingest Template'!D284</f>
        <v/>
      </c>
      <c r="S284" s="5" t="str">
        <f>'Ingest Template'!G284</f>
        <v/>
      </c>
      <c r="T284" s="5" t="str">
        <f>'Ingest Template'!H284</f>
        <v/>
      </c>
      <c r="U284" s="5" t="str">
        <f>LOWER(SUBSTITUTE(SUBSTITUTE(SUBSTITUTE(SUBSTITUTE(SUBSTITUTE('Ingest Template'!I284,"https:",""),"www.",""),"/",""),"?hl=en",""),"instagram.com",""))</f>
        <v/>
      </c>
      <c r="V284" s="10" t="str">
        <f>'Ingest Template'!J284</f>
        <v/>
      </c>
      <c r="W284" s="10" t="str">
        <f>'Ingest Template'!K284</f>
        <v/>
      </c>
      <c r="X284" s="5"/>
      <c r="Y284" s="5" t="str">
        <f>SUBSTITUTE(SUBSTITUTE(SUBSTITUTE('Ingest Template'!L284,"http:",""),"https:",""),"/","")</f>
        <v/>
      </c>
      <c r="Z284" s="5" t="str">
        <f t="array" ref="Z284">IF('Ingest Template'!A284="Standard",(IF(ISBLANK('Ingest Template'!M284),"", 'Ingest Template'!M284&amp;"|DAR")),(IF(ISBLANK('Ingest Template'!M284),"", 'Ingest Template'!M284&amp;"|Operations - Core Title")))</f>
        <v/>
      </c>
      <c r="AA284" s="5"/>
      <c r="AB284" s="5" t="str">
        <f>'Ingest Template'!F284</f>
        <v/>
      </c>
      <c r="AC284" s="5"/>
      <c r="AD284" s="5"/>
      <c r="AE284" s="5"/>
      <c r="AF284" s="8"/>
      <c r="AG284" s="5" t="str">
        <f t="array" ref="AG284">IF('Ingest Template'!A284="Standard",(CONCATENATE(IF(ISBLANK('Ingest Template'!N284),"", 'Ingest Template'!N284&amp;"|DAR"),CHAR(10), IF(ISBLANK('Ingest Template'!O284),"", 'Ingest Template'!O284&amp;"|DAR"),CHAR(10), IF(ISBLANK('Ingest Template'!P284),"", 'Ingest Template'!P284&amp;"|DAR"))),(CONCATENATE(IF(ISBLANK('Ingest Template'!N284),"", 'Ingest Template'!N284&amp;"|Operations - Core Title"),CHAR(10), IF(ISBLANK('Ingest Template'!O284),"", 'Ingest Template'!O284&amp;"|Operations - Core Title"),CHAR(10), IF(ISBLANK('Ingest Template'!P284),"", 'Ingest Template'!P284&amp;"|Operations - Core Title"))))</f>
        <v>#|Operations - Core Title
</v>
      </c>
      <c r="AH284" s="5"/>
      <c r="AI284" s="5"/>
      <c r="AJ284" s="5"/>
      <c r="AK284" s="5"/>
      <c r="AL284" s="5"/>
    </row>
    <row r="285">
      <c r="A285" s="5"/>
      <c r="B285" s="5" t="str">
        <f>'Ingest Template'!B285&amp;IF('Ingest Template'!A285 = "Standard", " - DAR","")</f>
        <v/>
      </c>
      <c r="C285" s="6" t="str">
        <f>'Ingest Template'!C285</f>
        <v/>
      </c>
      <c r="D285" s="7" t="str">
        <f>'Ingest Template'!E285</f>
        <v/>
      </c>
      <c r="E285" s="5"/>
      <c r="F285" s="5"/>
      <c r="G285" s="5"/>
      <c r="H285" s="7"/>
      <c r="I285" s="5"/>
      <c r="J285" s="7" t="str">
        <f>'Ingest Template'!Q285</f>
        <v/>
      </c>
      <c r="K285" s="5" t="str">
        <f>'Ingest Template'!R285</f>
        <v/>
      </c>
      <c r="L285" s="8" t="s">
        <v>38</v>
      </c>
      <c r="M285" s="9"/>
      <c r="N285" s="5"/>
      <c r="O285" s="5"/>
      <c r="P285" s="5"/>
      <c r="Q285" s="5"/>
      <c r="R285" s="5" t="str">
        <f>'Ingest Template'!D285</f>
        <v/>
      </c>
      <c r="S285" s="5" t="str">
        <f>'Ingest Template'!G285</f>
        <v/>
      </c>
      <c r="T285" s="5" t="str">
        <f>'Ingest Template'!H285</f>
        <v/>
      </c>
      <c r="U285" s="5" t="str">
        <f>LOWER(SUBSTITUTE(SUBSTITUTE(SUBSTITUTE(SUBSTITUTE(SUBSTITUTE('Ingest Template'!I285,"https:",""),"www.",""),"/",""),"?hl=en",""),"instagram.com",""))</f>
        <v/>
      </c>
      <c r="V285" s="10" t="str">
        <f>'Ingest Template'!J285</f>
        <v/>
      </c>
      <c r="W285" s="10" t="str">
        <f>'Ingest Template'!K285</f>
        <v/>
      </c>
      <c r="X285" s="5"/>
      <c r="Y285" s="5" t="str">
        <f>SUBSTITUTE(SUBSTITUTE(SUBSTITUTE('Ingest Template'!L285,"http:",""),"https:",""),"/","")</f>
        <v/>
      </c>
      <c r="Z285" s="5" t="str">
        <f t="array" ref="Z285">IF('Ingest Template'!A285="Standard",(IF(ISBLANK('Ingest Template'!M285),"", 'Ingest Template'!M285&amp;"|DAR")),(IF(ISBLANK('Ingest Template'!M285),"", 'Ingest Template'!M285&amp;"|Operations - Core Title")))</f>
        <v/>
      </c>
      <c r="AA285" s="5"/>
      <c r="AB285" s="5" t="str">
        <f>'Ingest Template'!F285</f>
        <v/>
      </c>
      <c r="AC285" s="5"/>
      <c r="AD285" s="5"/>
      <c r="AE285" s="5"/>
      <c r="AF285" s="8"/>
      <c r="AG285" s="5" t="str">
        <f t="array" ref="AG285">IF('Ingest Template'!A285="Standard",(CONCATENATE(IF(ISBLANK('Ingest Template'!N285),"", 'Ingest Template'!N285&amp;"|DAR"),CHAR(10), IF(ISBLANK('Ingest Template'!O285),"", 'Ingest Template'!O285&amp;"|DAR"),CHAR(10), IF(ISBLANK('Ingest Template'!P285),"", 'Ingest Template'!P285&amp;"|DAR"))),(CONCATENATE(IF(ISBLANK('Ingest Template'!N285),"", 'Ingest Template'!N285&amp;"|Operations - Core Title"),CHAR(10), IF(ISBLANK('Ingest Template'!O285),"", 'Ingest Template'!O285&amp;"|Operations - Core Title"),CHAR(10), IF(ISBLANK('Ingest Template'!P285),"", 'Ingest Template'!P285&amp;"|Operations - Core Title"))))</f>
        <v>#|Operations - Core Title
</v>
      </c>
      <c r="AH285" s="5"/>
      <c r="AI285" s="5"/>
      <c r="AJ285" s="5"/>
      <c r="AK285" s="5"/>
      <c r="AL285" s="5"/>
    </row>
    <row r="286">
      <c r="A286" s="5"/>
      <c r="B286" s="5" t="str">
        <f>'Ingest Template'!B286&amp;IF('Ingest Template'!A286 = "Standard", " - DAR","")</f>
        <v/>
      </c>
      <c r="C286" s="6" t="str">
        <f>'Ingest Template'!C286</f>
        <v/>
      </c>
      <c r="D286" s="7" t="str">
        <f>'Ingest Template'!E286</f>
        <v/>
      </c>
      <c r="E286" s="5"/>
      <c r="F286" s="5"/>
      <c r="G286" s="5"/>
      <c r="H286" s="7"/>
      <c r="I286" s="5"/>
      <c r="J286" s="7" t="str">
        <f>'Ingest Template'!Q286</f>
        <v/>
      </c>
      <c r="K286" s="5" t="str">
        <f>'Ingest Template'!R286</f>
        <v/>
      </c>
      <c r="L286" s="8" t="s">
        <v>38</v>
      </c>
      <c r="M286" s="9"/>
      <c r="N286" s="5"/>
      <c r="O286" s="5"/>
      <c r="P286" s="5"/>
      <c r="Q286" s="5"/>
      <c r="R286" s="5" t="str">
        <f>'Ingest Template'!D286</f>
        <v/>
      </c>
      <c r="S286" s="5" t="str">
        <f>'Ingest Template'!G286</f>
        <v/>
      </c>
      <c r="T286" s="5" t="str">
        <f>'Ingest Template'!H286</f>
        <v/>
      </c>
      <c r="U286" s="5" t="str">
        <f>LOWER(SUBSTITUTE(SUBSTITUTE(SUBSTITUTE(SUBSTITUTE(SUBSTITUTE('Ingest Template'!I286,"https:",""),"www.",""),"/",""),"?hl=en",""),"instagram.com",""))</f>
        <v/>
      </c>
      <c r="V286" s="10" t="str">
        <f>'Ingest Template'!J286</f>
        <v/>
      </c>
      <c r="W286" s="10" t="str">
        <f>'Ingest Template'!K286</f>
        <v/>
      </c>
      <c r="X286" s="5"/>
      <c r="Y286" s="5" t="str">
        <f>SUBSTITUTE(SUBSTITUTE(SUBSTITUTE('Ingest Template'!L286,"http:",""),"https:",""),"/","")</f>
        <v/>
      </c>
      <c r="Z286" s="5" t="str">
        <f t="array" ref="Z286">IF('Ingest Template'!A286="Standard",(IF(ISBLANK('Ingest Template'!M286),"", 'Ingest Template'!M286&amp;"|DAR")),(IF(ISBLANK('Ingest Template'!M286),"", 'Ingest Template'!M286&amp;"|Operations - Core Title")))</f>
        <v/>
      </c>
      <c r="AA286" s="5"/>
      <c r="AB286" s="5" t="str">
        <f>'Ingest Template'!F286</f>
        <v/>
      </c>
      <c r="AC286" s="5"/>
      <c r="AD286" s="5"/>
      <c r="AE286" s="5"/>
      <c r="AF286" s="8"/>
      <c r="AG286" s="5" t="str">
        <f t="array" ref="AG286">IF('Ingest Template'!A286="Standard",(CONCATENATE(IF(ISBLANK('Ingest Template'!N286),"", 'Ingest Template'!N286&amp;"|DAR"),CHAR(10), IF(ISBLANK('Ingest Template'!O286),"", 'Ingest Template'!O286&amp;"|DAR"),CHAR(10), IF(ISBLANK('Ingest Template'!P286),"", 'Ingest Template'!P286&amp;"|DAR"))),(CONCATENATE(IF(ISBLANK('Ingest Template'!N286),"", 'Ingest Template'!N286&amp;"|Operations - Core Title"),CHAR(10), IF(ISBLANK('Ingest Template'!O286),"", 'Ingest Template'!O286&amp;"|Operations - Core Title"),CHAR(10), IF(ISBLANK('Ingest Template'!P286),"", 'Ingest Template'!P286&amp;"|Operations - Core Title"))))</f>
        <v>#|Operations - Core Title
</v>
      </c>
      <c r="AH286" s="5"/>
      <c r="AI286" s="5"/>
      <c r="AJ286" s="5"/>
      <c r="AK286" s="5"/>
      <c r="AL286" s="5"/>
    </row>
    <row r="287">
      <c r="A287" s="5"/>
      <c r="B287" s="5" t="str">
        <f>'Ingest Template'!B287&amp;IF('Ingest Template'!A287 = "Standard", " - DAR","")</f>
        <v/>
      </c>
      <c r="C287" s="6" t="str">
        <f>'Ingest Template'!C287</f>
        <v/>
      </c>
      <c r="D287" s="7" t="str">
        <f>'Ingest Template'!E287</f>
        <v/>
      </c>
      <c r="E287" s="5"/>
      <c r="F287" s="5"/>
      <c r="G287" s="5"/>
      <c r="H287" s="7"/>
      <c r="I287" s="5"/>
      <c r="J287" s="7" t="str">
        <f>'Ingest Template'!Q287</f>
        <v/>
      </c>
      <c r="K287" s="5" t="str">
        <f>'Ingest Template'!R287</f>
        <v/>
      </c>
      <c r="L287" s="8" t="s">
        <v>38</v>
      </c>
      <c r="M287" s="9"/>
      <c r="N287" s="5"/>
      <c r="O287" s="5"/>
      <c r="P287" s="5"/>
      <c r="Q287" s="5"/>
      <c r="R287" s="5" t="str">
        <f>'Ingest Template'!D287</f>
        <v/>
      </c>
      <c r="S287" s="5" t="str">
        <f>'Ingest Template'!G287</f>
        <v/>
      </c>
      <c r="T287" s="5" t="str">
        <f>'Ingest Template'!H287</f>
        <v/>
      </c>
      <c r="U287" s="5" t="str">
        <f>LOWER(SUBSTITUTE(SUBSTITUTE(SUBSTITUTE(SUBSTITUTE(SUBSTITUTE('Ingest Template'!I287,"https:",""),"www.",""),"/",""),"?hl=en",""),"instagram.com",""))</f>
        <v/>
      </c>
      <c r="V287" s="10" t="str">
        <f>'Ingest Template'!J287</f>
        <v/>
      </c>
      <c r="W287" s="10" t="str">
        <f>'Ingest Template'!K287</f>
        <v/>
      </c>
      <c r="X287" s="5"/>
      <c r="Y287" s="5" t="str">
        <f>SUBSTITUTE(SUBSTITUTE(SUBSTITUTE('Ingest Template'!L287,"http:",""),"https:",""),"/","")</f>
        <v/>
      </c>
      <c r="Z287" s="5" t="str">
        <f t="array" ref="Z287">IF('Ingest Template'!A287="Standard",(IF(ISBLANK('Ingest Template'!M287),"", 'Ingest Template'!M287&amp;"|DAR")),(IF(ISBLANK('Ingest Template'!M287),"", 'Ingest Template'!M287&amp;"|Operations - Core Title")))</f>
        <v/>
      </c>
      <c r="AA287" s="5"/>
      <c r="AB287" s="5" t="str">
        <f>'Ingest Template'!F287</f>
        <v/>
      </c>
      <c r="AC287" s="5"/>
      <c r="AD287" s="5"/>
      <c r="AE287" s="5"/>
      <c r="AF287" s="8"/>
      <c r="AG287" s="5" t="str">
        <f t="array" ref="AG287">IF('Ingest Template'!A287="Standard",(CONCATENATE(IF(ISBLANK('Ingest Template'!N287),"", 'Ingest Template'!N287&amp;"|DAR"),CHAR(10), IF(ISBLANK('Ingest Template'!O287),"", 'Ingest Template'!O287&amp;"|DAR"),CHAR(10), IF(ISBLANK('Ingest Template'!P287),"", 'Ingest Template'!P287&amp;"|DAR"))),(CONCATENATE(IF(ISBLANK('Ingest Template'!N287),"", 'Ingest Template'!N287&amp;"|Operations - Core Title"),CHAR(10), IF(ISBLANK('Ingest Template'!O287),"", 'Ingest Template'!O287&amp;"|Operations - Core Title"),CHAR(10), IF(ISBLANK('Ingest Template'!P287),"", 'Ingest Template'!P287&amp;"|Operations - Core Title"))))</f>
        <v>#|Operations - Core Title
</v>
      </c>
      <c r="AH287" s="5"/>
      <c r="AI287" s="5"/>
      <c r="AJ287" s="5"/>
      <c r="AK287" s="5"/>
      <c r="AL287" s="5"/>
    </row>
    <row r="288">
      <c r="A288" s="5"/>
      <c r="B288" s="5" t="str">
        <f>'Ingest Template'!B288&amp;IF('Ingest Template'!A288 = "Standard", " - DAR","")</f>
        <v/>
      </c>
      <c r="C288" s="6" t="str">
        <f>'Ingest Template'!C288</f>
        <v/>
      </c>
      <c r="D288" s="7" t="str">
        <f>'Ingest Template'!E288</f>
        <v/>
      </c>
      <c r="E288" s="5"/>
      <c r="F288" s="5"/>
      <c r="G288" s="5"/>
      <c r="H288" s="7"/>
      <c r="I288" s="5"/>
      <c r="J288" s="7" t="str">
        <f>'Ingest Template'!Q288</f>
        <v/>
      </c>
      <c r="K288" s="5" t="str">
        <f>'Ingest Template'!R288</f>
        <v/>
      </c>
      <c r="L288" s="8" t="s">
        <v>38</v>
      </c>
      <c r="M288" s="9"/>
      <c r="N288" s="5"/>
      <c r="O288" s="5"/>
      <c r="P288" s="5"/>
      <c r="Q288" s="5"/>
      <c r="R288" s="5" t="str">
        <f>'Ingest Template'!D288</f>
        <v/>
      </c>
      <c r="S288" s="5" t="str">
        <f>'Ingest Template'!G288</f>
        <v/>
      </c>
      <c r="T288" s="5" t="str">
        <f>'Ingest Template'!H288</f>
        <v/>
      </c>
      <c r="U288" s="5" t="str">
        <f>LOWER(SUBSTITUTE(SUBSTITUTE(SUBSTITUTE(SUBSTITUTE(SUBSTITUTE('Ingest Template'!I288,"https:",""),"www.",""),"/",""),"?hl=en",""),"instagram.com",""))</f>
        <v/>
      </c>
      <c r="V288" s="10" t="str">
        <f>'Ingest Template'!J288</f>
        <v/>
      </c>
      <c r="W288" s="10" t="str">
        <f>'Ingest Template'!K288</f>
        <v/>
      </c>
      <c r="X288" s="5"/>
      <c r="Y288" s="5" t="str">
        <f>SUBSTITUTE(SUBSTITUTE(SUBSTITUTE('Ingest Template'!L288,"http:",""),"https:",""),"/","")</f>
        <v/>
      </c>
      <c r="Z288" s="5" t="str">
        <f t="array" ref="Z288">IF('Ingest Template'!A288="Standard",(IF(ISBLANK('Ingest Template'!M288),"", 'Ingest Template'!M288&amp;"|DAR")),(IF(ISBLANK('Ingest Template'!M288),"", 'Ingest Template'!M288&amp;"|Operations - Core Title")))</f>
        <v/>
      </c>
      <c r="AA288" s="5"/>
      <c r="AB288" s="5" t="str">
        <f>'Ingest Template'!F288</f>
        <v/>
      </c>
      <c r="AC288" s="5"/>
      <c r="AD288" s="5"/>
      <c r="AE288" s="5"/>
      <c r="AF288" s="8"/>
      <c r="AG288" s="5" t="str">
        <f t="array" ref="AG288">IF('Ingest Template'!A288="Standard",(CONCATENATE(IF(ISBLANK('Ingest Template'!N288),"", 'Ingest Template'!N288&amp;"|DAR"),CHAR(10), IF(ISBLANK('Ingest Template'!O288),"", 'Ingest Template'!O288&amp;"|DAR"),CHAR(10), IF(ISBLANK('Ingest Template'!P288),"", 'Ingest Template'!P288&amp;"|DAR"))),(CONCATENATE(IF(ISBLANK('Ingest Template'!N288),"", 'Ingest Template'!N288&amp;"|Operations - Core Title"),CHAR(10), IF(ISBLANK('Ingest Template'!O288),"", 'Ingest Template'!O288&amp;"|Operations - Core Title"),CHAR(10), IF(ISBLANK('Ingest Template'!P288),"", 'Ingest Template'!P288&amp;"|Operations - Core Title"))))</f>
        <v>#|Operations - Core Title
</v>
      </c>
      <c r="AH288" s="5"/>
      <c r="AI288" s="5"/>
      <c r="AJ288" s="5"/>
      <c r="AK288" s="5"/>
      <c r="AL288" s="5"/>
    </row>
    <row r="289">
      <c r="A289" s="5"/>
      <c r="B289" s="5" t="str">
        <f>'Ingest Template'!B289&amp;IF('Ingest Template'!A289 = "Standard", " - DAR","")</f>
        <v/>
      </c>
      <c r="C289" s="6" t="str">
        <f>'Ingest Template'!C289</f>
        <v/>
      </c>
      <c r="D289" s="7" t="str">
        <f>'Ingest Template'!E289</f>
        <v/>
      </c>
      <c r="E289" s="5"/>
      <c r="F289" s="5"/>
      <c r="G289" s="5"/>
      <c r="H289" s="7"/>
      <c r="I289" s="5"/>
      <c r="J289" s="7" t="str">
        <f>'Ingest Template'!Q289</f>
        <v/>
      </c>
      <c r="K289" s="5" t="str">
        <f>'Ingest Template'!R289</f>
        <v/>
      </c>
      <c r="L289" s="8" t="s">
        <v>38</v>
      </c>
      <c r="M289" s="9"/>
      <c r="N289" s="5"/>
      <c r="O289" s="5"/>
      <c r="P289" s="5"/>
      <c r="Q289" s="5"/>
      <c r="R289" s="5" t="str">
        <f>'Ingest Template'!D289</f>
        <v/>
      </c>
      <c r="S289" s="5" t="str">
        <f>'Ingest Template'!G289</f>
        <v/>
      </c>
      <c r="T289" s="5" t="str">
        <f>'Ingest Template'!H289</f>
        <v/>
      </c>
      <c r="U289" s="5" t="str">
        <f>LOWER(SUBSTITUTE(SUBSTITUTE(SUBSTITUTE(SUBSTITUTE(SUBSTITUTE('Ingest Template'!I289,"https:",""),"www.",""),"/",""),"?hl=en",""),"instagram.com",""))</f>
        <v/>
      </c>
      <c r="V289" s="10" t="str">
        <f>'Ingest Template'!J289</f>
        <v/>
      </c>
      <c r="W289" s="10" t="str">
        <f>'Ingest Template'!K289</f>
        <v/>
      </c>
      <c r="X289" s="5"/>
      <c r="Y289" s="5" t="str">
        <f>SUBSTITUTE(SUBSTITUTE(SUBSTITUTE('Ingest Template'!L289,"http:",""),"https:",""),"/","")</f>
        <v/>
      </c>
      <c r="Z289" s="5" t="str">
        <f t="array" ref="Z289">IF('Ingest Template'!A289="Standard",(IF(ISBLANK('Ingest Template'!M289),"", 'Ingest Template'!M289&amp;"|DAR")),(IF(ISBLANK('Ingest Template'!M289),"", 'Ingest Template'!M289&amp;"|Operations - Core Title")))</f>
        <v/>
      </c>
      <c r="AA289" s="5"/>
      <c r="AB289" s="5" t="str">
        <f>'Ingest Template'!F289</f>
        <v/>
      </c>
      <c r="AC289" s="5"/>
      <c r="AD289" s="5"/>
      <c r="AE289" s="5"/>
      <c r="AF289" s="8"/>
      <c r="AG289" s="5" t="str">
        <f t="array" ref="AG289">IF('Ingest Template'!A289="Standard",(CONCATENATE(IF(ISBLANK('Ingest Template'!N289),"", 'Ingest Template'!N289&amp;"|DAR"),CHAR(10), IF(ISBLANK('Ingest Template'!O289),"", 'Ingest Template'!O289&amp;"|DAR"),CHAR(10), IF(ISBLANK('Ingest Template'!P289),"", 'Ingest Template'!P289&amp;"|DAR"))),(CONCATENATE(IF(ISBLANK('Ingest Template'!N289),"", 'Ingest Template'!N289&amp;"|Operations - Core Title"),CHAR(10), IF(ISBLANK('Ingest Template'!O289),"", 'Ingest Template'!O289&amp;"|Operations - Core Title"),CHAR(10), IF(ISBLANK('Ingest Template'!P289),"", 'Ingest Template'!P289&amp;"|Operations - Core Title"))))</f>
        <v>#|Operations - Core Title
</v>
      </c>
      <c r="AH289" s="5"/>
      <c r="AI289" s="5"/>
      <c r="AJ289" s="5"/>
      <c r="AK289" s="5"/>
      <c r="AL289" s="5"/>
    </row>
    <row r="290">
      <c r="A290" s="5"/>
      <c r="B290" s="5" t="str">
        <f>'Ingest Template'!B290&amp;IF('Ingest Template'!A290 = "Standard", " - DAR","")</f>
        <v/>
      </c>
      <c r="C290" s="6" t="str">
        <f>'Ingest Template'!C290</f>
        <v/>
      </c>
      <c r="D290" s="7" t="str">
        <f>'Ingest Template'!E290</f>
        <v/>
      </c>
      <c r="E290" s="5"/>
      <c r="F290" s="5"/>
      <c r="G290" s="5"/>
      <c r="H290" s="7"/>
      <c r="I290" s="5"/>
      <c r="J290" s="7" t="str">
        <f>'Ingest Template'!Q290</f>
        <v/>
      </c>
      <c r="K290" s="5" t="str">
        <f>'Ingest Template'!R290</f>
        <v/>
      </c>
      <c r="L290" s="8" t="s">
        <v>38</v>
      </c>
      <c r="M290" s="9"/>
      <c r="N290" s="5"/>
      <c r="O290" s="5"/>
      <c r="P290" s="5"/>
      <c r="Q290" s="5"/>
      <c r="R290" s="5" t="str">
        <f>'Ingest Template'!D290</f>
        <v/>
      </c>
      <c r="S290" s="5" t="str">
        <f>'Ingest Template'!G290</f>
        <v/>
      </c>
      <c r="T290" s="5" t="str">
        <f>'Ingest Template'!H290</f>
        <v/>
      </c>
      <c r="U290" s="5" t="str">
        <f>LOWER(SUBSTITUTE(SUBSTITUTE(SUBSTITUTE(SUBSTITUTE(SUBSTITUTE('Ingest Template'!I290,"https:",""),"www.",""),"/",""),"?hl=en",""),"instagram.com",""))</f>
        <v/>
      </c>
      <c r="V290" s="10" t="str">
        <f>'Ingest Template'!J290</f>
        <v/>
      </c>
      <c r="W290" s="10" t="str">
        <f>'Ingest Template'!K290</f>
        <v/>
      </c>
      <c r="X290" s="5"/>
      <c r="Y290" s="5" t="str">
        <f>SUBSTITUTE(SUBSTITUTE(SUBSTITUTE('Ingest Template'!L290,"http:",""),"https:",""),"/","")</f>
        <v/>
      </c>
      <c r="Z290" s="5" t="str">
        <f t="array" ref="Z290">IF('Ingest Template'!A290="Standard",(IF(ISBLANK('Ingest Template'!M290),"", 'Ingest Template'!M290&amp;"|DAR")),(IF(ISBLANK('Ingest Template'!M290),"", 'Ingest Template'!M290&amp;"|Operations - Core Title")))</f>
        <v/>
      </c>
      <c r="AA290" s="5"/>
      <c r="AB290" s="5" t="str">
        <f>'Ingest Template'!F290</f>
        <v/>
      </c>
      <c r="AC290" s="5"/>
      <c r="AD290" s="5"/>
      <c r="AE290" s="5"/>
      <c r="AF290" s="8"/>
      <c r="AG290" s="5" t="str">
        <f t="array" ref="AG290">IF('Ingest Template'!A290="Standard",(CONCATENATE(IF(ISBLANK('Ingest Template'!N290),"", 'Ingest Template'!N290&amp;"|DAR"),CHAR(10), IF(ISBLANK('Ingest Template'!O290),"", 'Ingest Template'!O290&amp;"|DAR"),CHAR(10), IF(ISBLANK('Ingest Template'!P290),"", 'Ingest Template'!P290&amp;"|DAR"))),(CONCATENATE(IF(ISBLANK('Ingest Template'!N290),"", 'Ingest Template'!N290&amp;"|Operations - Core Title"),CHAR(10), IF(ISBLANK('Ingest Template'!O290),"", 'Ingest Template'!O290&amp;"|Operations - Core Title"),CHAR(10), IF(ISBLANK('Ingest Template'!P290),"", 'Ingest Template'!P290&amp;"|Operations - Core Title"))))</f>
        <v>#|Operations - Core Title
</v>
      </c>
      <c r="AH290" s="5"/>
      <c r="AI290" s="5"/>
      <c r="AJ290" s="5"/>
      <c r="AK290" s="5"/>
      <c r="AL290" s="5"/>
    </row>
    <row r="291">
      <c r="A291" s="5"/>
      <c r="B291" s="5" t="str">
        <f>'Ingest Template'!B291&amp;IF('Ingest Template'!A291 = "Standard", " - DAR","")</f>
        <v/>
      </c>
      <c r="C291" s="6" t="str">
        <f>'Ingest Template'!C291</f>
        <v/>
      </c>
      <c r="D291" s="7" t="str">
        <f>'Ingest Template'!E291</f>
        <v/>
      </c>
      <c r="E291" s="5"/>
      <c r="F291" s="5"/>
      <c r="G291" s="5"/>
      <c r="H291" s="7"/>
      <c r="I291" s="5"/>
      <c r="J291" s="7" t="str">
        <f>'Ingest Template'!Q291</f>
        <v/>
      </c>
      <c r="K291" s="5" t="str">
        <f>'Ingest Template'!R291</f>
        <v/>
      </c>
      <c r="L291" s="8" t="s">
        <v>38</v>
      </c>
      <c r="M291" s="9"/>
      <c r="N291" s="5"/>
      <c r="O291" s="5"/>
      <c r="P291" s="5"/>
      <c r="Q291" s="5"/>
      <c r="R291" s="5" t="str">
        <f>'Ingest Template'!D291</f>
        <v/>
      </c>
      <c r="S291" s="5" t="str">
        <f>'Ingest Template'!G291</f>
        <v/>
      </c>
      <c r="T291" s="5" t="str">
        <f>'Ingest Template'!H291</f>
        <v/>
      </c>
      <c r="U291" s="5" t="str">
        <f>LOWER(SUBSTITUTE(SUBSTITUTE(SUBSTITUTE(SUBSTITUTE(SUBSTITUTE('Ingest Template'!I291,"https:",""),"www.",""),"/",""),"?hl=en",""),"instagram.com",""))</f>
        <v/>
      </c>
      <c r="V291" s="10" t="str">
        <f>'Ingest Template'!J291</f>
        <v/>
      </c>
      <c r="W291" s="10" t="str">
        <f>'Ingest Template'!K291</f>
        <v/>
      </c>
      <c r="X291" s="5"/>
      <c r="Y291" s="5" t="str">
        <f>SUBSTITUTE(SUBSTITUTE(SUBSTITUTE('Ingest Template'!L291,"http:",""),"https:",""),"/","")</f>
        <v/>
      </c>
      <c r="Z291" s="5" t="str">
        <f t="array" ref="Z291">IF('Ingest Template'!A291="Standard",(IF(ISBLANK('Ingest Template'!M291),"", 'Ingest Template'!M291&amp;"|DAR")),(IF(ISBLANK('Ingest Template'!M291),"", 'Ingest Template'!M291&amp;"|Operations - Core Title")))</f>
        <v/>
      </c>
      <c r="AA291" s="5"/>
      <c r="AB291" s="5" t="str">
        <f>'Ingest Template'!F291</f>
        <v/>
      </c>
      <c r="AC291" s="5"/>
      <c r="AD291" s="5"/>
      <c r="AE291" s="5"/>
      <c r="AF291" s="8"/>
      <c r="AG291" s="5" t="str">
        <f t="array" ref="AG291">IF('Ingest Template'!A291="Standard",(CONCATENATE(IF(ISBLANK('Ingest Template'!N291),"", 'Ingest Template'!N291&amp;"|DAR"),CHAR(10), IF(ISBLANK('Ingest Template'!O291),"", 'Ingest Template'!O291&amp;"|DAR"),CHAR(10), IF(ISBLANK('Ingest Template'!P291),"", 'Ingest Template'!P291&amp;"|DAR"))),(CONCATENATE(IF(ISBLANK('Ingest Template'!N291),"", 'Ingest Template'!N291&amp;"|Operations - Core Title"),CHAR(10), IF(ISBLANK('Ingest Template'!O291),"", 'Ingest Template'!O291&amp;"|Operations - Core Title"),CHAR(10), IF(ISBLANK('Ingest Template'!P291),"", 'Ingest Template'!P291&amp;"|Operations - Core Title"))))</f>
        <v>#|Operations - Core Title
</v>
      </c>
      <c r="AH291" s="5"/>
      <c r="AI291" s="5"/>
      <c r="AJ291" s="5"/>
      <c r="AK291" s="5"/>
      <c r="AL291" s="5"/>
    </row>
    <row r="292">
      <c r="A292" s="5"/>
      <c r="B292" s="5" t="str">
        <f>'Ingest Template'!B292&amp;IF('Ingest Template'!A292 = "Standard", " - DAR","")</f>
        <v/>
      </c>
      <c r="C292" s="6" t="str">
        <f>'Ingest Template'!C292</f>
        <v/>
      </c>
      <c r="D292" s="7" t="str">
        <f>'Ingest Template'!E292</f>
        <v/>
      </c>
      <c r="E292" s="5"/>
      <c r="F292" s="5"/>
      <c r="G292" s="5"/>
      <c r="H292" s="7"/>
      <c r="I292" s="5"/>
      <c r="J292" s="7" t="str">
        <f>'Ingest Template'!Q292</f>
        <v/>
      </c>
      <c r="K292" s="5" t="str">
        <f>'Ingest Template'!R292</f>
        <v/>
      </c>
      <c r="L292" s="8" t="s">
        <v>38</v>
      </c>
      <c r="M292" s="9"/>
      <c r="N292" s="5"/>
      <c r="O292" s="5"/>
      <c r="P292" s="5"/>
      <c r="Q292" s="5"/>
      <c r="R292" s="5" t="str">
        <f>'Ingest Template'!D292</f>
        <v/>
      </c>
      <c r="S292" s="5" t="str">
        <f>'Ingest Template'!G292</f>
        <v/>
      </c>
      <c r="T292" s="5" t="str">
        <f>'Ingest Template'!H292</f>
        <v/>
      </c>
      <c r="U292" s="5" t="str">
        <f>LOWER(SUBSTITUTE(SUBSTITUTE(SUBSTITUTE(SUBSTITUTE(SUBSTITUTE('Ingest Template'!I292,"https:",""),"www.",""),"/",""),"?hl=en",""),"instagram.com",""))</f>
        <v/>
      </c>
      <c r="V292" s="10" t="str">
        <f>'Ingest Template'!J292</f>
        <v/>
      </c>
      <c r="W292" s="10" t="str">
        <f>'Ingest Template'!K292</f>
        <v/>
      </c>
      <c r="X292" s="5"/>
      <c r="Y292" s="5" t="str">
        <f>SUBSTITUTE(SUBSTITUTE(SUBSTITUTE('Ingest Template'!L292,"http:",""),"https:",""),"/","")</f>
        <v/>
      </c>
      <c r="Z292" s="5" t="str">
        <f t="array" ref="Z292">IF('Ingest Template'!A292="Standard",(IF(ISBLANK('Ingest Template'!M292),"", 'Ingest Template'!M292&amp;"|DAR")),(IF(ISBLANK('Ingest Template'!M292),"", 'Ingest Template'!M292&amp;"|Operations - Core Title")))</f>
        <v/>
      </c>
      <c r="AA292" s="5"/>
      <c r="AB292" s="5" t="str">
        <f>'Ingest Template'!F292</f>
        <v/>
      </c>
      <c r="AC292" s="5"/>
      <c r="AD292" s="5"/>
      <c r="AE292" s="5"/>
      <c r="AF292" s="8"/>
      <c r="AG292" s="5" t="str">
        <f t="array" ref="AG292">IF('Ingest Template'!A292="Standard",(CONCATENATE(IF(ISBLANK('Ingest Template'!N292),"", 'Ingest Template'!N292&amp;"|DAR"),CHAR(10), IF(ISBLANK('Ingest Template'!O292),"", 'Ingest Template'!O292&amp;"|DAR"),CHAR(10), IF(ISBLANK('Ingest Template'!P292),"", 'Ingest Template'!P292&amp;"|DAR"))),(CONCATENATE(IF(ISBLANK('Ingest Template'!N292),"", 'Ingest Template'!N292&amp;"|Operations - Core Title"),CHAR(10), IF(ISBLANK('Ingest Template'!O292),"", 'Ingest Template'!O292&amp;"|Operations - Core Title"),CHAR(10), IF(ISBLANK('Ingest Template'!P292),"", 'Ingest Template'!P292&amp;"|Operations - Core Title"))))</f>
        <v>#|Operations - Core Title
</v>
      </c>
      <c r="AH292" s="5"/>
      <c r="AI292" s="5"/>
      <c r="AJ292" s="5"/>
      <c r="AK292" s="5"/>
      <c r="AL292" s="5"/>
    </row>
    <row r="293">
      <c r="A293" s="5"/>
      <c r="B293" s="5" t="str">
        <f>'Ingest Template'!B293&amp;IF('Ingest Template'!A293 = "Standard", " - DAR","")</f>
        <v/>
      </c>
      <c r="C293" s="6" t="str">
        <f>'Ingest Template'!C293</f>
        <v/>
      </c>
      <c r="D293" s="7" t="str">
        <f>'Ingest Template'!E293</f>
        <v/>
      </c>
      <c r="E293" s="5"/>
      <c r="F293" s="5"/>
      <c r="G293" s="5"/>
      <c r="H293" s="7"/>
      <c r="I293" s="5"/>
      <c r="J293" s="7" t="str">
        <f>'Ingest Template'!Q293</f>
        <v/>
      </c>
      <c r="K293" s="5" t="str">
        <f>'Ingest Template'!R293</f>
        <v/>
      </c>
      <c r="L293" s="8" t="s">
        <v>38</v>
      </c>
      <c r="M293" s="9"/>
      <c r="N293" s="5"/>
      <c r="O293" s="5"/>
      <c r="P293" s="5"/>
      <c r="Q293" s="5"/>
      <c r="R293" s="5" t="str">
        <f>'Ingest Template'!D293</f>
        <v/>
      </c>
      <c r="S293" s="5" t="str">
        <f>'Ingest Template'!G293</f>
        <v/>
      </c>
      <c r="T293" s="5" t="str">
        <f>'Ingest Template'!H293</f>
        <v/>
      </c>
      <c r="U293" s="5" t="str">
        <f>LOWER(SUBSTITUTE(SUBSTITUTE(SUBSTITUTE(SUBSTITUTE(SUBSTITUTE('Ingest Template'!I293,"https:",""),"www.",""),"/",""),"?hl=en",""),"instagram.com",""))</f>
        <v/>
      </c>
      <c r="V293" s="10" t="str">
        <f>'Ingest Template'!J293</f>
        <v/>
      </c>
      <c r="W293" s="10" t="str">
        <f>'Ingest Template'!K293</f>
        <v/>
      </c>
      <c r="X293" s="5"/>
      <c r="Y293" s="5" t="str">
        <f>SUBSTITUTE(SUBSTITUTE(SUBSTITUTE('Ingest Template'!L293,"http:",""),"https:",""),"/","")</f>
        <v/>
      </c>
      <c r="Z293" s="5" t="str">
        <f t="array" ref="Z293">IF('Ingest Template'!A293="Standard",(IF(ISBLANK('Ingest Template'!M293),"", 'Ingest Template'!M293&amp;"|DAR")),(IF(ISBLANK('Ingest Template'!M293),"", 'Ingest Template'!M293&amp;"|Operations - Core Title")))</f>
        <v/>
      </c>
      <c r="AA293" s="5"/>
      <c r="AB293" s="5" t="str">
        <f>'Ingest Template'!F293</f>
        <v/>
      </c>
      <c r="AC293" s="5"/>
      <c r="AD293" s="5"/>
      <c r="AE293" s="5"/>
      <c r="AF293" s="8"/>
      <c r="AG293" s="5" t="str">
        <f t="array" ref="AG293">IF('Ingest Template'!A293="Standard",(CONCATENATE(IF(ISBLANK('Ingest Template'!N293),"", 'Ingest Template'!N293&amp;"|DAR"),CHAR(10), IF(ISBLANK('Ingest Template'!O293),"", 'Ingest Template'!O293&amp;"|DAR"),CHAR(10), IF(ISBLANK('Ingest Template'!P293),"", 'Ingest Template'!P293&amp;"|DAR"))),(CONCATENATE(IF(ISBLANK('Ingest Template'!N293),"", 'Ingest Template'!N293&amp;"|Operations - Core Title"),CHAR(10), IF(ISBLANK('Ingest Template'!O293),"", 'Ingest Template'!O293&amp;"|Operations - Core Title"),CHAR(10), IF(ISBLANK('Ingest Template'!P293),"", 'Ingest Template'!P293&amp;"|Operations - Core Title"))))</f>
        <v>#|Operations - Core Title
</v>
      </c>
      <c r="AH293" s="5"/>
      <c r="AI293" s="5"/>
      <c r="AJ293" s="5"/>
      <c r="AK293" s="5"/>
      <c r="AL293" s="5"/>
    </row>
    <row r="294">
      <c r="A294" s="5"/>
      <c r="B294" s="5" t="str">
        <f>'Ingest Template'!B294&amp;IF('Ingest Template'!A294 = "Standard", " - DAR","")</f>
        <v/>
      </c>
      <c r="C294" s="6" t="str">
        <f>'Ingest Template'!C294</f>
        <v/>
      </c>
      <c r="D294" s="7" t="str">
        <f>'Ingest Template'!E294</f>
        <v/>
      </c>
      <c r="E294" s="5"/>
      <c r="F294" s="5"/>
      <c r="G294" s="5"/>
      <c r="H294" s="7"/>
      <c r="I294" s="5"/>
      <c r="J294" s="7" t="str">
        <f>'Ingest Template'!Q294</f>
        <v/>
      </c>
      <c r="K294" s="5" t="str">
        <f>'Ingest Template'!R294</f>
        <v/>
      </c>
      <c r="L294" s="8" t="s">
        <v>38</v>
      </c>
      <c r="M294" s="9"/>
      <c r="N294" s="5"/>
      <c r="O294" s="5"/>
      <c r="P294" s="5"/>
      <c r="Q294" s="5"/>
      <c r="R294" s="5" t="str">
        <f>'Ingest Template'!D294</f>
        <v/>
      </c>
      <c r="S294" s="5" t="str">
        <f>'Ingest Template'!G294</f>
        <v/>
      </c>
      <c r="T294" s="5" t="str">
        <f>'Ingest Template'!H294</f>
        <v/>
      </c>
      <c r="U294" s="5" t="str">
        <f>LOWER(SUBSTITUTE(SUBSTITUTE(SUBSTITUTE(SUBSTITUTE(SUBSTITUTE('Ingest Template'!I294,"https:",""),"www.",""),"/",""),"?hl=en",""),"instagram.com",""))</f>
        <v/>
      </c>
      <c r="V294" s="10" t="str">
        <f>'Ingest Template'!J294</f>
        <v/>
      </c>
      <c r="W294" s="10" t="str">
        <f>'Ingest Template'!K294</f>
        <v/>
      </c>
      <c r="X294" s="5"/>
      <c r="Y294" s="5" t="str">
        <f>SUBSTITUTE(SUBSTITUTE(SUBSTITUTE('Ingest Template'!L294,"http:",""),"https:",""),"/","")</f>
        <v/>
      </c>
      <c r="Z294" s="5" t="str">
        <f t="array" ref="Z294">IF('Ingest Template'!A294="Standard",(IF(ISBLANK('Ingest Template'!M294),"", 'Ingest Template'!M294&amp;"|DAR")),(IF(ISBLANK('Ingest Template'!M294),"", 'Ingest Template'!M294&amp;"|Operations - Core Title")))</f>
        <v/>
      </c>
      <c r="AA294" s="5"/>
      <c r="AB294" s="5" t="str">
        <f>'Ingest Template'!F294</f>
        <v/>
      </c>
      <c r="AC294" s="5"/>
      <c r="AD294" s="5"/>
      <c r="AE294" s="5"/>
      <c r="AF294" s="8"/>
      <c r="AG294" s="5" t="str">
        <f t="array" ref="AG294">IF('Ingest Template'!A294="Standard",(CONCATENATE(IF(ISBLANK('Ingest Template'!N294),"", 'Ingest Template'!N294&amp;"|DAR"),CHAR(10), IF(ISBLANK('Ingest Template'!O294),"", 'Ingest Template'!O294&amp;"|DAR"),CHAR(10), IF(ISBLANK('Ingest Template'!P294),"", 'Ingest Template'!P294&amp;"|DAR"))),(CONCATENATE(IF(ISBLANK('Ingest Template'!N294),"", 'Ingest Template'!N294&amp;"|Operations - Core Title"),CHAR(10), IF(ISBLANK('Ingest Template'!O294),"", 'Ingest Template'!O294&amp;"|Operations - Core Title"),CHAR(10), IF(ISBLANK('Ingest Template'!P294),"", 'Ingest Template'!P294&amp;"|Operations - Core Title"))))</f>
        <v>#|Operations - Core Title
</v>
      </c>
      <c r="AH294" s="5"/>
      <c r="AI294" s="5"/>
      <c r="AJ294" s="5"/>
      <c r="AK294" s="5"/>
      <c r="AL294" s="5"/>
    </row>
    <row r="295">
      <c r="A295" s="5"/>
      <c r="B295" s="5" t="str">
        <f>'Ingest Template'!B295&amp;IF('Ingest Template'!A295 = "Standard", " - DAR","")</f>
        <v/>
      </c>
      <c r="C295" s="6" t="str">
        <f>'Ingest Template'!C295</f>
        <v/>
      </c>
      <c r="D295" s="7" t="str">
        <f>'Ingest Template'!E295</f>
        <v/>
      </c>
      <c r="E295" s="5"/>
      <c r="F295" s="5"/>
      <c r="G295" s="5"/>
      <c r="H295" s="7"/>
      <c r="I295" s="5"/>
      <c r="J295" s="7" t="str">
        <f>'Ingest Template'!Q295</f>
        <v/>
      </c>
      <c r="K295" s="5" t="str">
        <f>'Ingest Template'!R295</f>
        <v/>
      </c>
      <c r="L295" s="8" t="s">
        <v>38</v>
      </c>
      <c r="M295" s="9"/>
      <c r="N295" s="5"/>
      <c r="O295" s="5"/>
      <c r="P295" s="5"/>
      <c r="Q295" s="5"/>
      <c r="R295" s="5" t="str">
        <f>'Ingest Template'!D295</f>
        <v/>
      </c>
      <c r="S295" s="5" t="str">
        <f>'Ingest Template'!G295</f>
        <v/>
      </c>
      <c r="T295" s="5" t="str">
        <f>'Ingest Template'!H295</f>
        <v/>
      </c>
      <c r="U295" s="5" t="str">
        <f>LOWER(SUBSTITUTE(SUBSTITUTE(SUBSTITUTE(SUBSTITUTE(SUBSTITUTE('Ingest Template'!I295,"https:",""),"www.",""),"/",""),"?hl=en",""),"instagram.com",""))</f>
        <v/>
      </c>
      <c r="V295" s="10" t="str">
        <f>'Ingest Template'!J295</f>
        <v/>
      </c>
      <c r="W295" s="10" t="str">
        <f>'Ingest Template'!K295</f>
        <v/>
      </c>
      <c r="X295" s="5"/>
      <c r="Y295" s="5" t="str">
        <f>SUBSTITUTE(SUBSTITUTE(SUBSTITUTE('Ingest Template'!L295,"http:",""),"https:",""),"/","")</f>
        <v/>
      </c>
      <c r="Z295" s="5" t="str">
        <f t="array" ref="Z295">IF('Ingest Template'!A295="Standard",(IF(ISBLANK('Ingest Template'!M295),"", 'Ingest Template'!M295&amp;"|DAR")),(IF(ISBLANK('Ingest Template'!M295),"", 'Ingest Template'!M295&amp;"|Operations - Core Title")))</f>
        <v/>
      </c>
      <c r="AA295" s="5"/>
      <c r="AB295" s="5" t="str">
        <f>'Ingest Template'!F295</f>
        <v/>
      </c>
      <c r="AC295" s="5"/>
      <c r="AD295" s="5"/>
      <c r="AE295" s="5"/>
      <c r="AF295" s="8"/>
      <c r="AG295" s="5" t="str">
        <f t="array" ref="AG295">IF('Ingest Template'!A295="Standard",(CONCATENATE(IF(ISBLANK('Ingest Template'!N295),"", 'Ingest Template'!N295&amp;"|DAR"),CHAR(10), IF(ISBLANK('Ingest Template'!O295),"", 'Ingest Template'!O295&amp;"|DAR"),CHAR(10), IF(ISBLANK('Ingest Template'!P295),"", 'Ingest Template'!P295&amp;"|DAR"))),(CONCATENATE(IF(ISBLANK('Ingest Template'!N295),"", 'Ingest Template'!N295&amp;"|Operations - Core Title"),CHAR(10), IF(ISBLANK('Ingest Template'!O295),"", 'Ingest Template'!O295&amp;"|Operations - Core Title"),CHAR(10), IF(ISBLANK('Ingest Template'!P295),"", 'Ingest Template'!P295&amp;"|Operations - Core Title"))))</f>
        <v>#|Operations - Core Title
</v>
      </c>
      <c r="AH295" s="5"/>
      <c r="AI295" s="5"/>
      <c r="AJ295" s="5"/>
      <c r="AK295" s="5"/>
      <c r="AL295" s="5"/>
    </row>
    <row r="296">
      <c r="A296" s="5"/>
      <c r="B296" s="5" t="str">
        <f>'Ingest Template'!B296&amp;IF('Ingest Template'!A296 = "Standard", " - DAR","")</f>
        <v/>
      </c>
      <c r="C296" s="6" t="str">
        <f>'Ingest Template'!C296</f>
        <v/>
      </c>
      <c r="D296" s="7" t="str">
        <f>'Ingest Template'!E296</f>
        <v/>
      </c>
      <c r="E296" s="5"/>
      <c r="F296" s="5"/>
      <c r="G296" s="5"/>
      <c r="H296" s="7"/>
      <c r="I296" s="5"/>
      <c r="J296" s="7" t="str">
        <f>'Ingest Template'!Q296</f>
        <v/>
      </c>
      <c r="K296" s="5" t="str">
        <f>'Ingest Template'!R296</f>
        <v/>
      </c>
      <c r="L296" s="8" t="s">
        <v>38</v>
      </c>
      <c r="M296" s="9"/>
      <c r="N296" s="5"/>
      <c r="O296" s="5"/>
      <c r="P296" s="5"/>
      <c r="Q296" s="5"/>
      <c r="R296" s="5" t="str">
        <f>'Ingest Template'!D296</f>
        <v/>
      </c>
      <c r="S296" s="5" t="str">
        <f>'Ingest Template'!G296</f>
        <v/>
      </c>
      <c r="T296" s="5" t="str">
        <f>'Ingest Template'!H296</f>
        <v/>
      </c>
      <c r="U296" s="5" t="str">
        <f>LOWER(SUBSTITUTE(SUBSTITUTE(SUBSTITUTE(SUBSTITUTE(SUBSTITUTE('Ingest Template'!I296,"https:",""),"www.",""),"/",""),"?hl=en",""),"instagram.com",""))</f>
        <v/>
      </c>
      <c r="V296" s="10" t="str">
        <f>'Ingest Template'!J296</f>
        <v/>
      </c>
      <c r="W296" s="10" t="str">
        <f>'Ingest Template'!K296</f>
        <v/>
      </c>
      <c r="X296" s="5"/>
      <c r="Y296" s="5" t="str">
        <f>SUBSTITUTE(SUBSTITUTE(SUBSTITUTE('Ingest Template'!L296,"http:",""),"https:",""),"/","")</f>
        <v/>
      </c>
      <c r="Z296" s="5" t="str">
        <f t="array" ref="Z296">IF('Ingest Template'!A296="Standard",(IF(ISBLANK('Ingest Template'!M296),"", 'Ingest Template'!M296&amp;"|DAR")),(IF(ISBLANK('Ingest Template'!M296),"", 'Ingest Template'!M296&amp;"|Operations - Core Title")))</f>
        <v/>
      </c>
      <c r="AA296" s="5"/>
      <c r="AB296" s="5" t="str">
        <f>'Ingest Template'!F296</f>
        <v/>
      </c>
      <c r="AC296" s="5"/>
      <c r="AD296" s="5"/>
      <c r="AE296" s="5"/>
      <c r="AF296" s="8"/>
      <c r="AG296" s="5" t="str">
        <f t="array" ref="AG296">IF('Ingest Template'!A296="Standard",(CONCATENATE(IF(ISBLANK('Ingest Template'!N296),"", 'Ingest Template'!N296&amp;"|DAR"),CHAR(10), IF(ISBLANK('Ingest Template'!O296),"", 'Ingest Template'!O296&amp;"|DAR"),CHAR(10), IF(ISBLANK('Ingest Template'!P296),"", 'Ingest Template'!P296&amp;"|DAR"))),(CONCATENATE(IF(ISBLANK('Ingest Template'!N296),"", 'Ingest Template'!N296&amp;"|Operations - Core Title"),CHAR(10), IF(ISBLANK('Ingest Template'!O296),"", 'Ingest Template'!O296&amp;"|Operations - Core Title"),CHAR(10), IF(ISBLANK('Ingest Template'!P296),"", 'Ingest Template'!P296&amp;"|Operations - Core Title"))))</f>
        <v>#|Operations - Core Title
</v>
      </c>
      <c r="AH296" s="5"/>
      <c r="AI296" s="5"/>
      <c r="AJ296" s="5"/>
      <c r="AK296" s="5"/>
      <c r="AL296" s="5"/>
    </row>
    <row r="297">
      <c r="A297" s="5"/>
      <c r="B297" s="5" t="str">
        <f>'Ingest Template'!B297&amp;IF('Ingest Template'!A297 = "Standard", " - DAR","")</f>
        <v/>
      </c>
      <c r="C297" s="6" t="str">
        <f>'Ingest Template'!C297</f>
        <v/>
      </c>
      <c r="D297" s="7" t="str">
        <f>'Ingest Template'!E297</f>
        <v/>
      </c>
      <c r="E297" s="5"/>
      <c r="F297" s="5"/>
      <c r="G297" s="5"/>
      <c r="H297" s="7"/>
      <c r="I297" s="5"/>
      <c r="J297" s="7" t="str">
        <f>'Ingest Template'!Q297</f>
        <v/>
      </c>
      <c r="K297" s="5" t="str">
        <f>'Ingest Template'!R297</f>
        <v/>
      </c>
      <c r="L297" s="8" t="s">
        <v>38</v>
      </c>
      <c r="M297" s="9"/>
      <c r="N297" s="5"/>
      <c r="O297" s="5"/>
      <c r="P297" s="5"/>
      <c r="Q297" s="5"/>
      <c r="R297" s="5" t="str">
        <f>'Ingest Template'!D297</f>
        <v/>
      </c>
      <c r="S297" s="5" t="str">
        <f>'Ingest Template'!G297</f>
        <v/>
      </c>
      <c r="T297" s="5" t="str">
        <f>'Ingest Template'!H297</f>
        <v/>
      </c>
      <c r="U297" s="5" t="str">
        <f>LOWER(SUBSTITUTE(SUBSTITUTE(SUBSTITUTE(SUBSTITUTE(SUBSTITUTE('Ingest Template'!I297,"https:",""),"www.",""),"/",""),"?hl=en",""),"instagram.com",""))</f>
        <v/>
      </c>
      <c r="V297" s="10" t="str">
        <f>'Ingest Template'!J297</f>
        <v/>
      </c>
      <c r="W297" s="10" t="str">
        <f>'Ingest Template'!K297</f>
        <v/>
      </c>
      <c r="X297" s="5"/>
      <c r="Y297" s="5" t="str">
        <f>SUBSTITUTE(SUBSTITUTE(SUBSTITUTE('Ingest Template'!L297,"http:",""),"https:",""),"/","")</f>
        <v/>
      </c>
      <c r="Z297" s="5" t="str">
        <f t="array" ref="Z297">IF('Ingest Template'!A297="Standard",(IF(ISBLANK('Ingest Template'!M297),"", 'Ingest Template'!M297&amp;"|DAR")),(IF(ISBLANK('Ingest Template'!M297),"", 'Ingest Template'!M297&amp;"|Operations - Core Title")))</f>
        <v/>
      </c>
      <c r="AA297" s="5"/>
      <c r="AB297" s="5" t="str">
        <f>'Ingest Template'!F297</f>
        <v/>
      </c>
      <c r="AC297" s="5"/>
      <c r="AD297" s="5"/>
      <c r="AE297" s="5"/>
      <c r="AF297" s="8"/>
      <c r="AG297" s="5" t="str">
        <f t="array" ref="AG297">IF('Ingest Template'!A297="Standard",(CONCATENATE(IF(ISBLANK('Ingest Template'!N297),"", 'Ingest Template'!N297&amp;"|DAR"),CHAR(10), IF(ISBLANK('Ingest Template'!O297),"", 'Ingest Template'!O297&amp;"|DAR"),CHAR(10), IF(ISBLANK('Ingest Template'!P297),"", 'Ingest Template'!P297&amp;"|DAR"))),(CONCATENATE(IF(ISBLANK('Ingest Template'!N297),"", 'Ingest Template'!N297&amp;"|Operations - Core Title"),CHAR(10), IF(ISBLANK('Ingest Template'!O297),"", 'Ingest Template'!O297&amp;"|Operations - Core Title"),CHAR(10), IF(ISBLANK('Ingest Template'!P297),"", 'Ingest Template'!P297&amp;"|Operations - Core Title"))))</f>
        <v>#|Operations - Core Title
</v>
      </c>
      <c r="AH297" s="5"/>
      <c r="AI297" s="5"/>
      <c r="AJ297" s="5"/>
      <c r="AK297" s="5"/>
      <c r="AL297" s="5"/>
    </row>
    <row r="298">
      <c r="A298" s="5"/>
      <c r="B298" s="5" t="str">
        <f>'Ingest Template'!B298&amp;IF('Ingest Template'!A298 = "Standard", " - DAR","")</f>
        <v/>
      </c>
      <c r="C298" s="6" t="str">
        <f>'Ingest Template'!C298</f>
        <v/>
      </c>
      <c r="D298" s="7" t="str">
        <f>'Ingest Template'!E298</f>
        <v/>
      </c>
      <c r="E298" s="5"/>
      <c r="F298" s="5"/>
      <c r="G298" s="5"/>
      <c r="H298" s="7"/>
      <c r="I298" s="5"/>
      <c r="J298" s="7" t="str">
        <f>'Ingest Template'!Q298</f>
        <v/>
      </c>
      <c r="K298" s="5" t="str">
        <f>'Ingest Template'!R298</f>
        <v/>
      </c>
      <c r="L298" s="8" t="s">
        <v>38</v>
      </c>
      <c r="M298" s="9"/>
      <c r="N298" s="5"/>
      <c r="O298" s="5"/>
      <c r="P298" s="5"/>
      <c r="Q298" s="5"/>
      <c r="R298" s="5" t="str">
        <f>'Ingest Template'!D298</f>
        <v/>
      </c>
      <c r="S298" s="5" t="str">
        <f>'Ingest Template'!G298</f>
        <v/>
      </c>
      <c r="T298" s="5" t="str">
        <f>'Ingest Template'!H298</f>
        <v/>
      </c>
      <c r="U298" s="5" t="str">
        <f>LOWER(SUBSTITUTE(SUBSTITUTE(SUBSTITUTE(SUBSTITUTE(SUBSTITUTE('Ingest Template'!I298,"https:",""),"www.",""),"/",""),"?hl=en",""),"instagram.com",""))</f>
        <v/>
      </c>
      <c r="V298" s="10" t="str">
        <f>'Ingest Template'!J298</f>
        <v/>
      </c>
      <c r="W298" s="10" t="str">
        <f>'Ingest Template'!K298</f>
        <v/>
      </c>
      <c r="X298" s="5"/>
      <c r="Y298" s="5" t="str">
        <f>SUBSTITUTE(SUBSTITUTE(SUBSTITUTE('Ingest Template'!L298,"http:",""),"https:",""),"/","")</f>
        <v/>
      </c>
      <c r="Z298" s="5" t="str">
        <f t="array" ref="Z298">IF('Ingest Template'!A298="Standard",(IF(ISBLANK('Ingest Template'!M298),"", 'Ingest Template'!M298&amp;"|DAR")),(IF(ISBLANK('Ingest Template'!M298),"", 'Ingest Template'!M298&amp;"|Operations - Core Title")))</f>
        <v/>
      </c>
      <c r="AA298" s="5"/>
      <c r="AB298" s="5" t="str">
        <f>'Ingest Template'!F298</f>
        <v/>
      </c>
      <c r="AC298" s="5"/>
      <c r="AD298" s="5"/>
      <c r="AE298" s="5"/>
      <c r="AF298" s="8"/>
      <c r="AG298" s="5" t="str">
        <f t="array" ref="AG298">IF('Ingest Template'!A298="Standard",(CONCATENATE(IF(ISBLANK('Ingest Template'!N298),"", 'Ingest Template'!N298&amp;"|DAR"),CHAR(10), IF(ISBLANK('Ingest Template'!O298),"", 'Ingest Template'!O298&amp;"|DAR"),CHAR(10), IF(ISBLANK('Ingest Template'!P298),"", 'Ingest Template'!P298&amp;"|DAR"))),(CONCATENATE(IF(ISBLANK('Ingest Template'!N298),"", 'Ingest Template'!N298&amp;"|Operations - Core Title"),CHAR(10), IF(ISBLANK('Ingest Template'!O298),"", 'Ingest Template'!O298&amp;"|Operations - Core Title"),CHAR(10), IF(ISBLANK('Ingest Template'!P298),"", 'Ingest Template'!P298&amp;"|Operations - Core Title"))))</f>
        <v>#|Operations - Core Title
</v>
      </c>
      <c r="AH298" s="5"/>
      <c r="AI298" s="5"/>
      <c r="AJ298" s="5"/>
      <c r="AK298" s="5"/>
      <c r="AL298" s="5"/>
    </row>
    <row r="299">
      <c r="A299" s="5"/>
      <c r="B299" s="5" t="str">
        <f>'Ingest Template'!B299&amp;IF('Ingest Template'!A299 = "Standard", " - DAR","")</f>
        <v/>
      </c>
      <c r="C299" s="6" t="str">
        <f>'Ingest Template'!C299</f>
        <v/>
      </c>
      <c r="D299" s="7" t="str">
        <f>'Ingest Template'!E299</f>
        <v/>
      </c>
      <c r="E299" s="5"/>
      <c r="F299" s="5"/>
      <c r="G299" s="5"/>
      <c r="H299" s="7"/>
      <c r="I299" s="5"/>
      <c r="J299" s="7" t="str">
        <f>'Ingest Template'!Q299</f>
        <v/>
      </c>
      <c r="K299" s="5" t="str">
        <f>'Ingest Template'!R299</f>
        <v/>
      </c>
      <c r="L299" s="8" t="s">
        <v>38</v>
      </c>
      <c r="M299" s="9"/>
      <c r="N299" s="5"/>
      <c r="O299" s="5"/>
      <c r="P299" s="5"/>
      <c r="Q299" s="5"/>
      <c r="R299" s="5" t="str">
        <f>'Ingest Template'!D299</f>
        <v/>
      </c>
      <c r="S299" s="5" t="str">
        <f>'Ingest Template'!G299</f>
        <v/>
      </c>
      <c r="T299" s="5" t="str">
        <f>'Ingest Template'!H299</f>
        <v/>
      </c>
      <c r="U299" s="5" t="str">
        <f>LOWER(SUBSTITUTE(SUBSTITUTE(SUBSTITUTE(SUBSTITUTE(SUBSTITUTE('Ingest Template'!I299,"https:",""),"www.",""),"/",""),"?hl=en",""),"instagram.com",""))</f>
        <v/>
      </c>
      <c r="V299" s="10" t="str">
        <f>'Ingest Template'!J299</f>
        <v/>
      </c>
      <c r="W299" s="10" t="str">
        <f>'Ingest Template'!K299</f>
        <v/>
      </c>
      <c r="X299" s="5"/>
      <c r="Y299" s="5" t="str">
        <f>SUBSTITUTE(SUBSTITUTE(SUBSTITUTE('Ingest Template'!L299,"http:",""),"https:",""),"/","")</f>
        <v/>
      </c>
      <c r="Z299" s="5" t="str">
        <f t="array" ref="Z299">IF('Ingest Template'!A299="Standard",(IF(ISBLANK('Ingest Template'!M299),"", 'Ingest Template'!M299&amp;"|DAR")),(IF(ISBLANK('Ingest Template'!M299),"", 'Ingest Template'!M299&amp;"|Operations - Core Title")))</f>
        <v/>
      </c>
      <c r="AA299" s="5"/>
      <c r="AB299" s="5" t="str">
        <f>'Ingest Template'!F299</f>
        <v/>
      </c>
      <c r="AC299" s="5"/>
      <c r="AD299" s="5"/>
      <c r="AE299" s="5"/>
      <c r="AF299" s="8"/>
      <c r="AG299" s="5" t="str">
        <f t="array" ref="AG299">IF('Ingest Template'!A299="Standard",(CONCATENATE(IF(ISBLANK('Ingest Template'!N299),"", 'Ingest Template'!N299&amp;"|DAR"),CHAR(10), IF(ISBLANK('Ingest Template'!O299),"", 'Ingest Template'!O299&amp;"|DAR"),CHAR(10), IF(ISBLANK('Ingest Template'!P299),"", 'Ingest Template'!P299&amp;"|DAR"))),(CONCATENATE(IF(ISBLANK('Ingest Template'!N299),"", 'Ingest Template'!N299&amp;"|Operations - Core Title"),CHAR(10), IF(ISBLANK('Ingest Template'!O299),"", 'Ingest Template'!O299&amp;"|Operations - Core Title"),CHAR(10), IF(ISBLANK('Ingest Template'!P299),"", 'Ingest Template'!P299&amp;"|Operations - Core Title"))))</f>
        <v>#|Operations - Core Title
</v>
      </c>
      <c r="AH299" s="5"/>
      <c r="AI299" s="5"/>
      <c r="AJ299" s="5"/>
      <c r="AK299" s="5"/>
      <c r="AL299" s="5"/>
    </row>
    <row r="300">
      <c r="A300" s="5"/>
      <c r="B300" s="5" t="str">
        <f>'Ingest Template'!B300&amp;IF('Ingest Template'!A300 = "Standard", " - DAR","")</f>
        <v/>
      </c>
      <c r="C300" s="6" t="str">
        <f>'Ingest Template'!C300</f>
        <v/>
      </c>
      <c r="D300" s="7" t="str">
        <f>'Ingest Template'!E300</f>
        <v/>
      </c>
      <c r="E300" s="5"/>
      <c r="F300" s="5"/>
      <c r="G300" s="5"/>
      <c r="H300" s="7"/>
      <c r="I300" s="5"/>
      <c r="J300" s="7" t="str">
        <f>'Ingest Template'!Q300</f>
        <v/>
      </c>
      <c r="K300" s="5" t="str">
        <f>'Ingest Template'!R300</f>
        <v/>
      </c>
      <c r="L300" s="8" t="s">
        <v>38</v>
      </c>
      <c r="M300" s="9"/>
      <c r="N300" s="5"/>
      <c r="O300" s="5"/>
      <c r="P300" s="5"/>
      <c r="Q300" s="5"/>
      <c r="R300" s="5" t="str">
        <f>'Ingest Template'!D300</f>
        <v/>
      </c>
      <c r="S300" s="5" t="str">
        <f>'Ingest Template'!G300</f>
        <v/>
      </c>
      <c r="T300" s="5" t="str">
        <f>'Ingest Template'!H300</f>
        <v/>
      </c>
      <c r="U300" s="5" t="str">
        <f>LOWER(SUBSTITUTE(SUBSTITUTE(SUBSTITUTE(SUBSTITUTE(SUBSTITUTE('Ingest Template'!I300,"https:",""),"www.",""),"/",""),"?hl=en",""),"instagram.com",""))</f>
        <v/>
      </c>
      <c r="V300" s="10" t="str">
        <f>'Ingest Template'!J300</f>
        <v/>
      </c>
      <c r="W300" s="10" t="str">
        <f>'Ingest Template'!K300</f>
        <v/>
      </c>
      <c r="X300" s="5"/>
      <c r="Y300" s="5" t="str">
        <f>SUBSTITUTE(SUBSTITUTE(SUBSTITUTE('Ingest Template'!L300,"http:",""),"https:",""),"/","")</f>
        <v/>
      </c>
      <c r="Z300" s="5" t="str">
        <f t="array" ref="Z300">IF('Ingest Template'!A300="Standard",(IF(ISBLANK('Ingest Template'!M300),"", 'Ingest Template'!M300&amp;"|DAR")),(IF(ISBLANK('Ingest Template'!M300),"", 'Ingest Template'!M300&amp;"|Operations - Core Title")))</f>
        <v/>
      </c>
      <c r="AA300" s="5"/>
      <c r="AB300" s="5" t="str">
        <f>'Ingest Template'!F300</f>
        <v/>
      </c>
      <c r="AC300" s="5"/>
      <c r="AD300" s="5"/>
      <c r="AE300" s="5"/>
      <c r="AF300" s="8"/>
      <c r="AG300" s="5" t="str">
        <f t="array" ref="AG300">IF('Ingest Template'!A300="Standard",(CONCATENATE(IF(ISBLANK('Ingest Template'!N300),"", 'Ingest Template'!N300&amp;"|DAR"),CHAR(10), IF(ISBLANK('Ingest Template'!O300),"", 'Ingest Template'!O300&amp;"|DAR"),CHAR(10), IF(ISBLANK('Ingest Template'!P300),"", 'Ingest Template'!P300&amp;"|DAR"))),(CONCATENATE(IF(ISBLANK('Ingest Template'!N300),"", 'Ingest Template'!N300&amp;"|Operations - Core Title"),CHAR(10), IF(ISBLANK('Ingest Template'!O300),"", 'Ingest Template'!O300&amp;"|Operations - Core Title"),CHAR(10), IF(ISBLANK('Ingest Template'!P300),"", 'Ingest Template'!P300&amp;"|Operations - Core Title"))))</f>
        <v>#|Operations - Core Title
</v>
      </c>
      <c r="AH300" s="5"/>
      <c r="AI300" s="5"/>
      <c r="AJ300" s="5"/>
      <c r="AK300" s="5"/>
      <c r="AL300" s="5"/>
    </row>
    <row r="301">
      <c r="A301" s="5"/>
      <c r="B301" s="5" t="str">
        <f>'Ingest Template'!B301&amp;IF('Ingest Template'!A301 = "Standard", " - DAR","")</f>
        <v/>
      </c>
      <c r="C301" s="6" t="str">
        <f>'Ingest Template'!C301</f>
        <v/>
      </c>
      <c r="D301" s="7" t="str">
        <f>'Ingest Template'!E301</f>
        <v/>
      </c>
      <c r="E301" s="5"/>
      <c r="F301" s="5"/>
      <c r="G301" s="5"/>
      <c r="H301" s="7"/>
      <c r="I301" s="5"/>
      <c r="J301" s="7" t="str">
        <f>'Ingest Template'!Q301</f>
        <v/>
      </c>
      <c r="K301" s="5" t="str">
        <f>'Ingest Template'!R301</f>
        <v/>
      </c>
      <c r="L301" s="8" t="s">
        <v>38</v>
      </c>
      <c r="M301" s="9"/>
      <c r="N301" s="5"/>
      <c r="O301" s="5"/>
      <c r="P301" s="5"/>
      <c r="Q301" s="5"/>
      <c r="R301" s="5" t="str">
        <f>'Ingest Template'!D301</f>
        <v/>
      </c>
      <c r="S301" s="5" t="str">
        <f>'Ingest Template'!G301</f>
        <v/>
      </c>
      <c r="T301" s="5" t="str">
        <f>'Ingest Template'!H301</f>
        <v/>
      </c>
      <c r="U301" s="5" t="str">
        <f>LOWER(SUBSTITUTE(SUBSTITUTE(SUBSTITUTE(SUBSTITUTE(SUBSTITUTE('Ingest Template'!I301,"https:",""),"www.",""),"/",""),"?hl=en",""),"instagram.com",""))</f>
        <v/>
      </c>
      <c r="V301" s="10" t="str">
        <f>'Ingest Template'!J301</f>
        <v/>
      </c>
      <c r="W301" s="10" t="str">
        <f>'Ingest Template'!K301</f>
        <v/>
      </c>
      <c r="X301" s="5"/>
      <c r="Y301" s="5" t="str">
        <f>SUBSTITUTE(SUBSTITUTE(SUBSTITUTE('Ingest Template'!L301,"http:",""),"https:",""),"/","")</f>
        <v/>
      </c>
      <c r="Z301" s="5" t="str">
        <f t="array" ref="Z301">IF('Ingest Template'!A301="Standard",(IF(ISBLANK('Ingest Template'!M301),"", 'Ingest Template'!M301&amp;"|DAR")),(IF(ISBLANK('Ingest Template'!M301),"", 'Ingest Template'!M301&amp;"|Operations - Core Title")))</f>
        <v/>
      </c>
      <c r="AA301" s="5"/>
      <c r="AB301" s="5" t="str">
        <f>'Ingest Template'!F301</f>
        <v/>
      </c>
      <c r="AC301" s="5"/>
      <c r="AD301" s="5"/>
      <c r="AE301" s="5"/>
      <c r="AF301" s="8"/>
      <c r="AG301" s="5" t="str">
        <f t="array" ref="AG301">IF('Ingest Template'!A301="Standard",(CONCATENATE(IF(ISBLANK('Ingest Template'!N301),"", 'Ingest Template'!N301&amp;"|DAR"),CHAR(10), IF(ISBLANK('Ingest Template'!O301),"", 'Ingest Template'!O301&amp;"|DAR"),CHAR(10), IF(ISBLANK('Ingest Template'!P301),"", 'Ingest Template'!P301&amp;"|DAR"))),(CONCATENATE(IF(ISBLANK('Ingest Template'!N301),"", 'Ingest Template'!N301&amp;"|Operations - Core Title"),CHAR(10), IF(ISBLANK('Ingest Template'!O301),"", 'Ingest Template'!O301&amp;"|Operations - Core Title"),CHAR(10), IF(ISBLANK('Ingest Template'!P301),"", 'Ingest Template'!P301&amp;"|Operations - Core Title"))))</f>
        <v>#|Operations - Core Title
</v>
      </c>
      <c r="AH301" s="5"/>
      <c r="AI301" s="5"/>
      <c r="AJ301" s="5"/>
      <c r="AK301" s="5"/>
      <c r="AL301" s="5"/>
    </row>
    <row r="302">
      <c r="A302" s="5"/>
      <c r="B302" s="5" t="str">
        <f>'Ingest Template'!B302&amp;IF('Ingest Template'!A302 = "Standard", " - DAR","")</f>
        <v/>
      </c>
      <c r="C302" s="6" t="str">
        <f>'Ingest Template'!C302</f>
        <v/>
      </c>
      <c r="D302" s="7" t="str">
        <f>'Ingest Template'!E302</f>
        <v/>
      </c>
      <c r="E302" s="5"/>
      <c r="F302" s="5"/>
      <c r="G302" s="5"/>
      <c r="H302" s="7"/>
      <c r="I302" s="5"/>
      <c r="J302" s="7" t="str">
        <f>'Ingest Template'!Q302</f>
        <v/>
      </c>
      <c r="K302" s="5" t="str">
        <f>'Ingest Template'!R302</f>
        <v/>
      </c>
      <c r="L302" s="8" t="s">
        <v>38</v>
      </c>
      <c r="M302" s="9"/>
      <c r="N302" s="5"/>
      <c r="O302" s="5"/>
      <c r="P302" s="5"/>
      <c r="Q302" s="5"/>
      <c r="R302" s="5" t="str">
        <f>'Ingest Template'!D302</f>
        <v/>
      </c>
      <c r="S302" s="5" t="str">
        <f>'Ingest Template'!G302</f>
        <v/>
      </c>
      <c r="T302" s="5" t="str">
        <f>'Ingest Template'!H302</f>
        <v/>
      </c>
      <c r="U302" s="5" t="str">
        <f>LOWER(SUBSTITUTE(SUBSTITUTE(SUBSTITUTE(SUBSTITUTE(SUBSTITUTE('Ingest Template'!I302,"https:",""),"www.",""),"/",""),"?hl=en",""),"instagram.com",""))</f>
        <v/>
      </c>
      <c r="V302" s="10" t="str">
        <f>'Ingest Template'!J302</f>
        <v/>
      </c>
      <c r="W302" s="10" t="str">
        <f>'Ingest Template'!K302</f>
        <v/>
      </c>
      <c r="X302" s="5"/>
      <c r="Y302" s="5" t="str">
        <f>SUBSTITUTE(SUBSTITUTE(SUBSTITUTE('Ingest Template'!L302,"http:",""),"https:",""),"/","")</f>
        <v/>
      </c>
      <c r="Z302" s="5" t="str">
        <f t="array" ref="Z302">IF('Ingest Template'!A302="Standard",(IF(ISBLANK('Ingest Template'!M302),"", 'Ingest Template'!M302&amp;"|DAR")),(IF(ISBLANK('Ingest Template'!M302),"", 'Ingest Template'!M302&amp;"|Operations - Core Title")))</f>
        <v/>
      </c>
      <c r="AA302" s="5"/>
      <c r="AB302" s="5" t="str">
        <f>'Ingest Template'!F302</f>
        <v/>
      </c>
      <c r="AC302" s="5"/>
      <c r="AD302" s="5"/>
      <c r="AE302" s="5"/>
      <c r="AF302" s="8"/>
      <c r="AG302" s="5" t="str">
        <f t="array" ref="AG302">IF('Ingest Template'!A302="Standard",(CONCATENATE(IF(ISBLANK('Ingest Template'!N302),"", 'Ingest Template'!N302&amp;"|DAR"),CHAR(10), IF(ISBLANK('Ingest Template'!O302),"", 'Ingest Template'!O302&amp;"|DAR"),CHAR(10), IF(ISBLANK('Ingest Template'!P302),"", 'Ingest Template'!P302&amp;"|DAR"))),(CONCATENATE(IF(ISBLANK('Ingest Template'!N302),"", 'Ingest Template'!N302&amp;"|Operations - Core Title"),CHAR(10), IF(ISBLANK('Ingest Template'!O302),"", 'Ingest Template'!O302&amp;"|Operations - Core Title"),CHAR(10), IF(ISBLANK('Ingest Template'!P302),"", 'Ingest Template'!P302&amp;"|Operations - Core Title"))))</f>
        <v>#|Operations - Core Title
</v>
      </c>
      <c r="AH302" s="5"/>
      <c r="AI302" s="5"/>
      <c r="AJ302" s="5"/>
      <c r="AK302" s="5"/>
      <c r="AL302" s="5"/>
    </row>
    <row r="303">
      <c r="A303" s="5"/>
      <c r="B303" s="5" t="str">
        <f>'Ingest Template'!B303&amp;IF('Ingest Template'!A303 = "Standard", " - DAR","")</f>
        <v/>
      </c>
      <c r="C303" s="6" t="str">
        <f>'Ingest Template'!C303</f>
        <v/>
      </c>
      <c r="D303" s="7" t="str">
        <f>'Ingest Template'!E303</f>
        <v/>
      </c>
      <c r="E303" s="5"/>
      <c r="F303" s="5"/>
      <c r="G303" s="5"/>
      <c r="H303" s="7"/>
      <c r="I303" s="5"/>
      <c r="J303" s="7" t="str">
        <f>'Ingest Template'!Q303</f>
        <v/>
      </c>
      <c r="K303" s="5" t="str">
        <f>'Ingest Template'!R303</f>
        <v/>
      </c>
      <c r="L303" s="8" t="s">
        <v>38</v>
      </c>
      <c r="M303" s="9"/>
      <c r="N303" s="5"/>
      <c r="O303" s="5"/>
      <c r="P303" s="5"/>
      <c r="Q303" s="5"/>
      <c r="R303" s="5" t="str">
        <f>'Ingest Template'!D303</f>
        <v/>
      </c>
      <c r="S303" s="5" t="str">
        <f>'Ingest Template'!G303</f>
        <v/>
      </c>
      <c r="T303" s="5" t="str">
        <f>'Ingest Template'!H303</f>
        <v/>
      </c>
      <c r="U303" s="5" t="str">
        <f>LOWER(SUBSTITUTE(SUBSTITUTE(SUBSTITUTE(SUBSTITUTE(SUBSTITUTE('Ingest Template'!I303,"https:",""),"www.",""),"/",""),"?hl=en",""),"instagram.com",""))</f>
        <v/>
      </c>
      <c r="V303" s="10" t="str">
        <f>'Ingest Template'!J303</f>
        <v/>
      </c>
      <c r="W303" s="10" t="str">
        <f>'Ingest Template'!K303</f>
        <v/>
      </c>
      <c r="X303" s="5"/>
      <c r="Y303" s="5" t="str">
        <f>SUBSTITUTE(SUBSTITUTE(SUBSTITUTE('Ingest Template'!L303,"http:",""),"https:",""),"/","")</f>
        <v/>
      </c>
      <c r="Z303" s="5" t="str">
        <f t="array" ref="Z303">IF('Ingest Template'!A303="Standard",(IF(ISBLANK('Ingest Template'!M303),"", 'Ingest Template'!M303&amp;"|DAR")),(IF(ISBLANK('Ingest Template'!M303),"", 'Ingest Template'!M303&amp;"|Operations - Core Title")))</f>
        <v/>
      </c>
      <c r="AA303" s="5"/>
      <c r="AB303" s="5" t="str">
        <f>'Ingest Template'!F303</f>
        <v/>
      </c>
      <c r="AC303" s="5"/>
      <c r="AD303" s="5"/>
      <c r="AE303" s="5"/>
      <c r="AF303" s="8"/>
      <c r="AG303" s="5" t="str">
        <f t="array" ref="AG303">IF('Ingest Template'!A303="Standard",(CONCATENATE(IF(ISBLANK('Ingest Template'!N303),"", 'Ingest Template'!N303&amp;"|DAR"),CHAR(10), IF(ISBLANK('Ingest Template'!O303),"", 'Ingest Template'!O303&amp;"|DAR"),CHAR(10), IF(ISBLANK('Ingest Template'!P303),"", 'Ingest Template'!P303&amp;"|DAR"))),(CONCATENATE(IF(ISBLANK('Ingest Template'!N303),"", 'Ingest Template'!N303&amp;"|Operations - Core Title"),CHAR(10), IF(ISBLANK('Ingest Template'!O303),"", 'Ingest Template'!O303&amp;"|Operations - Core Title"),CHAR(10), IF(ISBLANK('Ingest Template'!P303),"", 'Ingest Template'!P303&amp;"|Operations - Core Title"))))</f>
        <v>#|Operations - Core Title
</v>
      </c>
      <c r="AH303" s="5"/>
      <c r="AI303" s="5"/>
      <c r="AJ303" s="5"/>
      <c r="AK303" s="5"/>
      <c r="AL303" s="5"/>
    </row>
    <row r="304">
      <c r="A304" s="5"/>
      <c r="B304" s="5" t="str">
        <f>'Ingest Template'!B304&amp;IF('Ingest Template'!A304 = "Standard", " - DAR","")</f>
        <v/>
      </c>
      <c r="C304" s="6" t="str">
        <f>'Ingest Template'!C304</f>
        <v/>
      </c>
      <c r="D304" s="7" t="str">
        <f>'Ingest Template'!E304</f>
        <v/>
      </c>
      <c r="E304" s="5"/>
      <c r="F304" s="5"/>
      <c r="G304" s="5"/>
      <c r="H304" s="7"/>
      <c r="I304" s="5"/>
      <c r="J304" s="7" t="str">
        <f>'Ingest Template'!Q304</f>
        <v/>
      </c>
      <c r="K304" s="5" t="str">
        <f>'Ingest Template'!R304</f>
        <v/>
      </c>
      <c r="L304" s="8" t="s">
        <v>38</v>
      </c>
      <c r="M304" s="9"/>
      <c r="N304" s="5"/>
      <c r="O304" s="5"/>
      <c r="P304" s="5"/>
      <c r="Q304" s="5"/>
      <c r="R304" s="5" t="str">
        <f>'Ingest Template'!D304</f>
        <v/>
      </c>
      <c r="S304" s="5" t="str">
        <f>'Ingest Template'!G304</f>
        <v/>
      </c>
      <c r="T304" s="5" t="str">
        <f>'Ingest Template'!H304</f>
        <v/>
      </c>
      <c r="U304" s="5" t="str">
        <f>LOWER(SUBSTITUTE(SUBSTITUTE(SUBSTITUTE(SUBSTITUTE(SUBSTITUTE('Ingest Template'!I304,"https:",""),"www.",""),"/",""),"?hl=en",""),"instagram.com",""))</f>
        <v/>
      </c>
      <c r="V304" s="10" t="str">
        <f>'Ingest Template'!J304</f>
        <v/>
      </c>
      <c r="W304" s="10" t="str">
        <f>'Ingest Template'!K304</f>
        <v/>
      </c>
      <c r="X304" s="5"/>
      <c r="Y304" s="5" t="str">
        <f>SUBSTITUTE(SUBSTITUTE(SUBSTITUTE('Ingest Template'!L304,"http:",""),"https:",""),"/","")</f>
        <v/>
      </c>
      <c r="Z304" s="5" t="str">
        <f t="array" ref="Z304">IF('Ingest Template'!A304="Standard",(IF(ISBLANK('Ingest Template'!M304),"", 'Ingest Template'!M304&amp;"|DAR")),(IF(ISBLANK('Ingest Template'!M304),"", 'Ingest Template'!M304&amp;"|Operations - Core Title")))</f>
        <v/>
      </c>
      <c r="AA304" s="5"/>
      <c r="AB304" s="5" t="str">
        <f>'Ingest Template'!F304</f>
        <v/>
      </c>
      <c r="AC304" s="5"/>
      <c r="AD304" s="5"/>
      <c r="AE304" s="5"/>
      <c r="AF304" s="8"/>
      <c r="AG304" s="5" t="str">
        <f t="array" ref="AG304">IF('Ingest Template'!A304="Standard",(CONCATENATE(IF(ISBLANK('Ingest Template'!N304),"", 'Ingest Template'!N304&amp;"|DAR"),CHAR(10), IF(ISBLANK('Ingest Template'!O304),"", 'Ingest Template'!O304&amp;"|DAR"),CHAR(10), IF(ISBLANK('Ingest Template'!P304),"", 'Ingest Template'!P304&amp;"|DAR"))),(CONCATENATE(IF(ISBLANK('Ingest Template'!N304),"", 'Ingest Template'!N304&amp;"|Operations - Core Title"),CHAR(10), IF(ISBLANK('Ingest Template'!O304),"", 'Ingest Template'!O304&amp;"|Operations - Core Title"),CHAR(10), IF(ISBLANK('Ingest Template'!P304),"", 'Ingest Template'!P304&amp;"|Operations - Core Title"))))</f>
        <v>#|Operations - Core Title
</v>
      </c>
      <c r="AH304" s="5"/>
      <c r="AI304" s="5"/>
      <c r="AJ304" s="5"/>
      <c r="AK304" s="5"/>
      <c r="AL304" s="5"/>
    </row>
    <row r="305">
      <c r="A305" s="5"/>
      <c r="B305" s="5" t="str">
        <f>'Ingest Template'!B305&amp;IF('Ingest Template'!A305 = "Standard", " - DAR","")</f>
        <v/>
      </c>
      <c r="C305" s="6" t="str">
        <f>'Ingest Template'!C305</f>
        <v/>
      </c>
      <c r="D305" s="7" t="str">
        <f>'Ingest Template'!E305</f>
        <v/>
      </c>
      <c r="E305" s="5"/>
      <c r="F305" s="5"/>
      <c r="G305" s="5"/>
      <c r="H305" s="7"/>
      <c r="I305" s="5"/>
      <c r="J305" s="7" t="str">
        <f>'Ingest Template'!Q305</f>
        <v/>
      </c>
      <c r="K305" s="5" t="str">
        <f>'Ingest Template'!R305</f>
        <v/>
      </c>
      <c r="L305" s="8" t="s">
        <v>38</v>
      </c>
      <c r="M305" s="9"/>
      <c r="N305" s="5"/>
      <c r="O305" s="5"/>
      <c r="P305" s="5"/>
      <c r="Q305" s="5"/>
      <c r="R305" s="5" t="str">
        <f>'Ingest Template'!D305</f>
        <v/>
      </c>
      <c r="S305" s="5" t="str">
        <f>'Ingest Template'!G305</f>
        <v/>
      </c>
      <c r="T305" s="5" t="str">
        <f>'Ingest Template'!H305</f>
        <v/>
      </c>
      <c r="U305" s="5" t="str">
        <f>LOWER(SUBSTITUTE(SUBSTITUTE(SUBSTITUTE(SUBSTITUTE(SUBSTITUTE('Ingest Template'!I305,"https:",""),"www.",""),"/",""),"?hl=en",""),"instagram.com",""))</f>
        <v/>
      </c>
      <c r="V305" s="10" t="str">
        <f>'Ingest Template'!J305</f>
        <v/>
      </c>
      <c r="W305" s="10" t="str">
        <f>'Ingest Template'!K305</f>
        <v/>
      </c>
      <c r="X305" s="5"/>
      <c r="Y305" s="5" t="str">
        <f>SUBSTITUTE(SUBSTITUTE(SUBSTITUTE('Ingest Template'!L305,"http:",""),"https:",""),"/","")</f>
        <v/>
      </c>
      <c r="Z305" s="5" t="str">
        <f t="array" ref="Z305">IF('Ingest Template'!A305="Standard",(IF(ISBLANK('Ingest Template'!M305),"", 'Ingest Template'!M305&amp;"|DAR")),(IF(ISBLANK('Ingest Template'!M305),"", 'Ingest Template'!M305&amp;"|Operations - Core Title")))</f>
        <v/>
      </c>
      <c r="AA305" s="5"/>
      <c r="AB305" s="5" t="str">
        <f>'Ingest Template'!F305</f>
        <v/>
      </c>
      <c r="AC305" s="5"/>
      <c r="AD305" s="5"/>
      <c r="AE305" s="5"/>
      <c r="AF305" s="8"/>
      <c r="AG305" s="5" t="str">
        <f t="array" ref="AG305">IF('Ingest Template'!A305="Standard",(CONCATENATE(IF(ISBLANK('Ingest Template'!N305),"", 'Ingest Template'!N305&amp;"|DAR"),CHAR(10), IF(ISBLANK('Ingest Template'!O305),"", 'Ingest Template'!O305&amp;"|DAR"),CHAR(10), IF(ISBLANK('Ingest Template'!P305),"", 'Ingest Template'!P305&amp;"|DAR"))),(CONCATENATE(IF(ISBLANK('Ingest Template'!N305),"", 'Ingest Template'!N305&amp;"|Operations - Core Title"),CHAR(10), IF(ISBLANK('Ingest Template'!O305),"", 'Ingest Template'!O305&amp;"|Operations - Core Title"),CHAR(10), IF(ISBLANK('Ingest Template'!P305),"", 'Ingest Template'!P305&amp;"|Operations - Core Title"))))</f>
        <v>#|Operations - Core Title
</v>
      </c>
      <c r="AH305" s="5"/>
      <c r="AI305" s="5"/>
      <c r="AJ305" s="5"/>
      <c r="AK305" s="5"/>
      <c r="AL305" s="5"/>
    </row>
    <row r="306">
      <c r="A306" s="5"/>
      <c r="B306" s="5" t="str">
        <f>'Ingest Template'!B306&amp;IF('Ingest Template'!A306 = "Standard", " - DAR","")</f>
        <v/>
      </c>
      <c r="C306" s="6" t="str">
        <f>'Ingest Template'!C306</f>
        <v/>
      </c>
      <c r="D306" s="7" t="str">
        <f>'Ingest Template'!E306</f>
        <v/>
      </c>
      <c r="E306" s="5"/>
      <c r="F306" s="5"/>
      <c r="G306" s="5"/>
      <c r="H306" s="7"/>
      <c r="I306" s="5"/>
      <c r="J306" s="7" t="str">
        <f>'Ingest Template'!Q306</f>
        <v/>
      </c>
      <c r="K306" s="5" t="str">
        <f>'Ingest Template'!R306</f>
        <v/>
      </c>
      <c r="L306" s="8" t="s">
        <v>38</v>
      </c>
      <c r="M306" s="9"/>
      <c r="N306" s="5"/>
      <c r="O306" s="5"/>
      <c r="P306" s="5"/>
      <c r="Q306" s="5"/>
      <c r="R306" s="5" t="str">
        <f>'Ingest Template'!D306</f>
        <v/>
      </c>
      <c r="S306" s="5" t="str">
        <f>'Ingest Template'!G306</f>
        <v/>
      </c>
      <c r="T306" s="5" t="str">
        <f>'Ingest Template'!H306</f>
        <v/>
      </c>
      <c r="U306" s="5" t="str">
        <f>LOWER(SUBSTITUTE(SUBSTITUTE(SUBSTITUTE(SUBSTITUTE(SUBSTITUTE('Ingest Template'!I306,"https:",""),"www.",""),"/",""),"?hl=en",""),"instagram.com",""))</f>
        <v/>
      </c>
      <c r="V306" s="10" t="str">
        <f>'Ingest Template'!J306</f>
        <v/>
      </c>
      <c r="W306" s="10" t="str">
        <f>'Ingest Template'!K306</f>
        <v/>
      </c>
      <c r="X306" s="5"/>
      <c r="Y306" s="5" t="str">
        <f>SUBSTITUTE(SUBSTITUTE(SUBSTITUTE('Ingest Template'!L306,"http:",""),"https:",""),"/","")</f>
        <v/>
      </c>
      <c r="Z306" s="5" t="str">
        <f t="array" ref="Z306">IF('Ingest Template'!A306="Standard",(IF(ISBLANK('Ingest Template'!M306),"", 'Ingest Template'!M306&amp;"|DAR")),(IF(ISBLANK('Ingest Template'!M306),"", 'Ingest Template'!M306&amp;"|Operations - Core Title")))</f>
        <v/>
      </c>
      <c r="AA306" s="5"/>
      <c r="AB306" s="5" t="str">
        <f>'Ingest Template'!F306</f>
        <v/>
      </c>
      <c r="AC306" s="5"/>
      <c r="AD306" s="5"/>
      <c r="AE306" s="5"/>
      <c r="AF306" s="8"/>
      <c r="AG306" s="5" t="str">
        <f t="array" ref="AG306">IF('Ingest Template'!A306="Standard",(CONCATENATE(IF(ISBLANK('Ingest Template'!N306),"", 'Ingest Template'!N306&amp;"|DAR"),CHAR(10), IF(ISBLANK('Ingest Template'!O306),"", 'Ingest Template'!O306&amp;"|DAR"),CHAR(10), IF(ISBLANK('Ingest Template'!P306),"", 'Ingest Template'!P306&amp;"|DAR"))),(CONCATENATE(IF(ISBLANK('Ingest Template'!N306),"", 'Ingest Template'!N306&amp;"|Operations - Core Title"),CHAR(10), IF(ISBLANK('Ingest Template'!O306),"", 'Ingest Template'!O306&amp;"|Operations - Core Title"),CHAR(10), IF(ISBLANK('Ingest Template'!P306),"", 'Ingest Template'!P306&amp;"|Operations - Core Title"))))</f>
        <v>#|Operations - Core Title
</v>
      </c>
      <c r="AH306" s="5"/>
      <c r="AI306" s="5"/>
      <c r="AJ306" s="5"/>
      <c r="AK306" s="5"/>
      <c r="AL306" s="5"/>
    </row>
    <row r="307">
      <c r="A307" s="5"/>
      <c r="B307" s="5" t="str">
        <f>'Ingest Template'!B307&amp;IF('Ingest Template'!A307 = "Standard", " - DAR","")</f>
        <v/>
      </c>
      <c r="C307" s="6" t="str">
        <f>'Ingest Template'!C307</f>
        <v/>
      </c>
      <c r="D307" s="7" t="str">
        <f>'Ingest Template'!E307</f>
        <v/>
      </c>
      <c r="E307" s="5"/>
      <c r="F307" s="5"/>
      <c r="G307" s="5"/>
      <c r="H307" s="7"/>
      <c r="I307" s="5"/>
      <c r="J307" s="7" t="str">
        <f>'Ingest Template'!Q307</f>
        <v/>
      </c>
      <c r="K307" s="5" t="str">
        <f>'Ingest Template'!R307</f>
        <v/>
      </c>
      <c r="L307" s="8" t="s">
        <v>38</v>
      </c>
      <c r="M307" s="9"/>
      <c r="N307" s="5"/>
      <c r="O307" s="5"/>
      <c r="P307" s="5"/>
      <c r="Q307" s="5"/>
      <c r="R307" s="5" t="str">
        <f>'Ingest Template'!D307</f>
        <v/>
      </c>
      <c r="S307" s="5" t="str">
        <f>'Ingest Template'!G307</f>
        <v/>
      </c>
      <c r="T307" s="5" t="str">
        <f>'Ingest Template'!H307</f>
        <v/>
      </c>
      <c r="U307" s="5" t="str">
        <f>LOWER(SUBSTITUTE(SUBSTITUTE(SUBSTITUTE(SUBSTITUTE(SUBSTITUTE('Ingest Template'!I307,"https:",""),"www.",""),"/",""),"?hl=en",""),"instagram.com",""))</f>
        <v/>
      </c>
      <c r="V307" s="10" t="str">
        <f>'Ingest Template'!J307</f>
        <v/>
      </c>
      <c r="W307" s="10" t="str">
        <f>'Ingest Template'!K307</f>
        <v/>
      </c>
      <c r="X307" s="5"/>
      <c r="Y307" s="5" t="str">
        <f>SUBSTITUTE(SUBSTITUTE(SUBSTITUTE('Ingest Template'!L307,"http:",""),"https:",""),"/","")</f>
        <v/>
      </c>
      <c r="Z307" s="5" t="str">
        <f t="array" ref="Z307">IF('Ingest Template'!A307="Standard",(IF(ISBLANK('Ingest Template'!M307),"", 'Ingest Template'!M307&amp;"|DAR")),(IF(ISBLANK('Ingest Template'!M307),"", 'Ingest Template'!M307&amp;"|Operations - Core Title")))</f>
        <v/>
      </c>
      <c r="AA307" s="5"/>
      <c r="AB307" s="5" t="str">
        <f>'Ingest Template'!F307</f>
        <v/>
      </c>
      <c r="AC307" s="5"/>
      <c r="AD307" s="5"/>
      <c r="AE307" s="5"/>
      <c r="AF307" s="8"/>
      <c r="AG307" s="5" t="str">
        <f t="array" ref="AG307">IF('Ingest Template'!A307="Standard",(CONCATENATE(IF(ISBLANK('Ingest Template'!N307),"", 'Ingest Template'!N307&amp;"|DAR"),CHAR(10), IF(ISBLANK('Ingest Template'!O307),"", 'Ingest Template'!O307&amp;"|DAR"),CHAR(10), IF(ISBLANK('Ingest Template'!P307),"", 'Ingest Template'!P307&amp;"|DAR"))),(CONCATENATE(IF(ISBLANK('Ingest Template'!N307),"", 'Ingest Template'!N307&amp;"|Operations - Core Title"),CHAR(10), IF(ISBLANK('Ingest Template'!O307),"", 'Ingest Template'!O307&amp;"|Operations - Core Title"),CHAR(10), IF(ISBLANK('Ingest Template'!P307),"", 'Ingest Template'!P307&amp;"|Operations - Core Title"))))</f>
        <v>#|Operations - Core Title
</v>
      </c>
      <c r="AH307" s="5"/>
      <c r="AI307" s="5"/>
      <c r="AJ307" s="5"/>
      <c r="AK307" s="5"/>
      <c r="AL307" s="5"/>
    </row>
    <row r="308">
      <c r="A308" s="5"/>
      <c r="B308" s="5" t="str">
        <f>'Ingest Template'!B308&amp;IF('Ingest Template'!A308 = "Standard", " - DAR","")</f>
        <v/>
      </c>
      <c r="C308" s="6" t="str">
        <f>'Ingest Template'!C308</f>
        <v/>
      </c>
      <c r="D308" s="7" t="str">
        <f>'Ingest Template'!E308</f>
        <v/>
      </c>
      <c r="E308" s="5"/>
      <c r="F308" s="5"/>
      <c r="G308" s="5"/>
      <c r="H308" s="7"/>
      <c r="I308" s="5"/>
      <c r="J308" s="7" t="str">
        <f>'Ingest Template'!Q308</f>
        <v/>
      </c>
      <c r="K308" s="5" t="str">
        <f>'Ingest Template'!R308</f>
        <v/>
      </c>
      <c r="L308" s="8" t="s">
        <v>38</v>
      </c>
      <c r="M308" s="9"/>
      <c r="N308" s="5"/>
      <c r="O308" s="5"/>
      <c r="P308" s="5"/>
      <c r="Q308" s="5"/>
      <c r="R308" s="5" t="str">
        <f>'Ingest Template'!D308</f>
        <v/>
      </c>
      <c r="S308" s="5" t="str">
        <f>'Ingest Template'!G308</f>
        <v/>
      </c>
      <c r="T308" s="5" t="str">
        <f>'Ingest Template'!H308</f>
        <v/>
      </c>
      <c r="U308" s="5" t="str">
        <f>LOWER(SUBSTITUTE(SUBSTITUTE(SUBSTITUTE(SUBSTITUTE(SUBSTITUTE('Ingest Template'!I308,"https:",""),"www.",""),"/",""),"?hl=en",""),"instagram.com",""))</f>
        <v/>
      </c>
      <c r="V308" s="10" t="str">
        <f>'Ingest Template'!J308</f>
        <v/>
      </c>
      <c r="W308" s="10" t="str">
        <f>'Ingest Template'!K308</f>
        <v/>
      </c>
      <c r="X308" s="5"/>
      <c r="Y308" s="5" t="str">
        <f>SUBSTITUTE(SUBSTITUTE(SUBSTITUTE('Ingest Template'!L308,"http:",""),"https:",""),"/","")</f>
        <v/>
      </c>
      <c r="Z308" s="5" t="str">
        <f t="array" ref="Z308">IF('Ingest Template'!A308="Standard",(IF(ISBLANK('Ingest Template'!M308),"", 'Ingest Template'!M308&amp;"|DAR")),(IF(ISBLANK('Ingest Template'!M308),"", 'Ingest Template'!M308&amp;"|Operations - Core Title")))</f>
        <v/>
      </c>
      <c r="AA308" s="5"/>
      <c r="AB308" s="5" t="str">
        <f>'Ingest Template'!F308</f>
        <v/>
      </c>
      <c r="AC308" s="5"/>
      <c r="AD308" s="5"/>
      <c r="AE308" s="5"/>
      <c r="AF308" s="8"/>
      <c r="AG308" s="5" t="str">
        <f t="array" ref="AG308">IF('Ingest Template'!A308="Standard",(CONCATENATE(IF(ISBLANK('Ingest Template'!N308),"", 'Ingest Template'!N308&amp;"|DAR"),CHAR(10), IF(ISBLANK('Ingest Template'!O308),"", 'Ingest Template'!O308&amp;"|DAR"),CHAR(10), IF(ISBLANK('Ingest Template'!P308),"", 'Ingest Template'!P308&amp;"|DAR"))),(CONCATENATE(IF(ISBLANK('Ingest Template'!N308),"", 'Ingest Template'!N308&amp;"|Operations - Core Title"),CHAR(10), IF(ISBLANK('Ingest Template'!O308),"", 'Ingest Template'!O308&amp;"|Operations - Core Title"),CHAR(10), IF(ISBLANK('Ingest Template'!P308),"", 'Ingest Template'!P308&amp;"|Operations - Core Title"))))</f>
        <v>#|Operations - Core Title
</v>
      </c>
      <c r="AH308" s="5"/>
      <c r="AI308" s="5"/>
      <c r="AJ308" s="5"/>
      <c r="AK308" s="5"/>
      <c r="AL308" s="5"/>
    </row>
    <row r="309">
      <c r="A309" s="5"/>
      <c r="B309" s="5" t="str">
        <f>'Ingest Template'!B309&amp;IF('Ingest Template'!A309 = "Standard", " - DAR","")</f>
        <v/>
      </c>
      <c r="C309" s="6" t="str">
        <f>'Ingest Template'!C309</f>
        <v/>
      </c>
      <c r="D309" s="7" t="str">
        <f>'Ingest Template'!E309</f>
        <v/>
      </c>
      <c r="E309" s="5"/>
      <c r="F309" s="5"/>
      <c r="G309" s="5"/>
      <c r="H309" s="7"/>
      <c r="I309" s="5"/>
      <c r="J309" s="7" t="str">
        <f>'Ingest Template'!Q309</f>
        <v/>
      </c>
      <c r="K309" s="5" t="str">
        <f>'Ingest Template'!R309</f>
        <v/>
      </c>
      <c r="L309" s="8" t="s">
        <v>38</v>
      </c>
      <c r="M309" s="9"/>
      <c r="N309" s="5"/>
      <c r="O309" s="5"/>
      <c r="P309" s="5"/>
      <c r="Q309" s="5"/>
      <c r="R309" s="5" t="str">
        <f>'Ingest Template'!D309</f>
        <v/>
      </c>
      <c r="S309" s="5" t="str">
        <f>'Ingest Template'!G309</f>
        <v/>
      </c>
      <c r="T309" s="5" t="str">
        <f>'Ingest Template'!H309</f>
        <v/>
      </c>
      <c r="U309" s="5" t="str">
        <f>LOWER(SUBSTITUTE(SUBSTITUTE(SUBSTITUTE(SUBSTITUTE(SUBSTITUTE('Ingest Template'!I309,"https:",""),"www.",""),"/",""),"?hl=en",""),"instagram.com",""))</f>
        <v/>
      </c>
      <c r="V309" s="10" t="str">
        <f>'Ingest Template'!J309</f>
        <v/>
      </c>
      <c r="W309" s="10" t="str">
        <f>'Ingest Template'!K309</f>
        <v/>
      </c>
      <c r="X309" s="5"/>
      <c r="Y309" s="5" t="str">
        <f>SUBSTITUTE(SUBSTITUTE(SUBSTITUTE('Ingest Template'!L309,"http:",""),"https:",""),"/","")</f>
        <v/>
      </c>
      <c r="Z309" s="5" t="str">
        <f t="array" ref="Z309">IF('Ingest Template'!A309="Standard",(IF(ISBLANK('Ingest Template'!M309),"", 'Ingest Template'!M309&amp;"|DAR")),(IF(ISBLANK('Ingest Template'!M309),"", 'Ingest Template'!M309&amp;"|Operations - Core Title")))</f>
        <v/>
      </c>
      <c r="AA309" s="5"/>
      <c r="AB309" s="5" t="str">
        <f>'Ingest Template'!F309</f>
        <v/>
      </c>
      <c r="AC309" s="5"/>
      <c r="AD309" s="5"/>
      <c r="AE309" s="5"/>
      <c r="AF309" s="8"/>
      <c r="AG309" s="5" t="str">
        <f t="array" ref="AG309">IF('Ingest Template'!A309="Standard",(CONCATENATE(IF(ISBLANK('Ingest Template'!N309),"", 'Ingest Template'!N309&amp;"|DAR"),CHAR(10), IF(ISBLANK('Ingest Template'!O309),"", 'Ingest Template'!O309&amp;"|DAR"),CHAR(10), IF(ISBLANK('Ingest Template'!P309),"", 'Ingest Template'!P309&amp;"|DAR"))),(CONCATENATE(IF(ISBLANK('Ingest Template'!N309),"", 'Ingest Template'!N309&amp;"|Operations - Core Title"),CHAR(10), IF(ISBLANK('Ingest Template'!O309),"", 'Ingest Template'!O309&amp;"|Operations - Core Title"),CHAR(10), IF(ISBLANK('Ingest Template'!P309),"", 'Ingest Template'!P309&amp;"|Operations - Core Title"))))</f>
        <v>#|Operations - Core Title
</v>
      </c>
      <c r="AH309" s="5"/>
      <c r="AI309" s="5"/>
      <c r="AJ309" s="5"/>
      <c r="AK309" s="5"/>
      <c r="AL309" s="5"/>
    </row>
    <row r="310">
      <c r="A310" s="5"/>
      <c r="B310" s="5" t="str">
        <f>'Ingest Template'!B310&amp;IF('Ingest Template'!A310 = "Standard", " - DAR","")</f>
        <v/>
      </c>
      <c r="C310" s="6" t="str">
        <f>'Ingest Template'!C310</f>
        <v/>
      </c>
      <c r="D310" s="7" t="str">
        <f>'Ingest Template'!E310</f>
        <v/>
      </c>
      <c r="E310" s="5"/>
      <c r="F310" s="5"/>
      <c r="G310" s="5"/>
      <c r="H310" s="7"/>
      <c r="I310" s="5"/>
      <c r="J310" s="7" t="str">
        <f>'Ingest Template'!Q310</f>
        <v/>
      </c>
      <c r="K310" s="5" t="str">
        <f>'Ingest Template'!R310</f>
        <v/>
      </c>
      <c r="L310" s="8" t="s">
        <v>38</v>
      </c>
      <c r="M310" s="9"/>
      <c r="N310" s="5"/>
      <c r="O310" s="5"/>
      <c r="P310" s="5"/>
      <c r="Q310" s="5"/>
      <c r="R310" s="5" t="str">
        <f>'Ingest Template'!D310</f>
        <v/>
      </c>
      <c r="S310" s="5" t="str">
        <f>'Ingest Template'!G310</f>
        <v/>
      </c>
      <c r="T310" s="5" t="str">
        <f>'Ingest Template'!H310</f>
        <v/>
      </c>
      <c r="U310" s="5" t="str">
        <f>LOWER(SUBSTITUTE(SUBSTITUTE(SUBSTITUTE(SUBSTITUTE(SUBSTITUTE('Ingest Template'!I310,"https:",""),"www.",""),"/",""),"?hl=en",""),"instagram.com",""))</f>
        <v/>
      </c>
      <c r="V310" s="10" t="str">
        <f>'Ingest Template'!J310</f>
        <v/>
      </c>
      <c r="W310" s="10" t="str">
        <f>'Ingest Template'!K310</f>
        <v/>
      </c>
      <c r="X310" s="5"/>
      <c r="Y310" s="5" t="str">
        <f>SUBSTITUTE(SUBSTITUTE(SUBSTITUTE('Ingest Template'!L310,"http:",""),"https:",""),"/","")</f>
        <v/>
      </c>
      <c r="Z310" s="5" t="str">
        <f t="array" ref="Z310">IF('Ingest Template'!A310="Standard",(IF(ISBLANK('Ingest Template'!M310),"", 'Ingest Template'!M310&amp;"|DAR")),(IF(ISBLANK('Ingest Template'!M310),"", 'Ingest Template'!M310&amp;"|Operations - Core Title")))</f>
        <v/>
      </c>
      <c r="AA310" s="5"/>
      <c r="AB310" s="5" t="str">
        <f>'Ingest Template'!F310</f>
        <v/>
      </c>
      <c r="AC310" s="5"/>
      <c r="AD310" s="5"/>
      <c r="AE310" s="5"/>
      <c r="AF310" s="8"/>
      <c r="AG310" s="5" t="str">
        <f t="array" ref="AG310">IF('Ingest Template'!A310="Standard",(CONCATENATE(IF(ISBLANK('Ingest Template'!N310),"", 'Ingest Template'!N310&amp;"|DAR"),CHAR(10), IF(ISBLANK('Ingest Template'!O310),"", 'Ingest Template'!O310&amp;"|DAR"),CHAR(10), IF(ISBLANK('Ingest Template'!P310),"", 'Ingest Template'!P310&amp;"|DAR"))),(CONCATENATE(IF(ISBLANK('Ingest Template'!N310),"", 'Ingest Template'!N310&amp;"|Operations - Core Title"),CHAR(10), IF(ISBLANK('Ingest Template'!O310),"", 'Ingest Template'!O310&amp;"|Operations - Core Title"),CHAR(10), IF(ISBLANK('Ingest Template'!P310),"", 'Ingest Template'!P310&amp;"|Operations - Core Title"))))</f>
        <v>#|Operations - Core Title
</v>
      </c>
      <c r="AH310" s="5"/>
      <c r="AI310" s="5"/>
      <c r="AJ310" s="5"/>
      <c r="AK310" s="5"/>
      <c r="AL310" s="5"/>
    </row>
    <row r="311">
      <c r="A311" s="5"/>
      <c r="B311" s="5" t="str">
        <f>'Ingest Template'!B311&amp;IF('Ingest Template'!A311 = "Standard", " - DAR","")</f>
        <v/>
      </c>
      <c r="C311" s="6" t="str">
        <f>'Ingest Template'!C311</f>
        <v/>
      </c>
      <c r="D311" s="7" t="str">
        <f>'Ingest Template'!E311</f>
        <v/>
      </c>
      <c r="E311" s="5"/>
      <c r="F311" s="5"/>
      <c r="G311" s="5"/>
      <c r="H311" s="7"/>
      <c r="I311" s="5"/>
      <c r="J311" s="7" t="str">
        <f>'Ingest Template'!Q311</f>
        <v/>
      </c>
      <c r="K311" s="5" t="str">
        <f>'Ingest Template'!R311</f>
        <v/>
      </c>
      <c r="L311" s="8" t="s">
        <v>38</v>
      </c>
      <c r="M311" s="9"/>
      <c r="N311" s="5"/>
      <c r="O311" s="5"/>
      <c r="P311" s="5"/>
      <c r="Q311" s="5"/>
      <c r="R311" s="5" t="str">
        <f>'Ingest Template'!D311</f>
        <v/>
      </c>
      <c r="S311" s="5" t="str">
        <f>'Ingest Template'!G311</f>
        <v/>
      </c>
      <c r="T311" s="5" t="str">
        <f>'Ingest Template'!H311</f>
        <v/>
      </c>
      <c r="U311" s="5" t="str">
        <f>LOWER(SUBSTITUTE(SUBSTITUTE(SUBSTITUTE(SUBSTITUTE(SUBSTITUTE('Ingest Template'!I311,"https:",""),"www.",""),"/",""),"?hl=en",""),"instagram.com",""))</f>
        <v/>
      </c>
      <c r="V311" s="10" t="str">
        <f>'Ingest Template'!J311</f>
        <v/>
      </c>
      <c r="W311" s="10" t="str">
        <f>'Ingest Template'!K311</f>
        <v/>
      </c>
      <c r="X311" s="5"/>
      <c r="Y311" s="5" t="str">
        <f>SUBSTITUTE(SUBSTITUTE(SUBSTITUTE('Ingest Template'!L311,"http:",""),"https:",""),"/","")</f>
        <v/>
      </c>
      <c r="Z311" s="5" t="str">
        <f t="array" ref="Z311">IF('Ingest Template'!A311="Standard",(IF(ISBLANK('Ingest Template'!M311),"", 'Ingest Template'!M311&amp;"|DAR")),(IF(ISBLANK('Ingest Template'!M311),"", 'Ingest Template'!M311&amp;"|Operations - Core Title")))</f>
        <v/>
      </c>
      <c r="AA311" s="5"/>
      <c r="AB311" s="5" t="str">
        <f>'Ingest Template'!F311</f>
        <v/>
      </c>
      <c r="AC311" s="5"/>
      <c r="AD311" s="5"/>
      <c r="AE311" s="5"/>
      <c r="AF311" s="8"/>
      <c r="AG311" s="5" t="str">
        <f t="array" ref="AG311">IF('Ingest Template'!A311="Standard",(CONCATENATE(IF(ISBLANK('Ingest Template'!N311),"", 'Ingest Template'!N311&amp;"|DAR"),CHAR(10), IF(ISBLANK('Ingest Template'!O311),"", 'Ingest Template'!O311&amp;"|DAR"),CHAR(10), IF(ISBLANK('Ingest Template'!P311),"", 'Ingest Template'!P311&amp;"|DAR"))),(CONCATENATE(IF(ISBLANK('Ingest Template'!N311),"", 'Ingest Template'!N311&amp;"|Operations - Core Title"),CHAR(10), IF(ISBLANK('Ingest Template'!O311),"", 'Ingest Template'!O311&amp;"|Operations - Core Title"),CHAR(10), IF(ISBLANK('Ingest Template'!P311),"", 'Ingest Template'!P311&amp;"|Operations - Core Title"))))</f>
        <v>#|Operations - Core Title
</v>
      </c>
      <c r="AH311" s="5"/>
      <c r="AI311" s="5"/>
      <c r="AJ311" s="5"/>
      <c r="AK311" s="5"/>
      <c r="AL311" s="5"/>
    </row>
    <row r="312">
      <c r="A312" s="5"/>
      <c r="B312" s="5" t="str">
        <f>'Ingest Template'!B312&amp;IF('Ingest Template'!A312 = "Standard", " - DAR","")</f>
        <v/>
      </c>
      <c r="C312" s="6" t="str">
        <f>'Ingest Template'!C312</f>
        <v/>
      </c>
      <c r="D312" s="7" t="str">
        <f>'Ingest Template'!E312</f>
        <v/>
      </c>
      <c r="E312" s="5"/>
      <c r="F312" s="5"/>
      <c r="G312" s="5"/>
      <c r="H312" s="7"/>
      <c r="I312" s="5"/>
      <c r="J312" s="7" t="str">
        <f>'Ingest Template'!Q312</f>
        <v/>
      </c>
      <c r="K312" s="5" t="str">
        <f>'Ingest Template'!R312</f>
        <v/>
      </c>
      <c r="L312" s="8" t="s">
        <v>38</v>
      </c>
      <c r="M312" s="9"/>
      <c r="N312" s="5"/>
      <c r="O312" s="5"/>
      <c r="P312" s="5"/>
      <c r="Q312" s="5"/>
      <c r="R312" s="5" t="str">
        <f>'Ingest Template'!D312</f>
        <v/>
      </c>
      <c r="S312" s="5" t="str">
        <f>'Ingest Template'!G312</f>
        <v/>
      </c>
      <c r="T312" s="5" t="str">
        <f>'Ingest Template'!H312</f>
        <v/>
      </c>
      <c r="U312" s="5" t="str">
        <f>LOWER(SUBSTITUTE(SUBSTITUTE(SUBSTITUTE(SUBSTITUTE(SUBSTITUTE('Ingest Template'!I312,"https:",""),"www.",""),"/",""),"?hl=en",""),"instagram.com",""))</f>
        <v/>
      </c>
      <c r="V312" s="10" t="str">
        <f>'Ingest Template'!J312</f>
        <v/>
      </c>
      <c r="W312" s="10" t="str">
        <f>'Ingest Template'!K312</f>
        <v/>
      </c>
      <c r="X312" s="5"/>
      <c r="Y312" s="5" t="str">
        <f>SUBSTITUTE(SUBSTITUTE(SUBSTITUTE('Ingest Template'!L312,"http:",""),"https:",""),"/","")</f>
        <v/>
      </c>
      <c r="Z312" s="5" t="str">
        <f t="array" ref="Z312">IF('Ingest Template'!A312="Standard",(IF(ISBLANK('Ingest Template'!M312),"", 'Ingest Template'!M312&amp;"|DAR")),(IF(ISBLANK('Ingest Template'!M312),"", 'Ingest Template'!M312&amp;"|Operations - Core Title")))</f>
        <v/>
      </c>
      <c r="AA312" s="5"/>
      <c r="AB312" s="5" t="str">
        <f>'Ingest Template'!F312</f>
        <v/>
      </c>
      <c r="AC312" s="5"/>
      <c r="AD312" s="5"/>
      <c r="AE312" s="5"/>
      <c r="AF312" s="8"/>
      <c r="AG312" s="5" t="str">
        <f t="array" ref="AG312">IF('Ingest Template'!A312="Standard",(CONCATENATE(IF(ISBLANK('Ingest Template'!N312),"", 'Ingest Template'!N312&amp;"|DAR"),CHAR(10), IF(ISBLANK('Ingest Template'!O312),"", 'Ingest Template'!O312&amp;"|DAR"),CHAR(10), IF(ISBLANK('Ingest Template'!P312),"", 'Ingest Template'!P312&amp;"|DAR"))),(CONCATENATE(IF(ISBLANK('Ingest Template'!N312),"", 'Ingest Template'!N312&amp;"|Operations - Core Title"),CHAR(10), IF(ISBLANK('Ingest Template'!O312),"", 'Ingest Template'!O312&amp;"|Operations - Core Title"),CHAR(10), IF(ISBLANK('Ingest Template'!P312),"", 'Ingest Template'!P312&amp;"|Operations - Core Title"))))</f>
        <v>#|Operations - Core Title
</v>
      </c>
      <c r="AH312" s="5"/>
      <c r="AI312" s="5"/>
      <c r="AJ312" s="5"/>
      <c r="AK312" s="5"/>
      <c r="AL312" s="5"/>
    </row>
    <row r="313">
      <c r="A313" s="5"/>
      <c r="B313" s="5" t="str">
        <f>'Ingest Template'!B313&amp;IF('Ingest Template'!A313 = "Standard", " - DAR","")</f>
        <v/>
      </c>
      <c r="C313" s="6" t="str">
        <f>'Ingest Template'!C313</f>
        <v/>
      </c>
      <c r="D313" s="7" t="str">
        <f>'Ingest Template'!E313</f>
        <v/>
      </c>
      <c r="E313" s="5"/>
      <c r="F313" s="5"/>
      <c r="G313" s="5"/>
      <c r="H313" s="7"/>
      <c r="I313" s="5"/>
      <c r="J313" s="7" t="str">
        <f>'Ingest Template'!Q313</f>
        <v/>
      </c>
      <c r="K313" s="5" t="str">
        <f>'Ingest Template'!R313</f>
        <v/>
      </c>
      <c r="L313" s="8" t="s">
        <v>38</v>
      </c>
      <c r="M313" s="9"/>
      <c r="N313" s="5"/>
      <c r="O313" s="5"/>
      <c r="P313" s="5"/>
      <c r="Q313" s="5"/>
      <c r="R313" s="5" t="str">
        <f>'Ingest Template'!D313</f>
        <v/>
      </c>
      <c r="S313" s="5" t="str">
        <f>'Ingest Template'!G313</f>
        <v/>
      </c>
      <c r="T313" s="5" t="str">
        <f>'Ingest Template'!H313</f>
        <v/>
      </c>
      <c r="U313" s="5" t="str">
        <f>LOWER(SUBSTITUTE(SUBSTITUTE(SUBSTITUTE(SUBSTITUTE(SUBSTITUTE('Ingest Template'!I313,"https:",""),"www.",""),"/",""),"?hl=en",""),"instagram.com",""))</f>
        <v/>
      </c>
      <c r="V313" s="10" t="str">
        <f>'Ingest Template'!J313</f>
        <v/>
      </c>
      <c r="W313" s="10" t="str">
        <f>'Ingest Template'!K313</f>
        <v/>
      </c>
      <c r="X313" s="5"/>
      <c r="Y313" s="5" t="str">
        <f>SUBSTITUTE(SUBSTITUTE(SUBSTITUTE('Ingest Template'!L313,"http:",""),"https:",""),"/","")</f>
        <v/>
      </c>
      <c r="Z313" s="5" t="str">
        <f t="array" ref="Z313">IF('Ingest Template'!A313="Standard",(IF(ISBLANK('Ingest Template'!M313),"", 'Ingest Template'!M313&amp;"|DAR")),(IF(ISBLANK('Ingest Template'!M313),"", 'Ingest Template'!M313&amp;"|Operations - Core Title")))</f>
        <v/>
      </c>
      <c r="AA313" s="5"/>
      <c r="AB313" s="5" t="str">
        <f>'Ingest Template'!F313</f>
        <v/>
      </c>
      <c r="AC313" s="5"/>
      <c r="AD313" s="5"/>
      <c r="AE313" s="5"/>
      <c r="AF313" s="8"/>
      <c r="AG313" s="5" t="str">
        <f t="array" ref="AG313">IF('Ingest Template'!A313="Standard",(CONCATENATE(IF(ISBLANK('Ingest Template'!N313),"", 'Ingest Template'!N313&amp;"|DAR"),CHAR(10), IF(ISBLANK('Ingest Template'!O313),"", 'Ingest Template'!O313&amp;"|DAR"),CHAR(10), IF(ISBLANK('Ingest Template'!P313),"", 'Ingest Template'!P313&amp;"|DAR"))),(CONCATENATE(IF(ISBLANK('Ingest Template'!N313),"", 'Ingest Template'!N313&amp;"|Operations - Core Title"),CHAR(10), IF(ISBLANK('Ingest Template'!O313),"", 'Ingest Template'!O313&amp;"|Operations - Core Title"),CHAR(10), IF(ISBLANK('Ingest Template'!P313),"", 'Ingest Template'!P313&amp;"|Operations - Core Title"))))</f>
        <v>#|Operations - Core Title
</v>
      </c>
      <c r="AH313" s="5"/>
      <c r="AI313" s="5"/>
      <c r="AJ313" s="5"/>
      <c r="AK313" s="5"/>
      <c r="AL313" s="5"/>
    </row>
    <row r="314">
      <c r="A314" s="5"/>
      <c r="B314" s="5" t="str">
        <f>'Ingest Template'!B314&amp;IF('Ingest Template'!A314 = "Standard", " - DAR","")</f>
        <v/>
      </c>
      <c r="C314" s="6" t="str">
        <f>'Ingest Template'!C314</f>
        <v/>
      </c>
      <c r="D314" s="7" t="str">
        <f>'Ingest Template'!E314</f>
        <v/>
      </c>
      <c r="E314" s="5"/>
      <c r="F314" s="5"/>
      <c r="G314" s="5"/>
      <c r="H314" s="7"/>
      <c r="I314" s="5"/>
      <c r="J314" s="7" t="str">
        <f>'Ingest Template'!Q314</f>
        <v/>
      </c>
      <c r="K314" s="5" t="str">
        <f>'Ingest Template'!R314</f>
        <v/>
      </c>
      <c r="L314" s="8" t="s">
        <v>38</v>
      </c>
      <c r="M314" s="9"/>
      <c r="N314" s="5"/>
      <c r="O314" s="5"/>
      <c r="P314" s="5"/>
      <c r="Q314" s="5"/>
      <c r="R314" s="5" t="str">
        <f>'Ingest Template'!D314</f>
        <v/>
      </c>
      <c r="S314" s="5" t="str">
        <f>'Ingest Template'!G314</f>
        <v/>
      </c>
      <c r="T314" s="5" t="str">
        <f>'Ingest Template'!H314</f>
        <v/>
      </c>
      <c r="U314" s="5" t="str">
        <f>LOWER(SUBSTITUTE(SUBSTITUTE(SUBSTITUTE(SUBSTITUTE(SUBSTITUTE('Ingest Template'!I314,"https:",""),"www.",""),"/",""),"?hl=en",""),"instagram.com",""))</f>
        <v/>
      </c>
      <c r="V314" s="10" t="str">
        <f>'Ingest Template'!J314</f>
        <v/>
      </c>
      <c r="W314" s="10" t="str">
        <f>'Ingest Template'!K314</f>
        <v/>
      </c>
      <c r="X314" s="5"/>
      <c r="Y314" s="5" t="str">
        <f>SUBSTITUTE(SUBSTITUTE(SUBSTITUTE('Ingest Template'!L314,"http:",""),"https:",""),"/","")</f>
        <v/>
      </c>
      <c r="Z314" s="5" t="str">
        <f t="array" ref="Z314">IF('Ingest Template'!A314="Standard",(IF(ISBLANK('Ingest Template'!M314),"", 'Ingest Template'!M314&amp;"|DAR")),(IF(ISBLANK('Ingest Template'!M314),"", 'Ingest Template'!M314&amp;"|Operations - Core Title")))</f>
        <v/>
      </c>
      <c r="AA314" s="5"/>
      <c r="AB314" s="5" t="str">
        <f>'Ingest Template'!F314</f>
        <v/>
      </c>
      <c r="AC314" s="5"/>
      <c r="AD314" s="5"/>
      <c r="AE314" s="5"/>
      <c r="AF314" s="8"/>
      <c r="AG314" s="5" t="str">
        <f t="array" ref="AG314">IF('Ingest Template'!A314="Standard",(CONCATENATE(IF(ISBLANK('Ingest Template'!N314),"", 'Ingest Template'!N314&amp;"|DAR"),CHAR(10), IF(ISBLANK('Ingest Template'!O314),"", 'Ingest Template'!O314&amp;"|DAR"),CHAR(10), IF(ISBLANK('Ingest Template'!P314),"", 'Ingest Template'!P314&amp;"|DAR"))),(CONCATENATE(IF(ISBLANK('Ingest Template'!N314),"", 'Ingest Template'!N314&amp;"|Operations - Core Title"),CHAR(10), IF(ISBLANK('Ingest Template'!O314),"", 'Ingest Template'!O314&amp;"|Operations - Core Title"),CHAR(10), IF(ISBLANK('Ingest Template'!P314),"", 'Ingest Template'!P314&amp;"|Operations - Core Title"))))</f>
        <v>#|Operations - Core Title
</v>
      </c>
      <c r="AH314" s="5"/>
      <c r="AI314" s="5"/>
      <c r="AJ314" s="5"/>
      <c r="AK314" s="5"/>
      <c r="AL314" s="5"/>
    </row>
    <row r="315">
      <c r="A315" s="5"/>
      <c r="B315" s="5" t="str">
        <f>'Ingest Template'!B315&amp;IF('Ingest Template'!A315 = "Standard", " - DAR","")</f>
        <v/>
      </c>
      <c r="C315" s="6" t="str">
        <f>'Ingest Template'!C315</f>
        <v/>
      </c>
      <c r="D315" s="7" t="str">
        <f>'Ingest Template'!E315</f>
        <v/>
      </c>
      <c r="E315" s="5"/>
      <c r="F315" s="5"/>
      <c r="G315" s="5"/>
      <c r="H315" s="7"/>
      <c r="I315" s="5"/>
      <c r="J315" s="7" t="str">
        <f>'Ingest Template'!Q315</f>
        <v/>
      </c>
      <c r="K315" s="5" t="str">
        <f>'Ingest Template'!R315</f>
        <v/>
      </c>
      <c r="L315" s="8" t="s">
        <v>38</v>
      </c>
      <c r="M315" s="9"/>
      <c r="N315" s="5"/>
      <c r="O315" s="5"/>
      <c r="P315" s="5"/>
      <c r="Q315" s="5"/>
      <c r="R315" s="5" t="str">
        <f>'Ingest Template'!D315</f>
        <v/>
      </c>
      <c r="S315" s="5" t="str">
        <f>'Ingest Template'!G315</f>
        <v/>
      </c>
      <c r="T315" s="5" t="str">
        <f>'Ingest Template'!H315</f>
        <v/>
      </c>
      <c r="U315" s="5" t="str">
        <f>LOWER(SUBSTITUTE(SUBSTITUTE(SUBSTITUTE(SUBSTITUTE(SUBSTITUTE('Ingest Template'!I315,"https:",""),"www.",""),"/",""),"?hl=en",""),"instagram.com",""))</f>
        <v/>
      </c>
      <c r="V315" s="10" t="str">
        <f>'Ingest Template'!J315</f>
        <v/>
      </c>
      <c r="W315" s="10" t="str">
        <f>'Ingest Template'!K315</f>
        <v/>
      </c>
      <c r="X315" s="5"/>
      <c r="Y315" s="5" t="str">
        <f>SUBSTITUTE(SUBSTITUTE(SUBSTITUTE('Ingest Template'!L315,"http:",""),"https:",""),"/","")</f>
        <v/>
      </c>
      <c r="Z315" s="5" t="str">
        <f t="array" ref="Z315">IF('Ingest Template'!A315="Standard",(IF(ISBLANK('Ingest Template'!M315),"", 'Ingest Template'!M315&amp;"|DAR")),(IF(ISBLANK('Ingest Template'!M315),"", 'Ingest Template'!M315&amp;"|Operations - Core Title")))</f>
        <v/>
      </c>
      <c r="AA315" s="5"/>
      <c r="AB315" s="5" t="str">
        <f>'Ingest Template'!F315</f>
        <v/>
      </c>
      <c r="AC315" s="5"/>
      <c r="AD315" s="5"/>
      <c r="AE315" s="5"/>
      <c r="AF315" s="8"/>
      <c r="AG315" s="5" t="str">
        <f t="array" ref="AG315">IF('Ingest Template'!A315="Standard",(CONCATENATE(IF(ISBLANK('Ingest Template'!N315),"", 'Ingest Template'!N315&amp;"|DAR"),CHAR(10), IF(ISBLANK('Ingest Template'!O315),"", 'Ingest Template'!O315&amp;"|DAR"),CHAR(10), IF(ISBLANK('Ingest Template'!P315),"", 'Ingest Template'!P315&amp;"|DAR"))),(CONCATENATE(IF(ISBLANK('Ingest Template'!N315),"", 'Ingest Template'!N315&amp;"|Operations - Core Title"),CHAR(10), IF(ISBLANK('Ingest Template'!O315),"", 'Ingest Template'!O315&amp;"|Operations - Core Title"),CHAR(10), IF(ISBLANK('Ingest Template'!P315),"", 'Ingest Template'!P315&amp;"|Operations - Core Title"))))</f>
        <v>#|Operations - Core Title
</v>
      </c>
      <c r="AH315" s="5"/>
      <c r="AI315" s="5"/>
      <c r="AJ315" s="5"/>
      <c r="AK315" s="5"/>
      <c r="AL315" s="5"/>
    </row>
    <row r="316">
      <c r="A316" s="5"/>
      <c r="B316" s="5" t="str">
        <f>'Ingest Template'!B316&amp;IF('Ingest Template'!A316 = "Standard", " - DAR","")</f>
        <v/>
      </c>
      <c r="C316" s="6" t="str">
        <f>'Ingest Template'!C316</f>
        <v/>
      </c>
      <c r="D316" s="7" t="str">
        <f>'Ingest Template'!E316</f>
        <v/>
      </c>
      <c r="E316" s="5"/>
      <c r="F316" s="5"/>
      <c r="G316" s="5"/>
      <c r="H316" s="7"/>
      <c r="I316" s="5"/>
      <c r="J316" s="7" t="str">
        <f>'Ingest Template'!Q316</f>
        <v/>
      </c>
      <c r="K316" s="5" t="str">
        <f>'Ingest Template'!R316</f>
        <v/>
      </c>
      <c r="L316" s="8" t="s">
        <v>38</v>
      </c>
      <c r="M316" s="9"/>
      <c r="N316" s="5"/>
      <c r="O316" s="5"/>
      <c r="P316" s="5"/>
      <c r="Q316" s="5"/>
      <c r="R316" s="5" t="str">
        <f>'Ingest Template'!D316</f>
        <v/>
      </c>
      <c r="S316" s="5" t="str">
        <f>'Ingest Template'!G316</f>
        <v/>
      </c>
      <c r="T316" s="5" t="str">
        <f>'Ingest Template'!H316</f>
        <v/>
      </c>
      <c r="U316" s="5" t="str">
        <f>LOWER(SUBSTITUTE(SUBSTITUTE(SUBSTITUTE(SUBSTITUTE(SUBSTITUTE('Ingest Template'!I316,"https:",""),"www.",""),"/",""),"?hl=en",""),"instagram.com",""))</f>
        <v/>
      </c>
      <c r="V316" s="10" t="str">
        <f>'Ingest Template'!J316</f>
        <v/>
      </c>
      <c r="W316" s="10" t="str">
        <f>'Ingest Template'!K316</f>
        <v/>
      </c>
      <c r="X316" s="5"/>
      <c r="Y316" s="5" t="str">
        <f>SUBSTITUTE(SUBSTITUTE(SUBSTITUTE('Ingest Template'!L316,"http:",""),"https:",""),"/","")</f>
        <v/>
      </c>
      <c r="Z316" s="5" t="str">
        <f t="array" ref="Z316">IF('Ingest Template'!A316="Standard",(IF(ISBLANK('Ingest Template'!M316),"", 'Ingest Template'!M316&amp;"|DAR")),(IF(ISBLANK('Ingest Template'!M316),"", 'Ingest Template'!M316&amp;"|Operations - Core Title")))</f>
        <v/>
      </c>
      <c r="AA316" s="5"/>
      <c r="AB316" s="5" t="str">
        <f>'Ingest Template'!F316</f>
        <v/>
      </c>
      <c r="AC316" s="5"/>
      <c r="AD316" s="5"/>
      <c r="AE316" s="5"/>
      <c r="AF316" s="8"/>
      <c r="AG316" s="5" t="str">
        <f t="array" ref="AG316">IF('Ingest Template'!A316="Standard",(CONCATENATE(IF(ISBLANK('Ingest Template'!N316),"", 'Ingest Template'!N316&amp;"|DAR"),CHAR(10), IF(ISBLANK('Ingest Template'!O316),"", 'Ingest Template'!O316&amp;"|DAR"),CHAR(10), IF(ISBLANK('Ingest Template'!P316),"", 'Ingest Template'!P316&amp;"|DAR"))),(CONCATENATE(IF(ISBLANK('Ingest Template'!N316),"", 'Ingest Template'!N316&amp;"|Operations - Core Title"),CHAR(10), IF(ISBLANK('Ingest Template'!O316),"", 'Ingest Template'!O316&amp;"|Operations - Core Title"),CHAR(10), IF(ISBLANK('Ingest Template'!P316),"", 'Ingest Template'!P316&amp;"|Operations - Core Title"))))</f>
        <v>#|Operations - Core Title
</v>
      </c>
      <c r="AH316" s="5"/>
      <c r="AI316" s="5"/>
      <c r="AJ316" s="5"/>
      <c r="AK316" s="5"/>
      <c r="AL316" s="5"/>
    </row>
    <row r="317">
      <c r="A317" s="5"/>
      <c r="B317" s="5" t="str">
        <f>'Ingest Template'!B317&amp;IF('Ingest Template'!A317 = "Standard", " - DAR","")</f>
        <v/>
      </c>
      <c r="C317" s="6" t="str">
        <f>'Ingest Template'!C317</f>
        <v/>
      </c>
      <c r="D317" s="7" t="str">
        <f>'Ingest Template'!E317</f>
        <v/>
      </c>
      <c r="E317" s="5"/>
      <c r="F317" s="5"/>
      <c r="G317" s="5"/>
      <c r="H317" s="7"/>
      <c r="I317" s="5"/>
      <c r="J317" s="7" t="str">
        <f>'Ingest Template'!Q317</f>
        <v/>
      </c>
      <c r="K317" s="5" t="str">
        <f>'Ingest Template'!R317</f>
        <v/>
      </c>
      <c r="L317" s="8" t="s">
        <v>38</v>
      </c>
      <c r="M317" s="9"/>
      <c r="N317" s="5"/>
      <c r="O317" s="5"/>
      <c r="P317" s="5"/>
      <c r="Q317" s="5"/>
      <c r="R317" s="5" t="str">
        <f>'Ingest Template'!D317</f>
        <v/>
      </c>
      <c r="S317" s="5" t="str">
        <f>'Ingest Template'!G317</f>
        <v/>
      </c>
      <c r="T317" s="5" t="str">
        <f>'Ingest Template'!H317</f>
        <v/>
      </c>
      <c r="U317" s="5" t="str">
        <f>LOWER(SUBSTITUTE(SUBSTITUTE(SUBSTITUTE(SUBSTITUTE(SUBSTITUTE('Ingest Template'!I317,"https:",""),"www.",""),"/",""),"?hl=en",""),"instagram.com",""))</f>
        <v/>
      </c>
      <c r="V317" s="10" t="str">
        <f>'Ingest Template'!J317</f>
        <v/>
      </c>
      <c r="W317" s="10" t="str">
        <f>'Ingest Template'!K317</f>
        <v/>
      </c>
      <c r="X317" s="5"/>
      <c r="Y317" s="5" t="str">
        <f>SUBSTITUTE(SUBSTITUTE(SUBSTITUTE('Ingest Template'!L317,"http:",""),"https:",""),"/","")</f>
        <v/>
      </c>
      <c r="Z317" s="5" t="str">
        <f t="array" ref="Z317">IF('Ingest Template'!A317="Standard",(IF(ISBLANK('Ingest Template'!M317),"", 'Ingest Template'!M317&amp;"|DAR")),(IF(ISBLANK('Ingest Template'!M317),"", 'Ingest Template'!M317&amp;"|Operations - Core Title")))</f>
        <v/>
      </c>
      <c r="AA317" s="5"/>
      <c r="AB317" s="5" t="str">
        <f>'Ingest Template'!F317</f>
        <v/>
      </c>
      <c r="AC317" s="5"/>
      <c r="AD317" s="5"/>
      <c r="AE317" s="5"/>
      <c r="AF317" s="8"/>
      <c r="AG317" s="5" t="str">
        <f t="array" ref="AG317">IF('Ingest Template'!A317="Standard",(CONCATENATE(IF(ISBLANK('Ingest Template'!N317),"", 'Ingest Template'!N317&amp;"|DAR"),CHAR(10), IF(ISBLANK('Ingest Template'!O317),"", 'Ingest Template'!O317&amp;"|DAR"),CHAR(10), IF(ISBLANK('Ingest Template'!P317),"", 'Ingest Template'!P317&amp;"|DAR"))),(CONCATENATE(IF(ISBLANK('Ingest Template'!N317),"", 'Ingest Template'!N317&amp;"|Operations - Core Title"),CHAR(10), IF(ISBLANK('Ingest Template'!O317),"", 'Ingest Template'!O317&amp;"|Operations - Core Title"),CHAR(10), IF(ISBLANK('Ingest Template'!P317),"", 'Ingest Template'!P317&amp;"|Operations - Core Title"))))</f>
        <v>#|Operations - Core Title
</v>
      </c>
      <c r="AH317" s="5"/>
      <c r="AI317" s="5"/>
      <c r="AJ317" s="5"/>
      <c r="AK317" s="5"/>
      <c r="AL317" s="5"/>
    </row>
    <row r="318">
      <c r="A318" s="5"/>
      <c r="B318" s="5" t="str">
        <f>'Ingest Template'!B318&amp;IF('Ingest Template'!A318 = "Standard", " - DAR","")</f>
        <v/>
      </c>
      <c r="C318" s="6" t="str">
        <f>'Ingest Template'!C318</f>
        <v/>
      </c>
      <c r="D318" s="7" t="str">
        <f>'Ingest Template'!E318</f>
        <v/>
      </c>
      <c r="E318" s="5"/>
      <c r="F318" s="5"/>
      <c r="G318" s="5"/>
      <c r="H318" s="7"/>
      <c r="I318" s="5"/>
      <c r="J318" s="7" t="str">
        <f>'Ingest Template'!Q318</f>
        <v/>
      </c>
      <c r="K318" s="5" t="str">
        <f>'Ingest Template'!R318</f>
        <v/>
      </c>
      <c r="L318" s="8" t="s">
        <v>38</v>
      </c>
      <c r="M318" s="9"/>
      <c r="N318" s="5"/>
      <c r="O318" s="5"/>
      <c r="P318" s="5"/>
      <c r="Q318" s="5"/>
      <c r="R318" s="5" t="str">
        <f>'Ingest Template'!D318</f>
        <v/>
      </c>
      <c r="S318" s="5" t="str">
        <f>'Ingest Template'!G318</f>
        <v/>
      </c>
      <c r="T318" s="5" t="str">
        <f>'Ingest Template'!H318</f>
        <v/>
      </c>
      <c r="U318" s="5" t="str">
        <f>LOWER(SUBSTITUTE(SUBSTITUTE(SUBSTITUTE(SUBSTITUTE(SUBSTITUTE('Ingest Template'!I318,"https:",""),"www.",""),"/",""),"?hl=en",""),"instagram.com",""))</f>
        <v/>
      </c>
      <c r="V318" s="10" t="str">
        <f>'Ingest Template'!J318</f>
        <v/>
      </c>
      <c r="W318" s="10" t="str">
        <f>'Ingest Template'!K318</f>
        <v/>
      </c>
      <c r="X318" s="5"/>
      <c r="Y318" s="5" t="str">
        <f>SUBSTITUTE(SUBSTITUTE(SUBSTITUTE('Ingest Template'!L318,"http:",""),"https:",""),"/","")</f>
        <v/>
      </c>
      <c r="Z318" s="5" t="str">
        <f t="array" ref="Z318">IF('Ingest Template'!A318="Standard",(IF(ISBLANK('Ingest Template'!M318),"", 'Ingest Template'!M318&amp;"|DAR")),(IF(ISBLANK('Ingest Template'!M318),"", 'Ingest Template'!M318&amp;"|Operations - Core Title")))</f>
        <v/>
      </c>
      <c r="AA318" s="5"/>
      <c r="AB318" s="5" t="str">
        <f>'Ingest Template'!F318</f>
        <v/>
      </c>
      <c r="AC318" s="5"/>
      <c r="AD318" s="5"/>
      <c r="AE318" s="5"/>
      <c r="AF318" s="8"/>
      <c r="AG318" s="5" t="str">
        <f t="array" ref="AG318">IF('Ingest Template'!A318="Standard",(CONCATENATE(IF(ISBLANK('Ingest Template'!N318),"", 'Ingest Template'!N318&amp;"|DAR"),CHAR(10), IF(ISBLANK('Ingest Template'!O318),"", 'Ingest Template'!O318&amp;"|DAR"),CHAR(10), IF(ISBLANK('Ingest Template'!P318),"", 'Ingest Template'!P318&amp;"|DAR"))),(CONCATENATE(IF(ISBLANK('Ingest Template'!N318),"", 'Ingest Template'!N318&amp;"|Operations - Core Title"),CHAR(10), IF(ISBLANK('Ingest Template'!O318),"", 'Ingest Template'!O318&amp;"|Operations - Core Title"),CHAR(10), IF(ISBLANK('Ingest Template'!P318),"", 'Ingest Template'!P318&amp;"|Operations - Core Title"))))</f>
        <v>#|Operations - Core Title
</v>
      </c>
      <c r="AH318" s="5"/>
      <c r="AI318" s="5"/>
      <c r="AJ318" s="5"/>
      <c r="AK318" s="5"/>
      <c r="AL318" s="5"/>
    </row>
    <row r="319">
      <c r="A319" s="5"/>
      <c r="B319" s="5" t="str">
        <f>'Ingest Template'!B319&amp;IF('Ingest Template'!A319 = "Standard", " - DAR","")</f>
        <v/>
      </c>
      <c r="C319" s="6" t="str">
        <f>'Ingest Template'!C319</f>
        <v/>
      </c>
      <c r="D319" s="7" t="str">
        <f>'Ingest Template'!E319</f>
        <v/>
      </c>
      <c r="E319" s="5"/>
      <c r="F319" s="5"/>
      <c r="G319" s="5"/>
      <c r="H319" s="7"/>
      <c r="I319" s="5"/>
      <c r="J319" s="7" t="str">
        <f>'Ingest Template'!Q319</f>
        <v/>
      </c>
      <c r="K319" s="5" t="str">
        <f>'Ingest Template'!R319</f>
        <v/>
      </c>
      <c r="L319" s="8" t="s">
        <v>38</v>
      </c>
      <c r="M319" s="9"/>
      <c r="N319" s="5"/>
      <c r="O319" s="5"/>
      <c r="P319" s="5"/>
      <c r="Q319" s="5"/>
      <c r="R319" s="5" t="str">
        <f>'Ingest Template'!D319</f>
        <v/>
      </c>
      <c r="S319" s="5" t="str">
        <f>'Ingest Template'!G319</f>
        <v/>
      </c>
      <c r="T319" s="5" t="str">
        <f>'Ingest Template'!H319</f>
        <v/>
      </c>
      <c r="U319" s="5" t="str">
        <f>LOWER(SUBSTITUTE(SUBSTITUTE(SUBSTITUTE(SUBSTITUTE(SUBSTITUTE('Ingest Template'!I319,"https:",""),"www.",""),"/",""),"?hl=en",""),"instagram.com",""))</f>
        <v/>
      </c>
      <c r="V319" s="10" t="str">
        <f>'Ingest Template'!J319</f>
        <v/>
      </c>
      <c r="W319" s="10" t="str">
        <f>'Ingest Template'!K319</f>
        <v/>
      </c>
      <c r="X319" s="5"/>
      <c r="Y319" s="5" t="str">
        <f>SUBSTITUTE(SUBSTITUTE(SUBSTITUTE('Ingest Template'!L319,"http:",""),"https:",""),"/","")</f>
        <v/>
      </c>
      <c r="Z319" s="5" t="str">
        <f t="array" ref="Z319">IF('Ingest Template'!A319="Standard",(IF(ISBLANK('Ingest Template'!M319),"", 'Ingest Template'!M319&amp;"|DAR")),(IF(ISBLANK('Ingest Template'!M319),"", 'Ingest Template'!M319&amp;"|Operations - Core Title")))</f>
        <v/>
      </c>
      <c r="AA319" s="5"/>
      <c r="AB319" s="5" t="str">
        <f>'Ingest Template'!F319</f>
        <v/>
      </c>
      <c r="AC319" s="5"/>
      <c r="AD319" s="5"/>
      <c r="AE319" s="5"/>
      <c r="AF319" s="8"/>
      <c r="AG319" s="5" t="str">
        <f t="array" ref="AG319">IF('Ingest Template'!A319="Standard",(CONCATENATE(IF(ISBLANK('Ingest Template'!N319),"", 'Ingest Template'!N319&amp;"|DAR"),CHAR(10), IF(ISBLANK('Ingest Template'!O319),"", 'Ingest Template'!O319&amp;"|DAR"),CHAR(10), IF(ISBLANK('Ingest Template'!P319),"", 'Ingest Template'!P319&amp;"|DAR"))),(CONCATENATE(IF(ISBLANK('Ingest Template'!N319),"", 'Ingest Template'!N319&amp;"|Operations - Core Title"),CHAR(10), IF(ISBLANK('Ingest Template'!O319),"", 'Ingest Template'!O319&amp;"|Operations - Core Title"),CHAR(10), IF(ISBLANK('Ingest Template'!P319),"", 'Ingest Template'!P319&amp;"|Operations - Core Title"))))</f>
        <v>#|Operations - Core Title
</v>
      </c>
      <c r="AH319" s="5"/>
      <c r="AI319" s="5"/>
      <c r="AJ319" s="5"/>
      <c r="AK319" s="5"/>
      <c r="AL319" s="5"/>
    </row>
    <row r="320">
      <c r="A320" s="5"/>
      <c r="B320" s="5" t="str">
        <f>'Ingest Template'!B320&amp;IF('Ingest Template'!A320 = "Standard", " - DAR","")</f>
        <v/>
      </c>
      <c r="C320" s="6" t="str">
        <f>'Ingest Template'!C320</f>
        <v/>
      </c>
      <c r="D320" s="7" t="str">
        <f>'Ingest Template'!E320</f>
        <v/>
      </c>
      <c r="E320" s="5"/>
      <c r="F320" s="5"/>
      <c r="G320" s="5"/>
      <c r="H320" s="7"/>
      <c r="I320" s="5"/>
      <c r="J320" s="7" t="str">
        <f>'Ingest Template'!Q320</f>
        <v/>
      </c>
      <c r="K320" s="5" t="str">
        <f>'Ingest Template'!R320</f>
        <v/>
      </c>
      <c r="L320" s="8" t="s">
        <v>38</v>
      </c>
      <c r="M320" s="9"/>
      <c r="N320" s="5"/>
      <c r="O320" s="5"/>
      <c r="P320" s="5"/>
      <c r="Q320" s="5"/>
      <c r="R320" s="5" t="str">
        <f>'Ingest Template'!D320</f>
        <v/>
      </c>
      <c r="S320" s="5" t="str">
        <f>'Ingest Template'!G320</f>
        <v/>
      </c>
      <c r="T320" s="5" t="str">
        <f>'Ingest Template'!H320</f>
        <v/>
      </c>
      <c r="U320" s="5" t="str">
        <f>LOWER(SUBSTITUTE(SUBSTITUTE(SUBSTITUTE(SUBSTITUTE(SUBSTITUTE('Ingest Template'!I320,"https:",""),"www.",""),"/",""),"?hl=en",""),"instagram.com",""))</f>
        <v/>
      </c>
      <c r="V320" s="10" t="str">
        <f>'Ingest Template'!J320</f>
        <v/>
      </c>
      <c r="W320" s="10" t="str">
        <f>'Ingest Template'!K320</f>
        <v/>
      </c>
      <c r="X320" s="5"/>
      <c r="Y320" s="5" t="str">
        <f>SUBSTITUTE(SUBSTITUTE(SUBSTITUTE('Ingest Template'!L320,"http:",""),"https:",""),"/","")</f>
        <v/>
      </c>
      <c r="Z320" s="5" t="str">
        <f t="array" ref="Z320">IF('Ingest Template'!A320="Standard",(IF(ISBLANK('Ingest Template'!M320),"", 'Ingest Template'!M320&amp;"|DAR")),(IF(ISBLANK('Ingest Template'!M320),"", 'Ingest Template'!M320&amp;"|Operations - Core Title")))</f>
        <v/>
      </c>
      <c r="AA320" s="5"/>
      <c r="AB320" s="5" t="str">
        <f>'Ingest Template'!F320</f>
        <v/>
      </c>
      <c r="AC320" s="5"/>
      <c r="AD320" s="5"/>
      <c r="AE320" s="5"/>
      <c r="AF320" s="8"/>
      <c r="AG320" s="5" t="str">
        <f t="array" ref="AG320">IF('Ingest Template'!A320="Standard",(CONCATENATE(IF(ISBLANK('Ingest Template'!N320),"", 'Ingest Template'!N320&amp;"|DAR"),CHAR(10), IF(ISBLANK('Ingest Template'!O320),"", 'Ingest Template'!O320&amp;"|DAR"),CHAR(10), IF(ISBLANK('Ingest Template'!P320),"", 'Ingest Template'!P320&amp;"|DAR"))),(CONCATENATE(IF(ISBLANK('Ingest Template'!N320),"", 'Ingest Template'!N320&amp;"|Operations - Core Title"),CHAR(10), IF(ISBLANK('Ingest Template'!O320),"", 'Ingest Template'!O320&amp;"|Operations - Core Title"),CHAR(10), IF(ISBLANK('Ingest Template'!P320),"", 'Ingest Template'!P320&amp;"|Operations - Core Title"))))</f>
        <v>#|Operations - Core Title
</v>
      </c>
      <c r="AH320" s="5"/>
      <c r="AI320" s="5"/>
      <c r="AJ320" s="5"/>
      <c r="AK320" s="5"/>
      <c r="AL320" s="5"/>
    </row>
    <row r="321">
      <c r="A321" s="5"/>
      <c r="B321" s="5" t="str">
        <f>'Ingest Template'!B321&amp;IF('Ingest Template'!A321 = "Standard", " - DAR","")</f>
        <v/>
      </c>
      <c r="C321" s="6" t="str">
        <f>'Ingest Template'!C321</f>
        <v/>
      </c>
      <c r="D321" s="7" t="str">
        <f>'Ingest Template'!E321</f>
        <v/>
      </c>
      <c r="E321" s="5"/>
      <c r="F321" s="5"/>
      <c r="G321" s="5"/>
      <c r="H321" s="7"/>
      <c r="I321" s="5"/>
      <c r="J321" s="7" t="str">
        <f>'Ingest Template'!Q321</f>
        <v/>
      </c>
      <c r="K321" s="5" t="str">
        <f>'Ingest Template'!R321</f>
        <v/>
      </c>
      <c r="L321" s="8" t="s">
        <v>38</v>
      </c>
      <c r="M321" s="9"/>
      <c r="N321" s="5"/>
      <c r="O321" s="5"/>
      <c r="P321" s="5"/>
      <c r="Q321" s="5"/>
      <c r="R321" s="5" t="str">
        <f>'Ingest Template'!D321</f>
        <v/>
      </c>
      <c r="S321" s="5" t="str">
        <f>'Ingest Template'!G321</f>
        <v/>
      </c>
      <c r="T321" s="5" t="str">
        <f>'Ingest Template'!H321</f>
        <v/>
      </c>
      <c r="U321" s="5" t="str">
        <f>LOWER(SUBSTITUTE(SUBSTITUTE(SUBSTITUTE(SUBSTITUTE(SUBSTITUTE('Ingest Template'!I321,"https:",""),"www.",""),"/",""),"?hl=en",""),"instagram.com",""))</f>
        <v/>
      </c>
      <c r="V321" s="10" t="str">
        <f>'Ingest Template'!J321</f>
        <v/>
      </c>
      <c r="W321" s="10" t="str">
        <f>'Ingest Template'!K321</f>
        <v/>
      </c>
      <c r="X321" s="5"/>
      <c r="Y321" s="5" t="str">
        <f>SUBSTITUTE(SUBSTITUTE(SUBSTITUTE('Ingest Template'!L321,"http:",""),"https:",""),"/","")</f>
        <v/>
      </c>
      <c r="Z321" s="5" t="str">
        <f t="array" ref="Z321">IF('Ingest Template'!A321="Standard",(IF(ISBLANK('Ingest Template'!M321),"", 'Ingest Template'!M321&amp;"|DAR")),(IF(ISBLANK('Ingest Template'!M321),"", 'Ingest Template'!M321&amp;"|Operations - Core Title")))</f>
        <v/>
      </c>
      <c r="AA321" s="5"/>
      <c r="AB321" s="5" t="str">
        <f>'Ingest Template'!F321</f>
        <v/>
      </c>
      <c r="AC321" s="5"/>
      <c r="AD321" s="5"/>
      <c r="AE321" s="5"/>
      <c r="AF321" s="8"/>
      <c r="AG321" s="5" t="str">
        <f t="array" ref="AG321">IF('Ingest Template'!A321="Standard",(CONCATENATE(IF(ISBLANK('Ingest Template'!N321),"", 'Ingest Template'!N321&amp;"|DAR"),CHAR(10), IF(ISBLANK('Ingest Template'!O321),"", 'Ingest Template'!O321&amp;"|DAR"),CHAR(10), IF(ISBLANK('Ingest Template'!P321),"", 'Ingest Template'!P321&amp;"|DAR"))),(CONCATENATE(IF(ISBLANK('Ingest Template'!N321),"", 'Ingest Template'!N321&amp;"|Operations - Core Title"),CHAR(10), IF(ISBLANK('Ingest Template'!O321),"", 'Ingest Template'!O321&amp;"|Operations - Core Title"),CHAR(10), IF(ISBLANK('Ingest Template'!P321),"", 'Ingest Template'!P321&amp;"|Operations - Core Title"))))</f>
        <v>#|Operations - Core Title
</v>
      </c>
      <c r="AH321" s="5"/>
      <c r="AI321" s="5"/>
      <c r="AJ321" s="5"/>
      <c r="AK321" s="5"/>
      <c r="AL321" s="5"/>
    </row>
    <row r="322">
      <c r="A322" s="5"/>
      <c r="B322" s="5" t="str">
        <f>'Ingest Template'!B322&amp;IF('Ingest Template'!A322 = "Standard", " - DAR","")</f>
        <v/>
      </c>
      <c r="C322" s="6" t="str">
        <f>'Ingest Template'!C322</f>
        <v/>
      </c>
      <c r="D322" s="7" t="str">
        <f>'Ingest Template'!E322</f>
        <v/>
      </c>
      <c r="E322" s="5"/>
      <c r="F322" s="5"/>
      <c r="G322" s="5"/>
      <c r="H322" s="7"/>
      <c r="I322" s="5"/>
      <c r="J322" s="7" t="str">
        <f>'Ingest Template'!Q322</f>
        <v/>
      </c>
      <c r="K322" s="5" t="str">
        <f>'Ingest Template'!R322</f>
        <v/>
      </c>
      <c r="L322" s="8" t="s">
        <v>38</v>
      </c>
      <c r="M322" s="9"/>
      <c r="N322" s="5"/>
      <c r="O322" s="5"/>
      <c r="P322" s="5"/>
      <c r="Q322" s="5"/>
      <c r="R322" s="5" t="str">
        <f>'Ingest Template'!D322</f>
        <v/>
      </c>
      <c r="S322" s="5" t="str">
        <f>'Ingest Template'!G322</f>
        <v/>
      </c>
      <c r="T322" s="5" t="str">
        <f>'Ingest Template'!H322</f>
        <v/>
      </c>
      <c r="U322" s="5" t="str">
        <f>LOWER(SUBSTITUTE(SUBSTITUTE(SUBSTITUTE(SUBSTITUTE(SUBSTITUTE('Ingest Template'!I322,"https:",""),"www.",""),"/",""),"?hl=en",""),"instagram.com",""))</f>
        <v/>
      </c>
      <c r="V322" s="10" t="str">
        <f>'Ingest Template'!J322</f>
        <v/>
      </c>
      <c r="W322" s="10" t="str">
        <f>'Ingest Template'!K322</f>
        <v/>
      </c>
      <c r="X322" s="5"/>
      <c r="Y322" s="5" t="str">
        <f>SUBSTITUTE(SUBSTITUTE(SUBSTITUTE('Ingest Template'!L322,"http:",""),"https:",""),"/","")</f>
        <v/>
      </c>
      <c r="Z322" s="5" t="str">
        <f t="array" ref="Z322">IF('Ingest Template'!A322="Standard",(IF(ISBLANK('Ingest Template'!M322),"", 'Ingest Template'!M322&amp;"|DAR")),(IF(ISBLANK('Ingest Template'!M322),"", 'Ingest Template'!M322&amp;"|Operations - Core Title")))</f>
        <v/>
      </c>
      <c r="AA322" s="5"/>
      <c r="AB322" s="5" t="str">
        <f>'Ingest Template'!F322</f>
        <v/>
      </c>
      <c r="AC322" s="5"/>
      <c r="AD322" s="5"/>
      <c r="AE322" s="5"/>
      <c r="AF322" s="8"/>
      <c r="AG322" s="5" t="str">
        <f t="array" ref="AG322">IF('Ingest Template'!A322="Standard",(CONCATENATE(IF(ISBLANK('Ingest Template'!N322),"", 'Ingest Template'!N322&amp;"|DAR"),CHAR(10), IF(ISBLANK('Ingest Template'!O322),"", 'Ingest Template'!O322&amp;"|DAR"),CHAR(10), IF(ISBLANK('Ingest Template'!P322),"", 'Ingest Template'!P322&amp;"|DAR"))),(CONCATENATE(IF(ISBLANK('Ingest Template'!N322),"", 'Ingest Template'!N322&amp;"|Operations - Core Title"),CHAR(10), IF(ISBLANK('Ingest Template'!O322),"", 'Ingest Template'!O322&amp;"|Operations - Core Title"),CHAR(10), IF(ISBLANK('Ingest Template'!P322),"", 'Ingest Template'!P322&amp;"|Operations - Core Title"))))</f>
        <v>#|Operations - Core Title
</v>
      </c>
      <c r="AH322" s="5"/>
      <c r="AI322" s="5"/>
      <c r="AJ322" s="5"/>
      <c r="AK322" s="5"/>
      <c r="AL322" s="5"/>
    </row>
    <row r="323">
      <c r="A323" s="5"/>
      <c r="B323" s="5" t="str">
        <f>'Ingest Template'!B323&amp;IF('Ingest Template'!A323 = "Standard", " - DAR","")</f>
        <v/>
      </c>
      <c r="C323" s="6" t="str">
        <f>'Ingest Template'!C323</f>
        <v/>
      </c>
      <c r="D323" s="7" t="str">
        <f>'Ingest Template'!E323</f>
        <v/>
      </c>
      <c r="E323" s="5"/>
      <c r="F323" s="5"/>
      <c r="G323" s="5"/>
      <c r="H323" s="7"/>
      <c r="I323" s="5"/>
      <c r="J323" s="7" t="str">
        <f>'Ingest Template'!Q323</f>
        <v/>
      </c>
      <c r="K323" s="5" t="str">
        <f>'Ingest Template'!R323</f>
        <v/>
      </c>
      <c r="L323" s="8" t="s">
        <v>38</v>
      </c>
      <c r="M323" s="9"/>
      <c r="N323" s="5"/>
      <c r="O323" s="5"/>
      <c r="P323" s="5"/>
      <c r="Q323" s="5"/>
      <c r="R323" s="5" t="str">
        <f>'Ingest Template'!D323</f>
        <v/>
      </c>
      <c r="S323" s="5" t="str">
        <f>'Ingest Template'!G323</f>
        <v/>
      </c>
      <c r="T323" s="5" t="str">
        <f>'Ingest Template'!H323</f>
        <v/>
      </c>
      <c r="U323" s="5" t="str">
        <f>LOWER(SUBSTITUTE(SUBSTITUTE(SUBSTITUTE(SUBSTITUTE(SUBSTITUTE('Ingest Template'!I323,"https:",""),"www.",""),"/",""),"?hl=en",""),"instagram.com",""))</f>
        <v/>
      </c>
      <c r="V323" s="10" t="str">
        <f>'Ingest Template'!J323</f>
        <v/>
      </c>
      <c r="W323" s="10" t="str">
        <f>'Ingest Template'!K323</f>
        <v/>
      </c>
      <c r="X323" s="5"/>
      <c r="Y323" s="5" t="str">
        <f>SUBSTITUTE(SUBSTITUTE(SUBSTITUTE('Ingest Template'!L323,"http:",""),"https:",""),"/","")</f>
        <v/>
      </c>
      <c r="Z323" s="5" t="str">
        <f t="array" ref="Z323">IF('Ingest Template'!A323="Standard",(IF(ISBLANK('Ingest Template'!M323),"", 'Ingest Template'!M323&amp;"|DAR")),(IF(ISBLANK('Ingest Template'!M323),"", 'Ingest Template'!M323&amp;"|Operations - Core Title")))</f>
        <v/>
      </c>
      <c r="AA323" s="5"/>
      <c r="AB323" s="5" t="str">
        <f>'Ingest Template'!F323</f>
        <v/>
      </c>
      <c r="AC323" s="5"/>
      <c r="AD323" s="5"/>
      <c r="AE323" s="5"/>
      <c r="AF323" s="8"/>
      <c r="AG323" s="5" t="str">
        <f t="array" ref="AG323">IF('Ingest Template'!A323="Standard",(CONCATENATE(IF(ISBLANK('Ingest Template'!N323),"", 'Ingest Template'!N323&amp;"|DAR"),CHAR(10), IF(ISBLANK('Ingest Template'!O323),"", 'Ingest Template'!O323&amp;"|DAR"),CHAR(10), IF(ISBLANK('Ingest Template'!P323),"", 'Ingest Template'!P323&amp;"|DAR"))),(CONCATENATE(IF(ISBLANK('Ingest Template'!N323),"", 'Ingest Template'!N323&amp;"|Operations - Core Title"),CHAR(10), IF(ISBLANK('Ingest Template'!O323),"", 'Ingest Template'!O323&amp;"|Operations - Core Title"),CHAR(10), IF(ISBLANK('Ingest Template'!P323),"", 'Ingest Template'!P323&amp;"|Operations - Core Title"))))</f>
        <v>#|Operations - Core Title
</v>
      </c>
      <c r="AH323" s="5"/>
      <c r="AI323" s="5"/>
      <c r="AJ323" s="5"/>
      <c r="AK323" s="5"/>
      <c r="AL323" s="5"/>
    </row>
    <row r="324">
      <c r="A324" s="5"/>
      <c r="B324" s="5" t="str">
        <f>'Ingest Template'!B324&amp;IF('Ingest Template'!A324 = "Standard", " - DAR","")</f>
        <v/>
      </c>
      <c r="C324" s="6" t="str">
        <f>'Ingest Template'!C324</f>
        <v/>
      </c>
      <c r="D324" s="7" t="str">
        <f>'Ingest Template'!E324</f>
        <v/>
      </c>
      <c r="E324" s="5"/>
      <c r="F324" s="5"/>
      <c r="G324" s="5"/>
      <c r="H324" s="7"/>
      <c r="I324" s="5"/>
      <c r="J324" s="7" t="str">
        <f>'Ingest Template'!Q324</f>
        <v/>
      </c>
      <c r="K324" s="5" t="str">
        <f>'Ingest Template'!R324</f>
        <v/>
      </c>
      <c r="L324" s="8" t="s">
        <v>38</v>
      </c>
      <c r="M324" s="9"/>
      <c r="N324" s="5"/>
      <c r="O324" s="5"/>
      <c r="P324" s="5"/>
      <c r="Q324" s="5"/>
      <c r="R324" s="5" t="str">
        <f>'Ingest Template'!D324</f>
        <v/>
      </c>
      <c r="S324" s="5" t="str">
        <f>'Ingest Template'!G324</f>
        <v/>
      </c>
      <c r="T324" s="5" t="str">
        <f>'Ingest Template'!H324</f>
        <v/>
      </c>
      <c r="U324" s="5" t="str">
        <f>LOWER(SUBSTITUTE(SUBSTITUTE(SUBSTITUTE(SUBSTITUTE(SUBSTITUTE('Ingest Template'!I324,"https:",""),"www.",""),"/",""),"?hl=en",""),"instagram.com",""))</f>
        <v/>
      </c>
      <c r="V324" s="10" t="str">
        <f>'Ingest Template'!J324</f>
        <v/>
      </c>
      <c r="W324" s="10" t="str">
        <f>'Ingest Template'!K324</f>
        <v/>
      </c>
      <c r="X324" s="5"/>
      <c r="Y324" s="5" t="str">
        <f>SUBSTITUTE(SUBSTITUTE(SUBSTITUTE('Ingest Template'!L324,"http:",""),"https:",""),"/","")</f>
        <v/>
      </c>
      <c r="Z324" s="5" t="str">
        <f t="array" ref="Z324">IF('Ingest Template'!A324="Standard",(IF(ISBLANK('Ingest Template'!M324),"", 'Ingest Template'!M324&amp;"|DAR")),(IF(ISBLANK('Ingest Template'!M324),"", 'Ingest Template'!M324&amp;"|Operations - Core Title")))</f>
        <v/>
      </c>
      <c r="AA324" s="5"/>
      <c r="AB324" s="5" t="str">
        <f>'Ingest Template'!F324</f>
        <v/>
      </c>
      <c r="AC324" s="5"/>
      <c r="AD324" s="5"/>
      <c r="AE324" s="5"/>
      <c r="AF324" s="8"/>
      <c r="AG324" s="5" t="str">
        <f t="array" ref="AG324">IF('Ingest Template'!A324="Standard",(CONCATENATE(IF(ISBLANK('Ingest Template'!N324),"", 'Ingest Template'!N324&amp;"|DAR"),CHAR(10), IF(ISBLANK('Ingest Template'!O324),"", 'Ingest Template'!O324&amp;"|DAR"),CHAR(10), IF(ISBLANK('Ingest Template'!P324),"", 'Ingest Template'!P324&amp;"|DAR"))),(CONCATENATE(IF(ISBLANK('Ingest Template'!N324),"", 'Ingest Template'!N324&amp;"|Operations - Core Title"),CHAR(10), IF(ISBLANK('Ingest Template'!O324),"", 'Ingest Template'!O324&amp;"|Operations - Core Title"),CHAR(10), IF(ISBLANK('Ingest Template'!P324),"", 'Ingest Template'!P324&amp;"|Operations - Core Title"))))</f>
        <v>#|Operations - Core Title
</v>
      </c>
      <c r="AH324" s="5"/>
      <c r="AI324" s="5"/>
      <c r="AJ324" s="5"/>
      <c r="AK324" s="5"/>
      <c r="AL324" s="5"/>
    </row>
    <row r="325">
      <c r="A325" s="5"/>
      <c r="B325" s="5" t="str">
        <f>'Ingest Template'!B325&amp;IF('Ingest Template'!A325 = "Standard", " - DAR","")</f>
        <v/>
      </c>
      <c r="C325" s="6" t="str">
        <f>'Ingest Template'!C325</f>
        <v/>
      </c>
      <c r="D325" s="7" t="str">
        <f>'Ingest Template'!E325</f>
        <v/>
      </c>
      <c r="E325" s="5"/>
      <c r="F325" s="5"/>
      <c r="G325" s="5"/>
      <c r="H325" s="7"/>
      <c r="I325" s="5"/>
      <c r="J325" s="7" t="str">
        <f>'Ingest Template'!Q325</f>
        <v/>
      </c>
      <c r="K325" s="5" t="str">
        <f>'Ingest Template'!R325</f>
        <v/>
      </c>
      <c r="L325" s="8" t="s">
        <v>38</v>
      </c>
      <c r="M325" s="9"/>
      <c r="N325" s="5"/>
      <c r="O325" s="5"/>
      <c r="P325" s="5"/>
      <c r="Q325" s="5"/>
      <c r="R325" s="5" t="str">
        <f>'Ingest Template'!D325</f>
        <v/>
      </c>
      <c r="S325" s="5" t="str">
        <f>'Ingest Template'!G325</f>
        <v/>
      </c>
      <c r="T325" s="5" t="str">
        <f>'Ingest Template'!H325</f>
        <v/>
      </c>
      <c r="U325" s="5" t="str">
        <f>LOWER(SUBSTITUTE(SUBSTITUTE(SUBSTITUTE(SUBSTITUTE(SUBSTITUTE('Ingest Template'!I325,"https:",""),"www.",""),"/",""),"?hl=en",""),"instagram.com",""))</f>
        <v/>
      </c>
      <c r="V325" s="10" t="str">
        <f>'Ingest Template'!J325</f>
        <v/>
      </c>
      <c r="W325" s="10" t="str">
        <f>'Ingest Template'!K325</f>
        <v/>
      </c>
      <c r="X325" s="5"/>
      <c r="Y325" s="5" t="str">
        <f>SUBSTITUTE(SUBSTITUTE(SUBSTITUTE('Ingest Template'!L325,"http:",""),"https:",""),"/","")</f>
        <v/>
      </c>
      <c r="Z325" s="5" t="str">
        <f t="array" ref="Z325">IF('Ingest Template'!A325="Standard",(IF(ISBLANK('Ingest Template'!M325),"", 'Ingest Template'!M325&amp;"|DAR")),(IF(ISBLANK('Ingest Template'!M325),"", 'Ingest Template'!M325&amp;"|Operations - Core Title")))</f>
        <v/>
      </c>
      <c r="AA325" s="5"/>
      <c r="AB325" s="5" t="str">
        <f>'Ingest Template'!F325</f>
        <v/>
      </c>
      <c r="AC325" s="5"/>
      <c r="AD325" s="5"/>
      <c r="AE325" s="5"/>
      <c r="AF325" s="8"/>
      <c r="AG325" s="5" t="str">
        <f t="array" ref="AG325">IF('Ingest Template'!A325="Standard",(CONCATENATE(IF(ISBLANK('Ingest Template'!N325),"", 'Ingest Template'!N325&amp;"|DAR"),CHAR(10), IF(ISBLANK('Ingest Template'!O325),"", 'Ingest Template'!O325&amp;"|DAR"),CHAR(10), IF(ISBLANK('Ingest Template'!P325),"", 'Ingest Template'!P325&amp;"|DAR"))),(CONCATENATE(IF(ISBLANK('Ingest Template'!N325),"", 'Ingest Template'!N325&amp;"|Operations - Core Title"),CHAR(10), IF(ISBLANK('Ingest Template'!O325),"", 'Ingest Template'!O325&amp;"|Operations - Core Title"),CHAR(10), IF(ISBLANK('Ingest Template'!P325),"", 'Ingest Template'!P325&amp;"|Operations - Core Title"))))</f>
        <v>#|Operations - Core Title
</v>
      </c>
      <c r="AH325" s="5"/>
      <c r="AI325" s="5"/>
      <c r="AJ325" s="5"/>
      <c r="AK325" s="5"/>
      <c r="AL325" s="5"/>
    </row>
    <row r="326">
      <c r="A326" s="5"/>
      <c r="B326" s="5" t="str">
        <f>'Ingest Template'!B326&amp;IF('Ingest Template'!A326 = "Standard", " - DAR","")</f>
        <v/>
      </c>
      <c r="C326" s="6" t="str">
        <f>'Ingest Template'!C326</f>
        <v/>
      </c>
      <c r="D326" s="7" t="str">
        <f>'Ingest Template'!E326</f>
        <v/>
      </c>
      <c r="E326" s="5"/>
      <c r="F326" s="5"/>
      <c r="G326" s="5"/>
      <c r="H326" s="7"/>
      <c r="I326" s="5"/>
      <c r="J326" s="7" t="str">
        <f>'Ingest Template'!Q326</f>
        <v/>
      </c>
      <c r="K326" s="5" t="str">
        <f>'Ingest Template'!R326</f>
        <v/>
      </c>
      <c r="L326" s="8" t="s">
        <v>38</v>
      </c>
      <c r="M326" s="9"/>
      <c r="N326" s="5"/>
      <c r="O326" s="5"/>
      <c r="P326" s="5"/>
      <c r="Q326" s="5"/>
      <c r="R326" s="5" t="str">
        <f>'Ingest Template'!D326</f>
        <v/>
      </c>
      <c r="S326" s="5" t="str">
        <f>'Ingest Template'!G326</f>
        <v/>
      </c>
      <c r="T326" s="5" t="str">
        <f>'Ingest Template'!H326</f>
        <v/>
      </c>
      <c r="U326" s="5" t="str">
        <f>LOWER(SUBSTITUTE(SUBSTITUTE(SUBSTITUTE(SUBSTITUTE(SUBSTITUTE('Ingest Template'!I326,"https:",""),"www.",""),"/",""),"?hl=en",""),"instagram.com",""))</f>
        <v/>
      </c>
      <c r="V326" s="10" t="str">
        <f>'Ingest Template'!J326</f>
        <v/>
      </c>
      <c r="W326" s="10" t="str">
        <f>'Ingest Template'!K326</f>
        <v/>
      </c>
      <c r="X326" s="5"/>
      <c r="Y326" s="5" t="str">
        <f>SUBSTITUTE(SUBSTITUTE(SUBSTITUTE('Ingest Template'!L326,"http:",""),"https:",""),"/","")</f>
        <v/>
      </c>
      <c r="Z326" s="5" t="str">
        <f t="array" ref="Z326">IF('Ingest Template'!A326="Standard",(IF(ISBLANK('Ingest Template'!M326),"", 'Ingest Template'!M326&amp;"|DAR")),(IF(ISBLANK('Ingest Template'!M326),"", 'Ingest Template'!M326&amp;"|Operations - Core Title")))</f>
        <v/>
      </c>
      <c r="AA326" s="5"/>
      <c r="AB326" s="5" t="str">
        <f>'Ingest Template'!F326</f>
        <v/>
      </c>
      <c r="AC326" s="5"/>
      <c r="AD326" s="5"/>
      <c r="AE326" s="5"/>
      <c r="AF326" s="8"/>
      <c r="AG326" s="5" t="str">
        <f t="array" ref="AG326">IF('Ingest Template'!A326="Standard",(CONCATENATE(IF(ISBLANK('Ingest Template'!N326),"", 'Ingest Template'!N326&amp;"|DAR"),CHAR(10), IF(ISBLANK('Ingest Template'!O326),"", 'Ingest Template'!O326&amp;"|DAR"),CHAR(10), IF(ISBLANK('Ingest Template'!P326),"", 'Ingest Template'!P326&amp;"|DAR"))),(CONCATENATE(IF(ISBLANK('Ingest Template'!N326),"", 'Ingest Template'!N326&amp;"|Operations - Core Title"),CHAR(10), IF(ISBLANK('Ingest Template'!O326),"", 'Ingest Template'!O326&amp;"|Operations - Core Title"),CHAR(10), IF(ISBLANK('Ingest Template'!P326),"", 'Ingest Template'!P326&amp;"|Operations - Core Title"))))</f>
        <v>#|Operations - Core Title
</v>
      </c>
      <c r="AH326" s="5"/>
      <c r="AI326" s="5"/>
      <c r="AJ326" s="5"/>
      <c r="AK326" s="5"/>
      <c r="AL326" s="5"/>
    </row>
    <row r="327">
      <c r="A327" s="5"/>
      <c r="B327" s="5" t="str">
        <f>'Ingest Template'!B327&amp;IF('Ingest Template'!A327 = "Standard", " - DAR","")</f>
        <v/>
      </c>
      <c r="C327" s="6" t="str">
        <f>'Ingest Template'!C327</f>
        <v/>
      </c>
      <c r="D327" s="7" t="str">
        <f>'Ingest Template'!E327</f>
        <v/>
      </c>
      <c r="E327" s="5"/>
      <c r="F327" s="5"/>
      <c r="G327" s="5"/>
      <c r="H327" s="7"/>
      <c r="I327" s="5"/>
      <c r="J327" s="7" t="str">
        <f>'Ingest Template'!Q327</f>
        <v/>
      </c>
      <c r="K327" s="5" t="str">
        <f>'Ingest Template'!R327</f>
        <v/>
      </c>
      <c r="L327" s="8" t="s">
        <v>38</v>
      </c>
      <c r="M327" s="9"/>
      <c r="N327" s="5"/>
      <c r="O327" s="5"/>
      <c r="P327" s="5"/>
      <c r="Q327" s="5"/>
      <c r="R327" s="5" t="str">
        <f>'Ingest Template'!D327</f>
        <v/>
      </c>
      <c r="S327" s="5" t="str">
        <f>'Ingest Template'!G327</f>
        <v/>
      </c>
      <c r="T327" s="5" t="str">
        <f>'Ingest Template'!H327</f>
        <v/>
      </c>
      <c r="U327" s="5" t="str">
        <f>LOWER(SUBSTITUTE(SUBSTITUTE(SUBSTITUTE(SUBSTITUTE(SUBSTITUTE('Ingest Template'!I327,"https:",""),"www.",""),"/",""),"?hl=en",""),"instagram.com",""))</f>
        <v/>
      </c>
      <c r="V327" s="10" t="str">
        <f>'Ingest Template'!J327</f>
        <v/>
      </c>
      <c r="W327" s="10" t="str">
        <f>'Ingest Template'!K327</f>
        <v/>
      </c>
      <c r="X327" s="5"/>
      <c r="Y327" s="5" t="str">
        <f>SUBSTITUTE(SUBSTITUTE(SUBSTITUTE('Ingest Template'!L327,"http:",""),"https:",""),"/","")</f>
        <v/>
      </c>
      <c r="Z327" s="5" t="str">
        <f t="array" ref="Z327">IF('Ingest Template'!A327="Standard",(IF(ISBLANK('Ingest Template'!M327),"", 'Ingest Template'!M327&amp;"|DAR")),(IF(ISBLANK('Ingest Template'!M327),"", 'Ingest Template'!M327&amp;"|Operations - Core Title")))</f>
        <v/>
      </c>
      <c r="AA327" s="5"/>
      <c r="AB327" s="5" t="str">
        <f>'Ingest Template'!F327</f>
        <v/>
      </c>
      <c r="AC327" s="5"/>
      <c r="AD327" s="5"/>
      <c r="AE327" s="5"/>
      <c r="AF327" s="8"/>
      <c r="AG327" s="5" t="str">
        <f t="array" ref="AG327">IF('Ingest Template'!A327="Standard",(CONCATENATE(IF(ISBLANK('Ingest Template'!N327),"", 'Ingest Template'!N327&amp;"|DAR"),CHAR(10), IF(ISBLANK('Ingest Template'!O327),"", 'Ingest Template'!O327&amp;"|DAR"),CHAR(10), IF(ISBLANK('Ingest Template'!P327),"", 'Ingest Template'!P327&amp;"|DAR"))),(CONCATENATE(IF(ISBLANK('Ingest Template'!N327),"", 'Ingest Template'!N327&amp;"|Operations - Core Title"),CHAR(10), IF(ISBLANK('Ingest Template'!O327),"", 'Ingest Template'!O327&amp;"|Operations - Core Title"),CHAR(10), IF(ISBLANK('Ingest Template'!P327),"", 'Ingest Template'!P327&amp;"|Operations - Core Title"))))</f>
        <v>#|Operations - Core Title
</v>
      </c>
      <c r="AH327" s="5"/>
      <c r="AI327" s="5"/>
      <c r="AJ327" s="5"/>
      <c r="AK327" s="5"/>
      <c r="AL327" s="5"/>
    </row>
    <row r="328">
      <c r="A328" s="5"/>
      <c r="B328" s="5" t="str">
        <f>'Ingest Template'!B328&amp;IF('Ingest Template'!A328 = "Standard", " - DAR","")</f>
        <v/>
      </c>
      <c r="C328" s="6" t="str">
        <f>'Ingest Template'!C328</f>
        <v/>
      </c>
      <c r="D328" s="7" t="str">
        <f>'Ingest Template'!E328</f>
        <v/>
      </c>
      <c r="E328" s="5"/>
      <c r="F328" s="5"/>
      <c r="G328" s="5"/>
      <c r="H328" s="7"/>
      <c r="I328" s="5"/>
      <c r="J328" s="7" t="str">
        <f>'Ingest Template'!Q328</f>
        <v/>
      </c>
      <c r="K328" s="5" t="str">
        <f>'Ingest Template'!R328</f>
        <v/>
      </c>
      <c r="L328" s="8" t="s">
        <v>38</v>
      </c>
      <c r="M328" s="9"/>
      <c r="N328" s="5"/>
      <c r="O328" s="5"/>
      <c r="P328" s="5"/>
      <c r="Q328" s="5"/>
      <c r="R328" s="5" t="str">
        <f>'Ingest Template'!D328</f>
        <v/>
      </c>
      <c r="S328" s="5" t="str">
        <f>'Ingest Template'!G328</f>
        <v/>
      </c>
      <c r="T328" s="5" t="str">
        <f>'Ingest Template'!H328</f>
        <v/>
      </c>
      <c r="U328" s="5" t="str">
        <f>LOWER(SUBSTITUTE(SUBSTITUTE(SUBSTITUTE(SUBSTITUTE(SUBSTITUTE('Ingest Template'!I328,"https:",""),"www.",""),"/",""),"?hl=en",""),"instagram.com",""))</f>
        <v/>
      </c>
      <c r="V328" s="10" t="str">
        <f>'Ingest Template'!J328</f>
        <v/>
      </c>
      <c r="W328" s="10" t="str">
        <f>'Ingest Template'!K328</f>
        <v/>
      </c>
      <c r="X328" s="5"/>
      <c r="Y328" s="5" t="str">
        <f>SUBSTITUTE(SUBSTITUTE(SUBSTITUTE('Ingest Template'!L328,"http:",""),"https:",""),"/","")</f>
        <v/>
      </c>
      <c r="Z328" s="5" t="str">
        <f t="array" ref="Z328">IF('Ingest Template'!A328="Standard",(IF(ISBLANK('Ingest Template'!M328),"", 'Ingest Template'!M328&amp;"|DAR")),(IF(ISBLANK('Ingest Template'!M328),"", 'Ingest Template'!M328&amp;"|Operations - Core Title")))</f>
        <v/>
      </c>
      <c r="AA328" s="5"/>
      <c r="AB328" s="5" t="str">
        <f>'Ingest Template'!F328</f>
        <v/>
      </c>
      <c r="AC328" s="5"/>
      <c r="AD328" s="5"/>
      <c r="AE328" s="5"/>
      <c r="AF328" s="8"/>
      <c r="AG328" s="5" t="str">
        <f t="array" ref="AG328">IF('Ingest Template'!A328="Standard",(CONCATENATE(IF(ISBLANK('Ingest Template'!N328),"", 'Ingest Template'!N328&amp;"|DAR"),CHAR(10), IF(ISBLANK('Ingest Template'!O328),"", 'Ingest Template'!O328&amp;"|DAR"),CHAR(10), IF(ISBLANK('Ingest Template'!P328),"", 'Ingest Template'!P328&amp;"|DAR"))),(CONCATENATE(IF(ISBLANK('Ingest Template'!N328),"", 'Ingest Template'!N328&amp;"|Operations - Core Title"),CHAR(10), IF(ISBLANK('Ingest Template'!O328),"", 'Ingest Template'!O328&amp;"|Operations - Core Title"),CHAR(10), IF(ISBLANK('Ingest Template'!P328),"", 'Ingest Template'!P328&amp;"|Operations - Core Title"))))</f>
        <v>#|Operations - Core Title
</v>
      </c>
      <c r="AH328" s="5"/>
      <c r="AI328" s="5"/>
      <c r="AJ328" s="5"/>
      <c r="AK328" s="5"/>
      <c r="AL328" s="5"/>
    </row>
    <row r="329">
      <c r="A329" s="5"/>
      <c r="B329" s="5" t="str">
        <f>'Ingest Template'!B329&amp;IF('Ingest Template'!A329 = "Standard", " - DAR","")</f>
        <v/>
      </c>
      <c r="C329" s="6" t="str">
        <f>'Ingest Template'!C329</f>
        <v/>
      </c>
      <c r="D329" s="7" t="str">
        <f>'Ingest Template'!E329</f>
        <v/>
      </c>
      <c r="E329" s="5"/>
      <c r="F329" s="5"/>
      <c r="G329" s="5"/>
      <c r="H329" s="7"/>
      <c r="I329" s="5"/>
      <c r="J329" s="7" t="str">
        <f>'Ingest Template'!Q329</f>
        <v/>
      </c>
      <c r="K329" s="5" t="str">
        <f>'Ingest Template'!R329</f>
        <v/>
      </c>
      <c r="L329" s="8" t="s">
        <v>38</v>
      </c>
      <c r="M329" s="9"/>
      <c r="N329" s="5"/>
      <c r="O329" s="5"/>
      <c r="P329" s="5"/>
      <c r="Q329" s="5"/>
      <c r="R329" s="5" t="str">
        <f>'Ingest Template'!D329</f>
        <v/>
      </c>
      <c r="S329" s="5" t="str">
        <f>'Ingest Template'!G329</f>
        <v/>
      </c>
      <c r="T329" s="5" t="str">
        <f>'Ingest Template'!H329</f>
        <v/>
      </c>
      <c r="U329" s="5" t="str">
        <f>LOWER(SUBSTITUTE(SUBSTITUTE(SUBSTITUTE(SUBSTITUTE(SUBSTITUTE('Ingest Template'!I329,"https:",""),"www.",""),"/",""),"?hl=en",""),"instagram.com",""))</f>
        <v/>
      </c>
      <c r="V329" s="10" t="str">
        <f>'Ingest Template'!J329</f>
        <v/>
      </c>
      <c r="W329" s="10" t="str">
        <f>'Ingest Template'!K329</f>
        <v/>
      </c>
      <c r="X329" s="5"/>
      <c r="Y329" s="5" t="str">
        <f>SUBSTITUTE(SUBSTITUTE(SUBSTITUTE('Ingest Template'!L329,"http:",""),"https:",""),"/","")</f>
        <v/>
      </c>
      <c r="Z329" s="5" t="str">
        <f t="array" ref="Z329">IF('Ingest Template'!A329="Standard",(IF(ISBLANK('Ingest Template'!M329),"", 'Ingest Template'!M329&amp;"|DAR")),(IF(ISBLANK('Ingest Template'!M329),"", 'Ingest Template'!M329&amp;"|Operations - Core Title")))</f>
        <v/>
      </c>
      <c r="AA329" s="5"/>
      <c r="AB329" s="5" t="str">
        <f>'Ingest Template'!F329</f>
        <v/>
      </c>
      <c r="AC329" s="5"/>
      <c r="AD329" s="5"/>
      <c r="AE329" s="5"/>
      <c r="AF329" s="8"/>
      <c r="AG329" s="5" t="str">
        <f t="array" ref="AG329">IF('Ingest Template'!A329="Standard",(CONCATENATE(IF(ISBLANK('Ingest Template'!N329),"", 'Ingest Template'!N329&amp;"|DAR"),CHAR(10), IF(ISBLANK('Ingest Template'!O329),"", 'Ingest Template'!O329&amp;"|DAR"),CHAR(10), IF(ISBLANK('Ingest Template'!P329),"", 'Ingest Template'!P329&amp;"|DAR"))),(CONCATENATE(IF(ISBLANK('Ingest Template'!N329),"", 'Ingest Template'!N329&amp;"|Operations - Core Title"),CHAR(10), IF(ISBLANK('Ingest Template'!O329),"", 'Ingest Template'!O329&amp;"|Operations - Core Title"),CHAR(10), IF(ISBLANK('Ingest Template'!P329),"", 'Ingest Template'!P329&amp;"|Operations - Core Title"))))</f>
        <v>#|Operations - Core Title
</v>
      </c>
      <c r="AH329" s="5"/>
      <c r="AI329" s="5"/>
      <c r="AJ329" s="5"/>
      <c r="AK329" s="5"/>
      <c r="AL329" s="5"/>
    </row>
    <row r="330">
      <c r="A330" s="5"/>
      <c r="B330" s="5" t="str">
        <f>'Ingest Template'!B330&amp;IF('Ingest Template'!A330 = "Standard", " - DAR","")</f>
        <v/>
      </c>
      <c r="C330" s="6" t="str">
        <f>'Ingest Template'!C330</f>
        <v/>
      </c>
      <c r="D330" s="7" t="str">
        <f>'Ingest Template'!E330</f>
        <v/>
      </c>
      <c r="E330" s="5"/>
      <c r="F330" s="5"/>
      <c r="G330" s="5"/>
      <c r="H330" s="7"/>
      <c r="I330" s="5"/>
      <c r="J330" s="7" t="str">
        <f>'Ingest Template'!Q330</f>
        <v/>
      </c>
      <c r="K330" s="5" t="str">
        <f>'Ingest Template'!R330</f>
        <v/>
      </c>
      <c r="L330" s="8" t="s">
        <v>38</v>
      </c>
      <c r="M330" s="9"/>
      <c r="N330" s="5"/>
      <c r="O330" s="5"/>
      <c r="P330" s="5"/>
      <c r="Q330" s="5"/>
      <c r="R330" s="5" t="str">
        <f>'Ingest Template'!D330</f>
        <v/>
      </c>
      <c r="S330" s="5" t="str">
        <f>'Ingest Template'!G330</f>
        <v/>
      </c>
      <c r="T330" s="5" t="str">
        <f>'Ingest Template'!H330</f>
        <v/>
      </c>
      <c r="U330" s="5" t="str">
        <f>LOWER(SUBSTITUTE(SUBSTITUTE(SUBSTITUTE(SUBSTITUTE(SUBSTITUTE('Ingest Template'!I330,"https:",""),"www.",""),"/",""),"?hl=en",""),"instagram.com",""))</f>
        <v/>
      </c>
      <c r="V330" s="10" t="str">
        <f>'Ingest Template'!J330</f>
        <v/>
      </c>
      <c r="W330" s="10" t="str">
        <f>'Ingest Template'!K330</f>
        <v/>
      </c>
      <c r="X330" s="5"/>
      <c r="Y330" s="5" t="str">
        <f>SUBSTITUTE(SUBSTITUTE(SUBSTITUTE('Ingest Template'!L330,"http:",""),"https:",""),"/","")</f>
        <v/>
      </c>
      <c r="Z330" s="5" t="str">
        <f t="array" ref="Z330">IF('Ingest Template'!A330="Standard",(IF(ISBLANK('Ingest Template'!M330),"", 'Ingest Template'!M330&amp;"|DAR")),(IF(ISBLANK('Ingest Template'!M330),"", 'Ingest Template'!M330&amp;"|Operations - Core Title")))</f>
        <v/>
      </c>
      <c r="AA330" s="5"/>
      <c r="AB330" s="5" t="str">
        <f>'Ingest Template'!F330</f>
        <v/>
      </c>
      <c r="AC330" s="5"/>
      <c r="AD330" s="5"/>
      <c r="AE330" s="5"/>
      <c r="AF330" s="8"/>
      <c r="AG330" s="5" t="str">
        <f t="array" ref="AG330">IF('Ingest Template'!A330="Standard",(CONCATENATE(IF(ISBLANK('Ingest Template'!N330),"", 'Ingest Template'!N330&amp;"|DAR"),CHAR(10), IF(ISBLANK('Ingest Template'!O330),"", 'Ingest Template'!O330&amp;"|DAR"),CHAR(10), IF(ISBLANK('Ingest Template'!P330),"", 'Ingest Template'!P330&amp;"|DAR"))),(CONCATENATE(IF(ISBLANK('Ingest Template'!N330),"", 'Ingest Template'!N330&amp;"|Operations - Core Title"),CHAR(10), IF(ISBLANK('Ingest Template'!O330),"", 'Ingest Template'!O330&amp;"|Operations - Core Title"),CHAR(10), IF(ISBLANK('Ingest Template'!P330),"", 'Ingest Template'!P330&amp;"|Operations - Core Title"))))</f>
        <v>#|Operations - Core Title
</v>
      </c>
      <c r="AH330" s="5"/>
      <c r="AI330" s="5"/>
      <c r="AJ330" s="5"/>
      <c r="AK330" s="5"/>
      <c r="AL330" s="5"/>
    </row>
    <row r="331">
      <c r="A331" s="5"/>
      <c r="B331" s="5" t="str">
        <f>'Ingest Template'!B331&amp;IF('Ingest Template'!A331 = "Standard", " - DAR","")</f>
        <v/>
      </c>
      <c r="C331" s="6" t="str">
        <f>'Ingest Template'!C331</f>
        <v/>
      </c>
      <c r="D331" s="7" t="str">
        <f>'Ingest Template'!E331</f>
        <v/>
      </c>
      <c r="E331" s="5"/>
      <c r="F331" s="5"/>
      <c r="G331" s="5"/>
      <c r="H331" s="7"/>
      <c r="I331" s="5"/>
      <c r="J331" s="7" t="str">
        <f>'Ingest Template'!Q331</f>
        <v/>
      </c>
      <c r="K331" s="5" t="str">
        <f>'Ingest Template'!R331</f>
        <v/>
      </c>
      <c r="L331" s="8" t="s">
        <v>38</v>
      </c>
      <c r="M331" s="9"/>
      <c r="N331" s="5"/>
      <c r="O331" s="5"/>
      <c r="P331" s="5"/>
      <c r="Q331" s="5"/>
      <c r="R331" s="5" t="str">
        <f>'Ingest Template'!D331</f>
        <v/>
      </c>
      <c r="S331" s="5" t="str">
        <f>'Ingest Template'!G331</f>
        <v/>
      </c>
      <c r="T331" s="5" t="str">
        <f>'Ingest Template'!H331</f>
        <v/>
      </c>
      <c r="U331" s="5" t="str">
        <f>LOWER(SUBSTITUTE(SUBSTITUTE(SUBSTITUTE(SUBSTITUTE(SUBSTITUTE('Ingest Template'!I331,"https:",""),"www.",""),"/",""),"?hl=en",""),"instagram.com",""))</f>
        <v/>
      </c>
      <c r="V331" s="10" t="str">
        <f>'Ingest Template'!J331</f>
        <v/>
      </c>
      <c r="W331" s="10" t="str">
        <f>'Ingest Template'!K331</f>
        <v/>
      </c>
      <c r="X331" s="5"/>
      <c r="Y331" s="5" t="str">
        <f>SUBSTITUTE(SUBSTITUTE(SUBSTITUTE('Ingest Template'!L331,"http:",""),"https:",""),"/","")</f>
        <v/>
      </c>
      <c r="Z331" s="5" t="str">
        <f t="array" ref="Z331">IF('Ingest Template'!A331="Standard",(IF(ISBLANK('Ingest Template'!M331),"", 'Ingest Template'!M331&amp;"|DAR")),(IF(ISBLANK('Ingest Template'!M331),"", 'Ingest Template'!M331&amp;"|Operations - Core Title")))</f>
        <v/>
      </c>
      <c r="AA331" s="5"/>
      <c r="AB331" s="5" t="str">
        <f>'Ingest Template'!F331</f>
        <v/>
      </c>
      <c r="AC331" s="5"/>
      <c r="AD331" s="5"/>
      <c r="AE331" s="5"/>
      <c r="AF331" s="8"/>
      <c r="AG331" s="5" t="str">
        <f t="array" ref="AG331">IF('Ingest Template'!A331="Standard",(CONCATENATE(IF(ISBLANK('Ingest Template'!N331),"", 'Ingest Template'!N331&amp;"|DAR"),CHAR(10), IF(ISBLANK('Ingest Template'!O331),"", 'Ingest Template'!O331&amp;"|DAR"),CHAR(10), IF(ISBLANK('Ingest Template'!P331),"", 'Ingest Template'!P331&amp;"|DAR"))),(CONCATENATE(IF(ISBLANK('Ingest Template'!N331),"", 'Ingest Template'!N331&amp;"|Operations - Core Title"),CHAR(10), IF(ISBLANK('Ingest Template'!O331),"", 'Ingest Template'!O331&amp;"|Operations - Core Title"),CHAR(10), IF(ISBLANK('Ingest Template'!P331),"", 'Ingest Template'!P331&amp;"|Operations - Core Title"))))</f>
        <v>#|Operations - Core Title
</v>
      </c>
      <c r="AH331" s="5"/>
      <c r="AI331" s="5"/>
      <c r="AJ331" s="5"/>
      <c r="AK331" s="5"/>
      <c r="AL331" s="5"/>
    </row>
    <row r="332">
      <c r="A332" s="5"/>
      <c r="B332" s="5" t="str">
        <f>'Ingest Template'!B332&amp;IF('Ingest Template'!A332 = "Standard", " - DAR","")</f>
        <v/>
      </c>
      <c r="C332" s="6" t="str">
        <f>'Ingest Template'!C332</f>
        <v/>
      </c>
      <c r="D332" s="7" t="str">
        <f>'Ingest Template'!E332</f>
        <v/>
      </c>
      <c r="E332" s="5"/>
      <c r="F332" s="5"/>
      <c r="G332" s="5"/>
      <c r="H332" s="7"/>
      <c r="I332" s="5"/>
      <c r="J332" s="7" t="str">
        <f>'Ingest Template'!Q332</f>
        <v/>
      </c>
      <c r="K332" s="5" t="str">
        <f>'Ingest Template'!R332</f>
        <v/>
      </c>
      <c r="L332" s="8" t="s">
        <v>38</v>
      </c>
      <c r="M332" s="9"/>
      <c r="N332" s="5"/>
      <c r="O332" s="5"/>
      <c r="P332" s="5"/>
      <c r="Q332" s="5"/>
      <c r="R332" s="5" t="str">
        <f>'Ingest Template'!D332</f>
        <v/>
      </c>
      <c r="S332" s="5" t="str">
        <f>'Ingest Template'!G332</f>
        <v/>
      </c>
      <c r="T332" s="5" t="str">
        <f>'Ingest Template'!H332</f>
        <v/>
      </c>
      <c r="U332" s="5" t="str">
        <f>LOWER(SUBSTITUTE(SUBSTITUTE(SUBSTITUTE(SUBSTITUTE(SUBSTITUTE('Ingest Template'!I332,"https:",""),"www.",""),"/",""),"?hl=en",""),"instagram.com",""))</f>
        <v/>
      </c>
      <c r="V332" s="10" t="str">
        <f>'Ingest Template'!J332</f>
        <v/>
      </c>
      <c r="W332" s="10" t="str">
        <f>'Ingest Template'!K332</f>
        <v/>
      </c>
      <c r="X332" s="5"/>
      <c r="Y332" s="5" t="str">
        <f>SUBSTITUTE(SUBSTITUTE(SUBSTITUTE('Ingest Template'!L332,"http:",""),"https:",""),"/","")</f>
        <v/>
      </c>
      <c r="Z332" s="5" t="str">
        <f t="array" ref="Z332">IF('Ingest Template'!A332="Standard",(IF(ISBLANK('Ingest Template'!M332),"", 'Ingest Template'!M332&amp;"|DAR")),(IF(ISBLANK('Ingest Template'!M332),"", 'Ingest Template'!M332&amp;"|Operations - Core Title")))</f>
        <v/>
      </c>
      <c r="AA332" s="5"/>
      <c r="AB332" s="5" t="str">
        <f>'Ingest Template'!F332</f>
        <v/>
      </c>
      <c r="AC332" s="5"/>
      <c r="AD332" s="5"/>
      <c r="AE332" s="5"/>
      <c r="AF332" s="8"/>
      <c r="AG332" s="5" t="str">
        <f t="array" ref="AG332">IF('Ingest Template'!A332="Standard",(CONCATENATE(IF(ISBLANK('Ingest Template'!N332),"", 'Ingest Template'!N332&amp;"|DAR"),CHAR(10), IF(ISBLANK('Ingest Template'!O332),"", 'Ingest Template'!O332&amp;"|DAR"),CHAR(10), IF(ISBLANK('Ingest Template'!P332),"", 'Ingest Template'!P332&amp;"|DAR"))),(CONCATENATE(IF(ISBLANK('Ingest Template'!N332),"", 'Ingest Template'!N332&amp;"|Operations - Core Title"),CHAR(10), IF(ISBLANK('Ingest Template'!O332),"", 'Ingest Template'!O332&amp;"|Operations - Core Title"),CHAR(10), IF(ISBLANK('Ingest Template'!P332),"", 'Ingest Template'!P332&amp;"|Operations - Core Title"))))</f>
        <v>#|Operations - Core Title
</v>
      </c>
      <c r="AH332" s="5"/>
      <c r="AI332" s="5"/>
      <c r="AJ332" s="5"/>
      <c r="AK332" s="5"/>
      <c r="AL332" s="5"/>
    </row>
    <row r="333">
      <c r="A333" s="5"/>
      <c r="B333" s="5" t="str">
        <f>'Ingest Template'!B333&amp;IF('Ingest Template'!A333 = "Standard", " - DAR","")</f>
        <v/>
      </c>
      <c r="C333" s="6" t="str">
        <f>'Ingest Template'!C333</f>
        <v/>
      </c>
      <c r="D333" s="7" t="str">
        <f>'Ingest Template'!E333</f>
        <v/>
      </c>
      <c r="E333" s="5"/>
      <c r="F333" s="5"/>
      <c r="G333" s="5"/>
      <c r="H333" s="7"/>
      <c r="I333" s="5"/>
      <c r="J333" s="7" t="str">
        <f>'Ingest Template'!Q333</f>
        <v/>
      </c>
      <c r="K333" s="5" t="str">
        <f>'Ingest Template'!R333</f>
        <v/>
      </c>
      <c r="L333" s="8" t="s">
        <v>38</v>
      </c>
      <c r="M333" s="9"/>
      <c r="N333" s="5"/>
      <c r="O333" s="5"/>
      <c r="P333" s="5"/>
      <c r="Q333" s="5"/>
      <c r="R333" s="5" t="str">
        <f>'Ingest Template'!D333</f>
        <v/>
      </c>
      <c r="S333" s="5" t="str">
        <f>'Ingest Template'!G333</f>
        <v/>
      </c>
      <c r="T333" s="5" t="str">
        <f>'Ingest Template'!H333</f>
        <v/>
      </c>
      <c r="U333" s="5" t="str">
        <f>LOWER(SUBSTITUTE(SUBSTITUTE(SUBSTITUTE(SUBSTITUTE(SUBSTITUTE('Ingest Template'!I333,"https:",""),"www.",""),"/",""),"?hl=en",""),"instagram.com",""))</f>
        <v/>
      </c>
      <c r="V333" s="10" t="str">
        <f>'Ingest Template'!J333</f>
        <v/>
      </c>
      <c r="W333" s="10" t="str">
        <f>'Ingest Template'!K333</f>
        <v/>
      </c>
      <c r="X333" s="5"/>
      <c r="Y333" s="5" t="str">
        <f>SUBSTITUTE(SUBSTITUTE(SUBSTITUTE('Ingest Template'!L333,"http:",""),"https:",""),"/","")</f>
        <v/>
      </c>
      <c r="Z333" s="5" t="str">
        <f t="array" ref="Z333">IF('Ingest Template'!A333="Standard",(IF(ISBLANK('Ingest Template'!M333),"", 'Ingest Template'!M333&amp;"|DAR")),(IF(ISBLANK('Ingest Template'!M333),"", 'Ingest Template'!M333&amp;"|Operations - Core Title")))</f>
        <v/>
      </c>
      <c r="AA333" s="5"/>
      <c r="AB333" s="5" t="str">
        <f>'Ingest Template'!F333</f>
        <v/>
      </c>
      <c r="AC333" s="5"/>
      <c r="AD333" s="5"/>
      <c r="AE333" s="5"/>
      <c r="AF333" s="8"/>
      <c r="AG333" s="5" t="str">
        <f t="array" ref="AG333">IF('Ingest Template'!A333="Standard",(CONCATENATE(IF(ISBLANK('Ingest Template'!N333),"", 'Ingest Template'!N333&amp;"|DAR"),CHAR(10), IF(ISBLANK('Ingest Template'!O333),"", 'Ingest Template'!O333&amp;"|DAR"),CHAR(10), IF(ISBLANK('Ingest Template'!P333),"", 'Ingest Template'!P333&amp;"|DAR"))),(CONCATENATE(IF(ISBLANK('Ingest Template'!N333),"", 'Ingest Template'!N333&amp;"|Operations - Core Title"),CHAR(10), IF(ISBLANK('Ingest Template'!O333),"", 'Ingest Template'!O333&amp;"|Operations - Core Title"),CHAR(10), IF(ISBLANK('Ingest Template'!P333),"", 'Ingest Template'!P333&amp;"|Operations - Core Title"))))</f>
        <v>#|Operations - Core Title
</v>
      </c>
      <c r="AH333" s="5"/>
      <c r="AI333" s="5"/>
      <c r="AJ333" s="5"/>
      <c r="AK333" s="5"/>
      <c r="AL333" s="5"/>
    </row>
    <row r="334">
      <c r="A334" s="5"/>
      <c r="B334" s="5" t="str">
        <f>'Ingest Template'!B334&amp;IF('Ingest Template'!A334 = "Standard", " - DAR","")</f>
        <v/>
      </c>
      <c r="C334" s="6" t="str">
        <f>'Ingest Template'!C334</f>
        <v/>
      </c>
      <c r="D334" s="7" t="str">
        <f>'Ingest Template'!E334</f>
        <v/>
      </c>
      <c r="E334" s="5"/>
      <c r="F334" s="5"/>
      <c r="G334" s="5"/>
      <c r="H334" s="7"/>
      <c r="I334" s="5"/>
      <c r="J334" s="7" t="str">
        <f>'Ingest Template'!Q334</f>
        <v/>
      </c>
      <c r="K334" s="5" t="str">
        <f>'Ingest Template'!R334</f>
        <v/>
      </c>
      <c r="L334" s="8" t="s">
        <v>38</v>
      </c>
      <c r="M334" s="9"/>
      <c r="N334" s="5"/>
      <c r="O334" s="5"/>
      <c r="P334" s="5"/>
      <c r="Q334" s="5"/>
      <c r="R334" s="5" t="str">
        <f>'Ingest Template'!D334</f>
        <v/>
      </c>
      <c r="S334" s="5" t="str">
        <f>'Ingest Template'!G334</f>
        <v/>
      </c>
      <c r="T334" s="5" t="str">
        <f>'Ingest Template'!H334</f>
        <v/>
      </c>
      <c r="U334" s="5" t="str">
        <f>LOWER(SUBSTITUTE(SUBSTITUTE(SUBSTITUTE(SUBSTITUTE(SUBSTITUTE('Ingest Template'!I334,"https:",""),"www.",""),"/",""),"?hl=en",""),"instagram.com",""))</f>
        <v/>
      </c>
      <c r="V334" s="10" t="str">
        <f>'Ingest Template'!J334</f>
        <v/>
      </c>
      <c r="W334" s="10" t="str">
        <f>'Ingest Template'!K334</f>
        <v/>
      </c>
      <c r="X334" s="5"/>
      <c r="Y334" s="5" t="str">
        <f>SUBSTITUTE(SUBSTITUTE(SUBSTITUTE('Ingest Template'!L334,"http:",""),"https:",""),"/","")</f>
        <v/>
      </c>
      <c r="Z334" s="5" t="str">
        <f t="array" ref="Z334">IF('Ingest Template'!A334="Standard",(IF(ISBLANK('Ingest Template'!M334),"", 'Ingest Template'!M334&amp;"|DAR")),(IF(ISBLANK('Ingest Template'!M334),"", 'Ingest Template'!M334&amp;"|Operations - Core Title")))</f>
        <v/>
      </c>
      <c r="AA334" s="5"/>
      <c r="AB334" s="5" t="str">
        <f>'Ingest Template'!F334</f>
        <v/>
      </c>
      <c r="AC334" s="5"/>
      <c r="AD334" s="5"/>
      <c r="AE334" s="5"/>
      <c r="AF334" s="8"/>
      <c r="AG334" s="5" t="str">
        <f t="array" ref="AG334">IF('Ingest Template'!A334="Standard",(CONCATENATE(IF(ISBLANK('Ingest Template'!N334),"", 'Ingest Template'!N334&amp;"|DAR"),CHAR(10), IF(ISBLANK('Ingest Template'!O334),"", 'Ingest Template'!O334&amp;"|DAR"),CHAR(10), IF(ISBLANK('Ingest Template'!P334),"", 'Ingest Template'!P334&amp;"|DAR"))),(CONCATENATE(IF(ISBLANK('Ingest Template'!N334),"", 'Ingest Template'!N334&amp;"|Operations - Core Title"),CHAR(10), IF(ISBLANK('Ingest Template'!O334),"", 'Ingest Template'!O334&amp;"|Operations - Core Title"),CHAR(10), IF(ISBLANK('Ingest Template'!P334),"", 'Ingest Template'!P334&amp;"|Operations - Core Title"))))</f>
        <v>#|Operations - Core Title
</v>
      </c>
      <c r="AH334" s="5"/>
      <c r="AI334" s="5"/>
      <c r="AJ334" s="5"/>
      <c r="AK334" s="5"/>
      <c r="AL334" s="5"/>
    </row>
    <row r="335">
      <c r="A335" s="5"/>
      <c r="B335" s="5" t="str">
        <f>'Ingest Template'!B335&amp;IF('Ingest Template'!A335 = "Standard", " - DAR","")</f>
        <v/>
      </c>
      <c r="C335" s="6" t="str">
        <f>'Ingest Template'!C335</f>
        <v/>
      </c>
      <c r="D335" s="7" t="str">
        <f>'Ingest Template'!E335</f>
        <v/>
      </c>
      <c r="E335" s="5"/>
      <c r="F335" s="5"/>
      <c r="G335" s="5"/>
      <c r="H335" s="7"/>
      <c r="I335" s="5"/>
      <c r="J335" s="7" t="str">
        <f>'Ingest Template'!Q335</f>
        <v/>
      </c>
      <c r="K335" s="5" t="str">
        <f>'Ingest Template'!R335</f>
        <v/>
      </c>
      <c r="L335" s="8" t="s">
        <v>38</v>
      </c>
      <c r="M335" s="9"/>
      <c r="N335" s="5"/>
      <c r="O335" s="5"/>
      <c r="P335" s="5"/>
      <c r="Q335" s="5"/>
      <c r="R335" s="5" t="str">
        <f>'Ingest Template'!D335</f>
        <v/>
      </c>
      <c r="S335" s="5" t="str">
        <f>'Ingest Template'!G335</f>
        <v/>
      </c>
      <c r="T335" s="5" t="str">
        <f>'Ingest Template'!H335</f>
        <v/>
      </c>
      <c r="U335" s="5" t="str">
        <f>LOWER(SUBSTITUTE(SUBSTITUTE(SUBSTITUTE(SUBSTITUTE(SUBSTITUTE('Ingest Template'!I335,"https:",""),"www.",""),"/",""),"?hl=en",""),"instagram.com",""))</f>
        <v/>
      </c>
      <c r="V335" s="10" t="str">
        <f>'Ingest Template'!J335</f>
        <v/>
      </c>
      <c r="W335" s="10" t="str">
        <f>'Ingest Template'!K335</f>
        <v/>
      </c>
      <c r="X335" s="5"/>
      <c r="Y335" s="5" t="str">
        <f>SUBSTITUTE(SUBSTITUTE(SUBSTITUTE('Ingest Template'!L335,"http:",""),"https:",""),"/","")</f>
        <v/>
      </c>
      <c r="Z335" s="5" t="str">
        <f t="array" ref="Z335">IF('Ingest Template'!A335="Standard",(IF(ISBLANK('Ingest Template'!M335),"", 'Ingest Template'!M335&amp;"|DAR")),(IF(ISBLANK('Ingest Template'!M335),"", 'Ingest Template'!M335&amp;"|Operations - Core Title")))</f>
        <v/>
      </c>
      <c r="AA335" s="5"/>
      <c r="AB335" s="5" t="str">
        <f>'Ingest Template'!F335</f>
        <v/>
      </c>
      <c r="AC335" s="5"/>
      <c r="AD335" s="5"/>
      <c r="AE335" s="5"/>
      <c r="AF335" s="8"/>
      <c r="AG335" s="5" t="str">
        <f t="array" ref="AG335">IF('Ingest Template'!A335="Standard",(CONCATENATE(IF(ISBLANK('Ingest Template'!N335),"", 'Ingest Template'!N335&amp;"|DAR"),CHAR(10), IF(ISBLANK('Ingest Template'!O335),"", 'Ingest Template'!O335&amp;"|DAR"),CHAR(10), IF(ISBLANK('Ingest Template'!P335),"", 'Ingest Template'!P335&amp;"|DAR"))),(CONCATENATE(IF(ISBLANK('Ingest Template'!N335),"", 'Ingest Template'!N335&amp;"|Operations - Core Title"),CHAR(10), IF(ISBLANK('Ingest Template'!O335),"", 'Ingest Template'!O335&amp;"|Operations - Core Title"),CHAR(10), IF(ISBLANK('Ingest Template'!P335),"", 'Ingest Template'!P335&amp;"|Operations - Core Title"))))</f>
        <v>#|Operations - Core Title
</v>
      </c>
      <c r="AH335" s="5"/>
      <c r="AI335" s="5"/>
      <c r="AJ335" s="5"/>
      <c r="AK335" s="5"/>
      <c r="AL335" s="5"/>
    </row>
    <row r="336">
      <c r="A336" s="5"/>
      <c r="B336" s="5" t="str">
        <f>'Ingest Template'!B336&amp;IF('Ingest Template'!A336 = "Standard", " - DAR","")</f>
        <v/>
      </c>
      <c r="C336" s="6" t="str">
        <f>'Ingest Template'!C336</f>
        <v/>
      </c>
      <c r="D336" s="7" t="str">
        <f>'Ingest Template'!E336</f>
        <v/>
      </c>
      <c r="E336" s="5"/>
      <c r="F336" s="5"/>
      <c r="G336" s="5"/>
      <c r="H336" s="7"/>
      <c r="I336" s="5"/>
      <c r="J336" s="7" t="str">
        <f>'Ingest Template'!Q336</f>
        <v/>
      </c>
      <c r="K336" s="5" t="str">
        <f>'Ingest Template'!R336</f>
        <v/>
      </c>
      <c r="L336" s="8" t="s">
        <v>38</v>
      </c>
      <c r="M336" s="9"/>
      <c r="N336" s="5"/>
      <c r="O336" s="5"/>
      <c r="P336" s="5"/>
      <c r="Q336" s="5"/>
      <c r="R336" s="5" t="str">
        <f>'Ingest Template'!D336</f>
        <v/>
      </c>
      <c r="S336" s="5" t="str">
        <f>'Ingest Template'!G336</f>
        <v/>
      </c>
      <c r="T336" s="5" t="str">
        <f>'Ingest Template'!H336</f>
        <v/>
      </c>
      <c r="U336" s="5" t="str">
        <f>LOWER(SUBSTITUTE(SUBSTITUTE(SUBSTITUTE(SUBSTITUTE(SUBSTITUTE('Ingest Template'!I336,"https:",""),"www.",""),"/",""),"?hl=en",""),"instagram.com",""))</f>
        <v/>
      </c>
      <c r="V336" s="10" t="str">
        <f>'Ingest Template'!J336</f>
        <v/>
      </c>
      <c r="W336" s="10" t="str">
        <f>'Ingest Template'!K336</f>
        <v/>
      </c>
      <c r="X336" s="5"/>
      <c r="Y336" s="5" t="str">
        <f>SUBSTITUTE(SUBSTITUTE(SUBSTITUTE('Ingest Template'!L336,"http:",""),"https:",""),"/","")</f>
        <v/>
      </c>
      <c r="Z336" s="5" t="str">
        <f t="array" ref="Z336">IF('Ingest Template'!A336="Standard",(IF(ISBLANK('Ingest Template'!M336),"", 'Ingest Template'!M336&amp;"|DAR")),(IF(ISBLANK('Ingest Template'!M336),"", 'Ingest Template'!M336&amp;"|Operations - Core Title")))</f>
        <v/>
      </c>
      <c r="AA336" s="5"/>
      <c r="AB336" s="5" t="str">
        <f>'Ingest Template'!F336</f>
        <v/>
      </c>
      <c r="AC336" s="5"/>
      <c r="AD336" s="5"/>
      <c r="AE336" s="5"/>
      <c r="AF336" s="8"/>
      <c r="AG336" s="5" t="str">
        <f t="array" ref="AG336">IF('Ingest Template'!A336="Standard",(CONCATENATE(IF(ISBLANK('Ingest Template'!N336),"", 'Ingest Template'!N336&amp;"|DAR"),CHAR(10), IF(ISBLANK('Ingest Template'!O336),"", 'Ingest Template'!O336&amp;"|DAR"),CHAR(10), IF(ISBLANK('Ingest Template'!P336),"", 'Ingest Template'!P336&amp;"|DAR"))),(CONCATENATE(IF(ISBLANK('Ingest Template'!N336),"", 'Ingest Template'!N336&amp;"|Operations - Core Title"),CHAR(10), IF(ISBLANK('Ingest Template'!O336),"", 'Ingest Template'!O336&amp;"|Operations - Core Title"),CHAR(10), IF(ISBLANK('Ingest Template'!P336),"", 'Ingest Template'!P336&amp;"|Operations - Core Title"))))</f>
        <v>#|Operations - Core Title
</v>
      </c>
      <c r="AH336" s="5"/>
      <c r="AI336" s="5"/>
      <c r="AJ336" s="5"/>
      <c r="AK336" s="5"/>
      <c r="AL336" s="5"/>
    </row>
    <row r="337">
      <c r="A337" s="5"/>
      <c r="B337" s="5" t="str">
        <f>'Ingest Template'!B337&amp;IF('Ingest Template'!A337 = "Standard", " - DAR","")</f>
        <v/>
      </c>
      <c r="C337" s="6" t="str">
        <f>'Ingest Template'!C337</f>
        <v/>
      </c>
      <c r="D337" s="7" t="str">
        <f>'Ingest Template'!E337</f>
        <v/>
      </c>
      <c r="E337" s="5"/>
      <c r="F337" s="5"/>
      <c r="G337" s="5"/>
      <c r="H337" s="7"/>
      <c r="I337" s="5"/>
      <c r="J337" s="7" t="str">
        <f>'Ingest Template'!Q337</f>
        <v/>
      </c>
      <c r="K337" s="5" t="str">
        <f>'Ingest Template'!R337</f>
        <v/>
      </c>
      <c r="L337" s="8" t="s">
        <v>38</v>
      </c>
      <c r="M337" s="9"/>
      <c r="N337" s="5"/>
      <c r="O337" s="5"/>
      <c r="P337" s="5"/>
      <c r="Q337" s="5"/>
      <c r="R337" s="5" t="str">
        <f>'Ingest Template'!D337</f>
        <v/>
      </c>
      <c r="S337" s="5" t="str">
        <f>'Ingest Template'!G337</f>
        <v/>
      </c>
      <c r="T337" s="5" t="str">
        <f>'Ingest Template'!H337</f>
        <v/>
      </c>
      <c r="U337" s="5" t="str">
        <f>LOWER(SUBSTITUTE(SUBSTITUTE(SUBSTITUTE(SUBSTITUTE(SUBSTITUTE('Ingest Template'!I337,"https:",""),"www.",""),"/",""),"?hl=en",""),"instagram.com",""))</f>
        <v/>
      </c>
      <c r="V337" s="10" t="str">
        <f>'Ingest Template'!J337</f>
        <v/>
      </c>
      <c r="W337" s="10" t="str">
        <f>'Ingest Template'!K337</f>
        <v/>
      </c>
      <c r="X337" s="5"/>
      <c r="Y337" s="5" t="str">
        <f>SUBSTITUTE(SUBSTITUTE(SUBSTITUTE('Ingest Template'!L337,"http:",""),"https:",""),"/","")</f>
        <v/>
      </c>
      <c r="Z337" s="5" t="str">
        <f t="array" ref="Z337">IF('Ingest Template'!A337="Standard",(IF(ISBLANK('Ingest Template'!M337),"", 'Ingest Template'!M337&amp;"|DAR")),(IF(ISBLANK('Ingest Template'!M337),"", 'Ingest Template'!M337&amp;"|Operations - Core Title")))</f>
        <v/>
      </c>
      <c r="AA337" s="5"/>
      <c r="AB337" s="5" t="str">
        <f>'Ingest Template'!F337</f>
        <v/>
      </c>
      <c r="AC337" s="5"/>
      <c r="AD337" s="5"/>
      <c r="AE337" s="5"/>
      <c r="AF337" s="8"/>
      <c r="AG337" s="5" t="str">
        <f t="array" ref="AG337">IF('Ingest Template'!A337="Standard",(CONCATENATE(IF(ISBLANK('Ingest Template'!N337),"", 'Ingest Template'!N337&amp;"|DAR"),CHAR(10), IF(ISBLANK('Ingest Template'!O337),"", 'Ingest Template'!O337&amp;"|DAR"),CHAR(10), IF(ISBLANK('Ingest Template'!P337),"", 'Ingest Template'!P337&amp;"|DAR"))),(CONCATENATE(IF(ISBLANK('Ingest Template'!N337),"", 'Ingest Template'!N337&amp;"|Operations - Core Title"),CHAR(10), IF(ISBLANK('Ingest Template'!O337),"", 'Ingest Template'!O337&amp;"|Operations - Core Title"),CHAR(10), IF(ISBLANK('Ingest Template'!P337),"", 'Ingest Template'!P337&amp;"|Operations - Core Title"))))</f>
        <v>#|Operations - Core Title
</v>
      </c>
      <c r="AH337" s="5"/>
      <c r="AI337" s="5"/>
      <c r="AJ337" s="5"/>
      <c r="AK337" s="5"/>
      <c r="AL337" s="5"/>
    </row>
    <row r="338">
      <c r="A338" s="5"/>
      <c r="B338" s="5" t="str">
        <f>'Ingest Template'!B338&amp;IF('Ingest Template'!A338 = "Standard", " - DAR","")</f>
        <v/>
      </c>
      <c r="C338" s="6" t="str">
        <f>'Ingest Template'!C338</f>
        <v/>
      </c>
      <c r="D338" s="7" t="str">
        <f>'Ingest Template'!E338</f>
        <v/>
      </c>
      <c r="E338" s="5"/>
      <c r="F338" s="5"/>
      <c r="G338" s="5"/>
      <c r="H338" s="7"/>
      <c r="I338" s="5"/>
      <c r="J338" s="7" t="str">
        <f>'Ingest Template'!Q338</f>
        <v/>
      </c>
      <c r="K338" s="5" t="str">
        <f>'Ingest Template'!R338</f>
        <v/>
      </c>
      <c r="L338" s="8" t="s">
        <v>38</v>
      </c>
      <c r="M338" s="9"/>
      <c r="N338" s="5"/>
      <c r="O338" s="5"/>
      <c r="P338" s="5"/>
      <c r="Q338" s="5"/>
      <c r="R338" s="5" t="str">
        <f>'Ingest Template'!D338</f>
        <v/>
      </c>
      <c r="S338" s="5" t="str">
        <f>'Ingest Template'!G338</f>
        <v/>
      </c>
      <c r="T338" s="5" t="str">
        <f>'Ingest Template'!H338</f>
        <v/>
      </c>
      <c r="U338" s="5" t="str">
        <f>LOWER(SUBSTITUTE(SUBSTITUTE(SUBSTITUTE(SUBSTITUTE(SUBSTITUTE('Ingest Template'!I338,"https:",""),"www.",""),"/",""),"?hl=en",""),"instagram.com",""))</f>
        <v/>
      </c>
      <c r="V338" s="10" t="str">
        <f>'Ingest Template'!J338</f>
        <v/>
      </c>
      <c r="W338" s="10" t="str">
        <f>'Ingest Template'!K338</f>
        <v/>
      </c>
      <c r="X338" s="5"/>
      <c r="Y338" s="5" t="str">
        <f>SUBSTITUTE(SUBSTITUTE(SUBSTITUTE('Ingest Template'!L338,"http:",""),"https:",""),"/","")</f>
        <v/>
      </c>
      <c r="Z338" s="5" t="str">
        <f t="array" ref="Z338">IF('Ingest Template'!A338="Standard",(IF(ISBLANK('Ingest Template'!M338),"", 'Ingest Template'!M338&amp;"|DAR")),(IF(ISBLANK('Ingest Template'!M338),"", 'Ingest Template'!M338&amp;"|Operations - Core Title")))</f>
        <v/>
      </c>
      <c r="AA338" s="5"/>
      <c r="AB338" s="5" t="str">
        <f>'Ingest Template'!F338</f>
        <v/>
      </c>
      <c r="AC338" s="5"/>
      <c r="AD338" s="5"/>
      <c r="AE338" s="5"/>
      <c r="AF338" s="8"/>
      <c r="AG338" s="5" t="str">
        <f t="array" ref="AG338">IF('Ingest Template'!A338="Standard",(CONCATENATE(IF(ISBLANK('Ingest Template'!N338),"", 'Ingest Template'!N338&amp;"|DAR"),CHAR(10), IF(ISBLANK('Ingest Template'!O338),"", 'Ingest Template'!O338&amp;"|DAR"),CHAR(10), IF(ISBLANK('Ingest Template'!P338),"", 'Ingest Template'!P338&amp;"|DAR"))),(CONCATENATE(IF(ISBLANK('Ingest Template'!N338),"", 'Ingest Template'!N338&amp;"|Operations - Core Title"),CHAR(10), IF(ISBLANK('Ingest Template'!O338),"", 'Ingest Template'!O338&amp;"|Operations - Core Title"),CHAR(10), IF(ISBLANK('Ingest Template'!P338),"", 'Ingest Template'!P338&amp;"|Operations - Core Title"))))</f>
        <v>#|Operations - Core Title
</v>
      </c>
      <c r="AH338" s="5"/>
      <c r="AI338" s="5"/>
      <c r="AJ338" s="5"/>
      <c r="AK338" s="5"/>
      <c r="AL338" s="5"/>
    </row>
    <row r="339">
      <c r="A339" s="5"/>
      <c r="B339" s="5" t="str">
        <f>'Ingest Template'!B339&amp;IF('Ingest Template'!A339 = "Standard", " - DAR","")</f>
        <v/>
      </c>
      <c r="C339" s="6" t="str">
        <f>'Ingest Template'!C339</f>
        <v/>
      </c>
      <c r="D339" s="7" t="str">
        <f>'Ingest Template'!E339</f>
        <v/>
      </c>
      <c r="E339" s="5"/>
      <c r="F339" s="5"/>
      <c r="G339" s="5"/>
      <c r="H339" s="7"/>
      <c r="I339" s="5"/>
      <c r="J339" s="7" t="str">
        <f>'Ingest Template'!Q339</f>
        <v/>
      </c>
      <c r="K339" s="5" t="str">
        <f>'Ingest Template'!R339</f>
        <v/>
      </c>
      <c r="L339" s="8" t="s">
        <v>38</v>
      </c>
      <c r="M339" s="9"/>
      <c r="N339" s="5"/>
      <c r="O339" s="5"/>
      <c r="P339" s="5"/>
      <c r="Q339" s="5"/>
      <c r="R339" s="5" t="str">
        <f>'Ingest Template'!D339</f>
        <v/>
      </c>
      <c r="S339" s="5" t="str">
        <f>'Ingest Template'!G339</f>
        <v/>
      </c>
      <c r="T339" s="5" t="str">
        <f>'Ingest Template'!H339</f>
        <v/>
      </c>
      <c r="U339" s="5" t="str">
        <f>LOWER(SUBSTITUTE(SUBSTITUTE(SUBSTITUTE(SUBSTITUTE(SUBSTITUTE('Ingest Template'!I339,"https:",""),"www.",""),"/",""),"?hl=en",""),"instagram.com",""))</f>
        <v/>
      </c>
      <c r="V339" s="10" t="str">
        <f>'Ingest Template'!J339</f>
        <v/>
      </c>
      <c r="W339" s="10" t="str">
        <f>'Ingest Template'!K339</f>
        <v/>
      </c>
      <c r="X339" s="5"/>
      <c r="Y339" s="5" t="str">
        <f>SUBSTITUTE(SUBSTITUTE(SUBSTITUTE('Ingest Template'!L339,"http:",""),"https:",""),"/","")</f>
        <v/>
      </c>
      <c r="Z339" s="5" t="str">
        <f t="array" ref="Z339">IF('Ingest Template'!A339="Standard",(IF(ISBLANK('Ingest Template'!M339),"", 'Ingest Template'!M339&amp;"|DAR")),(IF(ISBLANK('Ingest Template'!M339),"", 'Ingest Template'!M339&amp;"|Operations - Core Title")))</f>
        <v/>
      </c>
      <c r="AA339" s="5"/>
      <c r="AB339" s="5" t="str">
        <f>'Ingest Template'!F339</f>
        <v/>
      </c>
      <c r="AC339" s="5"/>
      <c r="AD339" s="5"/>
      <c r="AE339" s="5"/>
      <c r="AF339" s="8"/>
      <c r="AG339" s="5" t="str">
        <f t="array" ref="AG339">IF('Ingest Template'!A339="Standard",(CONCATENATE(IF(ISBLANK('Ingest Template'!N339),"", 'Ingest Template'!N339&amp;"|DAR"),CHAR(10), IF(ISBLANK('Ingest Template'!O339),"", 'Ingest Template'!O339&amp;"|DAR"),CHAR(10), IF(ISBLANK('Ingest Template'!P339),"", 'Ingest Template'!P339&amp;"|DAR"))),(CONCATENATE(IF(ISBLANK('Ingest Template'!N339),"", 'Ingest Template'!N339&amp;"|Operations - Core Title"),CHAR(10), IF(ISBLANK('Ingest Template'!O339),"", 'Ingest Template'!O339&amp;"|Operations - Core Title"),CHAR(10), IF(ISBLANK('Ingest Template'!P339),"", 'Ingest Template'!P339&amp;"|Operations - Core Title"))))</f>
        <v>#|Operations - Core Title
</v>
      </c>
      <c r="AH339" s="5"/>
      <c r="AI339" s="5"/>
      <c r="AJ339" s="5"/>
      <c r="AK339" s="5"/>
      <c r="AL339" s="5"/>
    </row>
    <row r="340">
      <c r="A340" s="5"/>
      <c r="B340" s="5" t="str">
        <f>'Ingest Template'!B340&amp;IF('Ingest Template'!A340 = "Standard", " - DAR","")</f>
        <v/>
      </c>
      <c r="C340" s="6" t="str">
        <f>'Ingest Template'!C340</f>
        <v/>
      </c>
      <c r="D340" s="7" t="str">
        <f>'Ingest Template'!E340</f>
        <v/>
      </c>
      <c r="E340" s="5"/>
      <c r="F340" s="5"/>
      <c r="G340" s="5"/>
      <c r="H340" s="7"/>
      <c r="I340" s="5"/>
      <c r="J340" s="7" t="str">
        <f>'Ingest Template'!Q340</f>
        <v/>
      </c>
      <c r="K340" s="5" t="str">
        <f>'Ingest Template'!R340</f>
        <v/>
      </c>
      <c r="L340" s="8" t="s">
        <v>38</v>
      </c>
      <c r="M340" s="9"/>
      <c r="N340" s="5"/>
      <c r="O340" s="5"/>
      <c r="P340" s="5"/>
      <c r="Q340" s="5"/>
      <c r="R340" s="5" t="str">
        <f>'Ingest Template'!D340</f>
        <v/>
      </c>
      <c r="S340" s="5" t="str">
        <f>'Ingest Template'!G340</f>
        <v/>
      </c>
      <c r="T340" s="5" t="str">
        <f>'Ingest Template'!H340</f>
        <v/>
      </c>
      <c r="U340" s="5" t="str">
        <f>LOWER(SUBSTITUTE(SUBSTITUTE(SUBSTITUTE(SUBSTITUTE(SUBSTITUTE('Ingest Template'!I340,"https:",""),"www.",""),"/",""),"?hl=en",""),"instagram.com",""))</f>
        <v/>
      </c>
      <c r="V340" s="10" t="str">
        <f>'Ingest Template'!J340</f>
        <v/>
      </c>
      <c r="W340" s="10" t="str">
        <f>'Ingest Template'!K340</f>
        <v/>
      </c>
      <c r="X340" s="5"/>
      <c r="Y340" s="5" t="str">
        <f>SUBSTITUTE(SUBSTITUTE(SUBSTITUTE('Ingest Template'!L340,"http:",""),"https:",""),"/","")</f>
        <v/>
      </c>
      <c r="Z340" s="5" t="str">
        <f t="array" ref="Z340">IF('Ingest Template'!A340="Standard",(IF(ISBLANK('Ingest Template'!M340),"", 'Ingest Template'!M340&amp;"|DAR")),(IF(ISBLANK('Ingest Template'!M340),"", 'Ingest Template'!M340&amp;"|Operations - Core Title")))</f>
        <v/>
      </c>
      <c r="AA340" s="5"/>
      <c r="AB340" s="5" t="str">
        <f>'Ingest Template'!F340</f>
        <v/>
      </c>
      <c r="AC340" s="5"/>
      <c r="AD340" s="5"/>
      <c r="AE340" s="5"/>
      <c r="AF340" s="8"/>
      <c r="AG340" s="5" t="str">
        <f t="array" ref="AG340">IF('Ingest Template'!A340="Standard",(CONCATENATE(IF(ISBLANK('Ingest Template'!N340),"", 'Ingest Template'!N340&amp;"|DAR"),CHAR(10), IF(ISBLANK('Ingest Template'!O340),"", 'Ingest Template'!O340&amp;"|DAR"),CHAR(10), IF(ISBLANK('Ingest Template'!P340),"", 'Ingest Template'!P340&amp;"|DAR"))),(CONCATENATE(IF(ISBLANK('Ingest Template'!N340),"", 'Ingest Template'!N340&amp;"|Operations - Core Title"),CHAR(10), IF(ISBLANK('Ingest Template'!O340),"", 'Ingest Template'!O340&amp;"|Operations - Core Title"),CHAR(10), IF(ISBLANK('Ingest Template'!P340),"", 'Ingest Template'!P340&amp;"|Operations - Core Title"))))</f>
        <v>#|Operations - Core Title
</v>
      </c>
      <c r="AH340" s="5"/>
      <c r="AI340" s="5"/>
      <c r="AJ340" s="5"/>
      <c r="AK340" s="5"/>
      <c r="AL340" s="5"/>
    </row>
    <row r="341">
      <c r="A341" s="5"/>
      <c r="B341" s="5" t="str">
        <f>'Ingest Template'!B341&amp;IF('Ingest Template'!A341 = "Standard", " - DAR","")</f>
        <v/>
      </c>
      <c r="C341" s="6" t="str">
        <f>'Ingest Template'!C341</f>
        <v/>
      </c>
      <c r="D341" s="7" t="str">
        <f>'Ingest Template'!E341</f>
        <v/>
      </c>
      <c r="E341" s="5"/>
      <c r="F341" s="5"/>
      <c r="G341" s="5"/>
      <c r="H341" s="7"/>
      <c r="I341" s="5"/>
      <c r="J341" s="7" t="str">
        <f>'Ingest Template'!Q341</f>
        <v/>
      </c>
      <c r="K341" s="5" t="str">
        <f>'Ingest Template'!R341</f>
        <v/>
      </c>
      <c r="L341" s="8" t="s">
        <v>38</v>
      </c>
      <c r="M341" s="9"/>
      <c r="N341" s="5"/>
      <c r="O341" s="5"/>
      <c r="P341" s="5"/>
      <c r="Q341" s="5"/>
      <c r="R341" s="5" t="str">
        <f>'Ingest Template'!D341</f>
        <v/>
      </c>
      <c r="S341" s="5" t="str">
        <f>'Ingest Template'!G341</f>
        <v/>
      </c>
      <c r="T341" s="5" t="str">
        <f>'Ingest Template'!H341</f>
        <v/>
      </c>
      <c r="U341" s="5" t="str">
        <f>LOWER(SUBSTITUTE(SUBSTITUTE(SUBSTITUTE(SUBSTITUTE(SUBSTITUTE('Ingest Template'!I341,"https:",""),"www.",""),"/",""),"?hl=en",""),"instagram.com",""))</f>
        <v/>
      </c>
      <c r="V341" s="10" t="str">
        <f>'Ingest Template'!J341</f>
        <v/>
      </c>
      <c r="W341" s="10" t="str">
        <f>'Ingest Template'!K341</f>
        <v/>
      </c>
      <c r="X341" s="5"/>
      <c r="Y341" s="5" t="str">
        <f>SUBSTITUTE(SUBSTITUTE(SUBSTITUTE('Ingest Template'!L341,"http:",""),"https:",""),"/","")</f>
        <v/>
      </c>
      <c r="Z341" s="5" t="str">
        <f t="array" ref="Z341">IF('Ingest Template'!A341="Standard",(IF(ISBLANK('Ingest Template'!M341),"", 'Ingest Template'!M341&amp;"|DAR")),(IF(ISBLANK('Ingest Template'!M341),"", 'Ingest Template'!M341&amp;"|Operations - Core Title")))</f>
        <v/>
      </c>
      <c r="AA341" s="5"/>
      <c r="AB341" s="5" t="str">
        <f>'Ingest Template'!F341</f>
        <v/>
      </c>
      <c r="AC341" s="5"/>
      <c r="AD341" s="5"/>
      <c r="AE341" s="5"/>
      <c r="AF341" s="8"/>
      <c r="AG341" s="5" t="str">
        <f t="array" ref="AG341">IF('Ingest Template'!A341="Standard",(CONCATENATE(IF(ISBLANK('Ingest Template'!N341),"", 'Ingest Template'!N341&amp;"|DAR"),CHAR(10), IF(ISBLANK('Ingest Template'!O341),"", 'Ingest Template'!O341&amp;"|DAR"),CHAR(10), IF(ISBLANK('Ingest Template'!P341),"", 'Ingest Template'!P341&amp;"|DAR"))),(CONCATENATE(IF(ISBLANK('Ingest Template'!N341),"", 'Ingest Template'!N341&amp;"|Operations - Core Title"),CHAR(10), IF(ISBLANK('Ingest Template'!O341),"", 'Ingest Template'!O341&amp;"|Operations - Core Title"),CHAR(10), IF(ISBLANK('Ingest Template'!P341),"", 'Ingest Template'!P341&amp;"|Operations - Core Title"))))</f>
        <v>#|Operations - Core Title
</v>
      </c>
      <c r="AH341" s="5"/>
      <c r="AI341" s="5"/>
      <c r="AJ341" s="5"/>
      <c r="AK341" s="5"/>
      <c r="AL341" s="5"/>
    </row>
    <row r="342">
      <c r="A342" s="5"/>
      <c r="B342" s="5" t="str">
        <f>'Ingest Template'!B342&amp;IF('Ingest Template'!A342 = "Standard", " - DAR","")</f>
        <v/>
      </c>
      <c r="C342" s="6" t="str">
        <f>'Ingest Template'!C342</f>
        <v/>
      </c>
      <c r="D342" s="7" t="str">
        <f>'Ingest Template'!E342</f>
        <v/>
      </c>
      <c r="E342" s="5"/>
      <c r="F342" s="5"/>
      <c r="G342" s="5"/>
      <c r="H342" s="7"/>
      <c r="I342" s="5"/>
      <c r="J342" s="7" t="str">
        <f>'Ingest Template'!Q342</f>
        <v/>
      </c>
      <c r="K342" s="5" t="str">
        <f>'Ingest Template'!R342</f>
        <v/>
      </c>
      <c r="L342" s="8" t="s">
        <v>38</v>
      </c>
      <c r="M342" s="9"/>
      <c r="N342" s="5"/>
      <c r="O342" s="5"/>
      <c r="P342" s="5"/>
      <c r="Q342" s="5"/>
      <c r="R342" s="5" t="str">
        <f>'Ingest Template'!D342</f>
        <v/>
      </c>
      <c r="S342" s="5" t="str">
        <f>'Ingest Template'!G342</f>
        <v/>
      </c>
      <c r="T342" s="5" t="str">
        <f>'Ingest Template'!H342</f>
        <v/>
      </c>
      <c r="U342" s="5" t="str">
        <f>LOWER(SUBSTITUTE(SUBSTITUTE(SUBSTITUTE(SUBSTITUTE(SUBSTITUTE('Ingest Template'!I342,"https:",""),"www.",""),"/",""),"?hl=en",""),"instagram.com",""))</f>
        <v/>
      </c>
      <c r="V342" s="10" t="str">
        <f>'Ingest Template'!J342</f>
        <v/>
      </c>
      <c r="W342" s="10" t="str">
        <f>'Ingest Template'!K342</f>
        <v/>
      </c>
      <c r="X342" s="5"/>
      <c r="Y342" s="5" t="str">
        <f>SUBSTITUTE(SUBSTITUTE(SUBSTITUTE('Ingest Template'!L342,"http:",""),"https:",""),"/","")</f>
        <v/>
      </c>
      <c r="Z342" s="5" t="str">
        <f t="array" ref="Z342">IF('Ingest Template'!A342="Standard",(IF(ISBLANK('Ingest Template'!M342),"", 'Ingest Template'!M342&amp;"|DAR")),(IF(ISBLANK('Ingest Template'!M342),"", 'Ingest Template'!M342&amp;"|Operations - Core Title")))</f>
        <v/>
      </c>
      <c r="AA342" s="5"/>
      <c r="AB342" s="5" t="str">
        <f>'Ingest Template'!F342</f>
        <v/>
      </c>
      <c r="AC342" s="5"/>
      <c r="AD342" s="5"/>
      <c r="AE342" s="5"/>
      <c r="AF342" s="8"/>
      <c r="AG342" s="5" t="str">
        <f t="array" ref="AG342">IF('Ingest Template'!A342="Standard",(CONCATENATE(IF(ISBLANK('Ingest Template'!N342),"", 'Ingest Template'!N342&amp;"|DAR"),CHAR(10), IF(ISBLANK('Ingest Template'!O342),"", 'Ingest Template'!O342&amp;"|DAR"),CHAR(10), IF(ISBLANK('Ingest Template'!P342),"", 'Ingest Template'!P342&amp;"|DAR"))),(CONCATENATE(IF(ISBLANK('Ingest Template'!N342),"", 'Ingest Template'!N342&amp;"|Operations - Core Title"),CHAR(10), IF(ISBLANK('Ingest Template'!O342),"", 'Ingest Template'!O342&amp;"|Operations - Core Title"),CHAR(10), IF(ISBLANK('Ingest Template'!P342),"", 'Ingest Template'!P342&amp;"|Operations - Core Title"))))</f>
        <v>#|Operations - Core Title
</v>
      </c>
      <c r="AH342" s="5"/>
      <c r="AI342" s="5"/>
      <c r="AJ342" s="5"/>
      <c r="AK342" s="5"/>
      <c r="AL342" s="5"/>
    </row>
    <row r="343">
      <c r="A343" s="5"/>
      <c r="B343" s="5" t="str">
        <f>'Ingest Template'!B343&amp;IF('Ingest Template'!A343 = "Standard", " - DAR","")</f>
        <v/>
      </c>
      <c r="C343" s="6" t="str">
        <f>'Ingest Template'!C343</f>
        <v/>
      </c>
      <c r="D343" s="7" t="str">
        <f>'Ingest Template'!E343</f>
        <v/>
      </c>
      <c r="E343" s="5"/>
      <c r="F343" s="5"/>
      <c r="G343" s="5"/>
      <c r="H343" s="7"/>
      <c r="I343" s="5"/>
      <c r="J343" s="7" t="str">
        <f>'Ingest Template'!Q343</f>
        <v/>
      </c>
      <c r="K343" s="5" t="str">
        <f>'Ingest Template'!R343</f>
        <v/>
      </c>
      <c r="L343" s="8" t="s">
        <v>38</v>
      </c>
      <c r="M343" s="9"/>
      <c r="N343" s="5"/>
      <c r="O343" s="5"/>
      <c r="P343" s="5"/>
      <c r="Q343" s="5"/>
      <c r="R343" s="5" t="str">
        <f>'Ingest Template'!D343</f>
        <v/>
      </c>
      <c r="S343" s="5" t="str">
        <f>'Ingest Template'!G343</f>
        <v/>
      </c>
      <c r="T343" s="5" t="str">
        <f>'Ingest Template'!H343</f>
        <v/>
      </c>
      <c r="U343" s="5" t="str">
        <f>LOWER(SUBSTITUTE(SUBSTITUTE(SUBSTITUTE(SUBSTITUTE(SUBSTITUTE('Ingest Template'!I343,"https:",""),"www.",""),"/",""),"?hl=en",""),"instagram.com",""))</f>
        <v/>
      </c>
      <c r="V343" s="10" t="str">
        <f>'Ingest Template'!J343</f>
        <v/>
      </c>
      <c r="W343" s="10" t="str">
        <f>'Ingest Template'!K343</f>
        <v/>
      </c>
      <c r="X343" s="5"/>
      <c r="Y343" s="5" t="str">
        <f>SUBSTITUTE(SUBSTITUTE(SUBSTITUTE('Ingest Template'!L343,"http:",""),"https:",""),"/","")</f>
        <v/>
      </c>
      <c r="Z343" s="5" t="str">
        <f t="array" ref="Z343">IF('Ingest Template'!A343="Standard",(IF(ISBLANK('Ingest Template'!M343),"", 'Ingest Template'!M343&amp;"|DAR")),(IF(ISBLANK('Ingest Template'!M343),"", 'Ingest Template'!M343&amp;"|Operations - Core Title")))</f>
        <v/>
      </c>
      <c r="AA343" s="5"/>
      <c r="AB343" s="5" t="str">
        <f>'Ingest Template'!F343</f>
        <v/>
      </c>
      <c r="AC343" s="5"/>
      <c r="AD343" s="5"/>
      <c r="AE343" s="5"/>
      <c r="AF343" s="8"/>
      <c r="AG343" s="5" t="str">
        <f t="array" ref="AG343">IF('Ingest Template'!A343="Standard",(CONCATENATE(IF(ISBLANK('Ingest Template'!N343),"", 'Ingest Template'!N343&amp;"|DAR"),CHAR(10), IF(ISBLANK('Ingest Template'!O343),"", 'Ingest Template'!O343&amp;"|DAR"),CHAR(10), IF(ISBLANK('Ingest Template'!P343),"", 'Ingest Template'!P343&amp;"|DAR"))),(CONCATENATE(IF(ISBLANK('Ingest Template'!N343),"", 'Ingest Template'!N343&amp;"|Operations - Core Title"),CHAR(10), IF(ISBLANK('Ingest Template'!O343),"", 'Ingest Template'!O343&amp;"|Operations - Core Title"),CHAR(10), IF(ISBLANK('Ingest Template'!P343),"", 'Ingest Template'!P343&amp;"|Operations - Core Title"))))</f>
        <v>#|Operations - Core Title
</v>
      </c>
      <c r="AH343" s="5"/>
      <c r="AI343" s="5"/>
      <c r="AJ343" s="5"/>
      <c r="AK343" s="5"/>
      <c r="AL343" s="5"/>
    </row>
    <row r="344">
      <c r="A344" s="5"/>
      <c r="B344" s="5" t="str">
        <f>'Ingest Template'!B344&amp;IF('Ingest Template'!A344 = "Standard", " - DAR","")</f>
        <v/>
      </c>
      <c r="C344" s="6" t="str">
        <f>'Ingest Template'!C344</f>
        <v/>
      </c>
      <c r="D344" s="7" t="str">
        <f>'Ingest Template'!E344</f>
        <v/>
      </c>
      <c r="E344" s="5"/>
      <c r="F344" s="5"/>
      <c r="G344" s="5"/>
      <c r="H344" s="7"/>
      <c r="I344" s="5"/>
      <c r="J344" s="7" t="str">
        <f>'Ingest Template'!Q344</f>
        <v/>
      </c>
      <c r="K344" s="5" t="str">
        <f>'Ingest Template'!R344</f>
        <v/>
      </c>
      <c r="L344" s="8" t="s">
        <v>38</v>
      </c>
      <c r="M344" s="9"/>
      <c r="N344" s="5"/>
      <c r="O344" s="5"/>
      <c r="P344" s="5"/>
      <c r="Q344" s="5"/>
      <c r="R344" s="5" t="str">
        <f>'Ingest Template'!D344</f>
        <v/>
      </c>
      <c r="S344" s="5" t="str">
        <f>'Ingest Template'!G344</f>
        <v/>
      </c>
      <c r="T344" s="5" t="str">
        <f>'Ingest Template'!H344</f>
        <v/>
      </c>
      <c r="U344" s="5" t="str">
        <f>LOWER(SUBSTITUTE(SUBSTITUTE(SUBSTITUTE(SUBSTITUTE(SUBSTITUTE('Ingest Template'!I344,"https:",""),"www.",""),"/",""),"?hl=en",""),"instagram.com",""))</f>
        <v/>
      </c>
      <c r="V344" s="10" t="str">
        <f>'Ingest Template'!J344</f>
        <v/>
      </c>
      <c r="W344" s="10" t="str">
        <f>'Ingest Template'!K344</f>
        <v/>
      </c>
      <c r="X344" s="5"/>
      <c r="Y344" s="5" t="str">
        <f>SUBSTITUTE(SUBSTITUTE(SUBSTITUTE('Ingest Template'!L344,"http:",""),"https:",""),"/","")</f>
        <v/>
      </c>
      <c r="Z344" s="5" t="str">
        <f t="array" ref="Z344">IF('Ingest Template'!A344="Standard",(IF(ISBLANK('Ingest Template'!M344),"", 'Ingest Template'!M344&amp;"|DAR")),(IF(ISBLANK('Ingest Template'!M344),"", 'Ingest Template'!M344&amp;"|Operations - Core Title")))</f>
        <v/>
      </c>
      <c r="AA344" s="5"/>
      <c r="AB344" s="5" t="str">
        <f>'Ingest Template'!F344</f>
        <v/>
      </c>
      <c r="AC344" s="5"/>
      <c r="AD344" s="5"/>
      <c r="AE344" s="5"/>
      <c r="AF344" s="8"/>
      <c r="AG344" s="5" t="str">
        <f t="array" ref="AG344">IF('Ingest Template'!A344="Standard",(CONCATENATE(IF(ISBLANK('Ingest Template'!N344),"", 'Ingest Template'!N344&amp;"|DAR"),CHAR(10), IF(ISBLANK('Ingest Template'!O344),"", 'Ingest Template'!O344&amp;"|DAR"),CHAR(10), IF(ISBLANK('Ingest Template'!P344),"", 'Ingest Template'!P344&amp;"|DAR"))),(CONCATENATE(IF(ISBLANK('Ingest Template'!N344),"", 'Ingest Template'!N344&amp;"|Operations - Core Title"),CHAR(10), IF(ISBLANK('Ingest Template'!O344),"", 'Ingest Template'!O344&amp;"|Operations - Core Title"),CHAR(10), IF(ISBLANK('Ingest Template'!P344),"", 'Ingest Template'!P344&amp;"|Operations - Core Title"))))</f>
        <v>#|Operations - Core Title
</v>
      </c>
      <c r="AH344" s="5"/>
      <c r="AI344" s="5"/>
      <c r="AJ344" s="5"/>
      <c r="AK344" s="5"/>
      <c r="AL344" s="5"/>
    </row>
    <row r="345">
      <c r="A345" s="5"/>
      <c r="B345" s="5" t="str">
        <f>'Ingest Template'!B345&amp;IF('Ingest Template'!A345 = "Standard", " - DAR","")</f>
        <v/>
      </c>
      <c r="C345" s="6" t="str">
        <f>'Ingest Template'!C345</f>
        <v/>
      </c>
      <c r="D345" s="7" t="str">
        <f>'Ingest Template'!E345</f>
        <v/>
      </c>
      <c r="E345" s="5"/>
      <c r="F345" s="5"/>
      <c r="G345" s="5"/>
      <c r="H345" s="7"/>
      <c r="I345" s="5"/>
      <c r="J345" s="7" t="str">
        <f>'Ingest Template'!Q345</f>
        <v/>
      </c>
      <c r="K345" s="5" t="str">
        <f>'Ingest Template'!R345</f>
        <v/>
      </c>
      <c r="L345" s="8" t="s">
        <v>38</v>
      </c>
      <c r="M345" s="9"/>
      <c r="N345" s="5"/>
      <c r="O345" s="5"/>
      <c r="P345" s="5"/>
      <c r="Q345" s="5"/>
      <c r="R345" s="5" t="str">
        <f>'Ingest Template'!D345</f>
        <v/>
      </c>
      <c r="S345" s="5" t="str">
        <f>'Ingest Template'!G345</f>
        <v/>
      </c>
      <c r="T345" s="5" t="str">
        <f>'Ingest Template'!H345</f>
        <v/>
      </c>
      <c r="U345" s="5" t="str">
        <f>LOWER(SUBSTITUTE(SUBSTITUTE(SUBSTITUTE(SUBSTITUTE(SUBSTITUTE('Ingest Template'!I345,"https:",""),"www.",""),"/",""),"?hl=en",""),"instagram.com",""))</f>
        <v/>
      </c>
      <c r="V345" s="10" t="str">
        <f>'Ingest Template'!J345</f>
        <v/>
      </c>
      <c r="W345" s="10" t="str">
        <f>'Ingest Template'!K345</f>
        <v/>
      </c>
      <c r="X345" s="5"/>
      <c r="Y345" s="5" t="str">
        <f>SUBSTITUTE(SUBSTITUTE(SUBSTITUTE('Ingest Template'!L345,"http:",""),"https:",""),"/","")</f>
        <v/>
      </c>
      <c r="Z345" s="5" t="str">
        <f t="array" ref="Z345">IF('Ingest Template'!A345="Standard",(IF(ISBLANK('Ingest Template'!M345),"", 'Ingest Template'!M345&amp;"|DAR")),(IF(ISBLANK('Ingest Template'!M345),"", 'Ingest Template'!M345&amp;"|Operations - Core Title")))</f>
        <v/>
      </c>
      <c r="AA345" s="5"/>
      <c r="AB345" s="5" t="str">
        <f>'Ingest Template'!F345</f>
        <v/>
      </c>
      <c r="AC345" s="5"/>
      <c r="AD345" s="5"/>
      <c r="AE345" s="5"/>
      <c r="AF345" s="8"/>
      <c r="AG345" s="5" t="str">
        <f t="array" ref="AG345">IF('Ingest Template'!A345="Standard",(CONCATENATE(IF(ISBLANK('Ingest Template'!N345),"", 'Ingest Template'!N345&amp;"|DAR"),CHAR(10), IF(ISBLANK('Ingest Template'!O345),"", 'Ingest Template'!O345&amp;"|DAR"),CHAR(10), IF(ISBLANK('Ingest Template'!P345),"", 'Ingest Template'!P345&amp;"|DAR"))),(CONCATENATE(IF(ISBLANK('Ingest Template'!N345),"", 'Ingest Template'!N345&amp;"|Operations - Core Title"),CHAR(10), IF(ISBLANK('Ingest Template'!O345),"", 'Ingest Template'!O345&amp;"|Operations - Core Title"),CHAR(10), IF(ISBLANK('Ingest Template'!P345),"", 'Ingest Template'!P345&amp;"|Operations - Core Title"))))</f>
        <v>#|Operations - Core Title
</v>
      </c>
      <c r="AH345" s="5"/>
      <c r="AI345" s="5"/>
      <c r="AJ345" s="5"/>
      <c r="AK345" s="5"/>
      <c r="AL345" s="5"/>
    </row>
    <row r="346">
      <c r="A346" s="5"/>
      <c r="B346" s="5" t="str">
        <f>'Ingest Template'!B346&amp;IF('Ingest Template'!A346 = "Standard", " - DAR","")</f>
        <v/>
      </c>
      <c r="C346" s="6" t="str">
        <f>'Ingest Template'!C346</f>
        <v/>
      </c>
      <c r="D346" s="7" t="str">
        <f>'Ingest Template'!E346</f>
        <v/>
      </c>
      <c r="E346" s="5"/>
      <c r="F346" s="5"/>
      <c r="G346" s="5"/>
      <c r="H346" s="7"/>
      <c r="I346" s="5"/>
      <c r="J346" s="7" t="str">
        <f>'Ingest Template'!Q346</f>
        <v/>
      </c>
      <c r="K346" s="5" t="str">
        <f>'Ingest Template'!R346</f>
        <v/>
      </c>
      <c r="L346" s="8" t="s">
        <v>38</v>
      </c>
      <c r="M346" s="9"/>
      <c r="N346" s="5"/>
      <c r="O346" s="5"/>
      <c r="P346" s="5"/>
      <c r="Q346" s="5"/>
      <c r="R346" s="5" t="str">
        <f>'Ingest Template'!D346</f>
        <v/>
      </c>
      <c r="S346" s="5" t="str">
        <f>'Ingest Template'!G346</f>
        <v/>
      </c>
      <c r="T346" s="5" t="str">
        <f>'Ingest Template'!H346</f>
        <v/>
      </c>
      <c r="U346" s="5" t="str">
        <f>LOWER(SUBSTITUTE(SUBSTITUTE(SUBSTITUTE(SUBSTITUTE(SUBSTITUTE('Ingest Template'!I346,"https:",""),"www.",""),"/",""),"?hl=en",""),"instagram.com",""))</f>
        <v/>
      </c>
      <c r="V346" s="10" t="str">
        <f>'Ingest Template'!J346</f>
        <v/>
      </c>
      <c r="W346" s="10" t="str">
        <f>'Ingest Template'!K346</f>
        <v/>
      </c>
      <c r="X346" s="5"/>
      <c r="Y346" s="5" t="str">
        <f>SUBSTITUTE(SUBSTITUTE(SUBSTITUTE('Ingest Template'!L346,"http:",""),"https:",""),"/","")</f>
        <v/>
      </c>
      <c r="Z346" s="5" t="str">
        <f t="array" ref="Z346">IF('Ingest Template'!A346="Standard",(IF(ISBLANK('Ingest Template'!M346),"", 'Ingest Template'!M346&amp;"|DAR")),(IF(ISBLANK('Ingest Template'!M346),"", 'Ingest Template'!M346&amp;"|Operations - Core Title")))</f>
        <v/>
      </c>
      <c r="AA346" s="5"/>
      <c r="AB346" s="5" t="str">
        <f>'Ingest Template'!F346</f>
        <v/>
      </c>
      <c r="AC346" s="5"/>
      <c r="AD346" s="5"/>
      <c r="AE346" s="5"/>
      <c r="AF346" s="8"/>
      <c r="AG346" s="5" t="str">
        <f t="array" ref="AG346">IF('Ingest Template'!A346="Standard",(CONCATENATE(IF(ISBLANK('Ingest Template'!N346),"", 'Ingest Template'!N346&amp;"|DAR"),CHAR(10), IF(ISBLANK('Ingest Template'!O346),"", 'Ingest Template'!O346&amp;"|DAR"),CHAR(10), IF(ISBLANK('Ingest Template'!P346),"", 'Ingest Template'!P346&amp;"|DAR"))),(CONCATENATE(IF(ISBLANK('Ingest Template'!N346),"", 'Ingest Template'!N346&amp;"|Operations - Core Title"),CHAR(10), IF(ISBLANK('Ingest Template'!O346),"", 'Ingest Template'!O346&amp;"|Operations - Core Title"),CHAR(10), IF(ISBLANK('Ingest Template'!P346),"", 'Ingest Template'!P346&amp;"|Operations - Core Title"))))</f>
        <v>#|Operations - Core Title
</v>
      </c>
      <c r="AH346" s="5"/>
      <c r="AI346" s="5"/>
      <c r="AJ346" s="5"/>
      <c r="AK346" s="5"/>
      <c r="AL346" s="5"/>
    </row>
    <row r="347">
      <c r="A347" s="5"/>
      <c r="B347" s="5" t="str">
        <f>'Ingest Template'!B347&amp;IF('Ingest Template'!A347 = "Standard", " - DAR","")</f>
        <v/>
      </c>
      <c r="C347" s="6" t="str">
        <f>'Ingest Template'!C347</f>
        <v/>
      </c>
      <c r="D347" s="7" t="str">
        <f>'Ingest Template'!E347</f>
        <v/>
      </c>
      <c r="E347" s="5"/>
      <c r="F347" s="5"/>
      <c r="G347" s="5"/>
      <c r="H347" s="7"/>
      <c r="I347" s="5"/>
      <c r="J347" s="7" t="str">
        <f>'Ingest Template'!Q347</f>
        <v/>
      </c>
      <c r="K347" s="5" t="str">
        <f>'Ingest Template'!R347</f>
        <v/>
      </c>
      <c r="L347" s="8" t="s">
        <v>38</v>
      </c>
      <c r="M347" s="9"/>
      <c r="N347" s="5"/>
      <c r="O347" s="5"/>
      <c r="P347" s="5"/>
      <c r="Q347" s="5"/>
      <c r="R347" s="5" t="str">
        <f>'Ingest Template'!D347</f>
        <v/>
      </c>
      <c r="S347" s="5" t="str">
        <f>'Ingest Template'!G347</f>
        <v/>
      </c>
      <c r="T347" s="5" t="str">
        <f>'Ingest Template'!H347</f>
        <v/>
      </c>
      <c r="U347" s="5" t="str">
        <f>LOWER(SUBSTITUTE(SUBSTITUTE(SUBSTITUTE(SUBSTITUTE(SUBSTITUTE('Ingest Template'!I347,"https:",""),"www.",""),"/",""),"?hl=en",""),"instagram.com",""))</f>
        <v/>
      </c>
      <c r="V347" s="10" t="str">
        <f>'Ingest Template'!J347</f>
        <v/>
      </c>
      <c r="W347" s="10" t="str">
        <f>'Ingest Template'!K347</f>
        <v/>
      </c>
      <c r="X347" s="5"/>
      <c r="Y347" s="5" t="str">
        <f>SUBSTITUTE(SUBSTITUTE(SUBSTITUTE('Ingest Template'!L347,"http:",""),"https:",""),"/","")</f>
        <v/>
      </c>
      <c r="Z347" s="5" t="str">
        <f t="array" ref="Z347">IF('Ingest Template'!A347="Standard",(IF(ISBLANK('Ingest Template'!M347),"", 'Ingest Template'!M347&amp;"|DAR")),(IF(ISBLANK('Ingest Template'!M347),"", 'Ingest Template'!M347&amp;"|Operations - Core Title")))</f>
        <v/>
      </c>
      <c r="AA347" s="5"/>
      <c r="AB347" s="5" t="str">
        <f>'Ingest Template'!F347</f>
        <v/>
      </c>
      <c r="AC347" s="5"/>
      <c r="AD347" s="5"/>
      <c r="AE347" s="5"/>
      <c r="AF347" s="8"/>
      <c r="AG347" s="5" t="str">
        <f t="array" ref="AG347">IF('Ingest Template'!A347="Standard",(CONCATENATE(IF(ISBLANK('Ingest Template'!N347),"", 'Ingest Template'!N347&amp;"|DAR"),CHAR(10), IF(ISBLANK('Ingest Template'!O347),"", 'Ingest Template'!O347&amp;"|DAR"),CHAR(10), IF(ISBLANK('Ingest Template'!P347),"", 'Ingest Template'!P347&amp;"|DAR"))),(CONCATENATE(IF(ISBLANK('Ingest Template'!N347),"", 'Ingest Template'!N347&amp;"|Operations - Core Title"),CHAR(10), IF(ISBLANK('Ingest Template'!O347),"", 'Ingest Template'!O347&amp;"|Operations - Core Title"),CHAR(10), IF(ISBLANK('Ingest Template'!P347),"", 'Ingest Template'!P347&amp;"|Operations - Core Title"))))</f>
        <v>#|Operations - Core Title
</v>
      </c>
      <c r="AH347" s="5"/>
      <c r="AI347" s="5"/>
      <c r="AJ347" s="5"/>
      <c r="AK347" s="5"/>
      <c r="AL347" s="5"/>
    </row>
    <row r="348">
      <c r="A348" s="5"/>
      <c r="B348" s="5" t="str">
        <f>'Ingest Template'!B348&amp;IF('Ingest Template'!A348 = "Standard", " - DAR","")</f>
        <v/>
      </c>
      <c r="C348" s="6" t="str">
        <f>'Ingest Template'!C348</f>
        <v/>
      </c>
      <c r="D348" s="7" t="str">
        <f>'Ingest Template'!E348</f>
        <v/>
      </c>
      <c r="E348" s="5"/>
      <c r="F348" s="5"/>
      <c r="G348" s="5"/>
      <c r="H348" s="7"/>
      <c r="I348" s="5"/>
      <c r="J348" s="7" t="str">
        <f>'Ingest Template'!Q348</f>
        <v/>
      </c>
      <c r="K348" s="5" t="str">
        <f>'Ingest Template'!R348</f>
        <v/>
      </c>
      <c r="L348" s="8" t="s">
        <v>38</v>
      </c>
      <c r="M348" s="9"/>
      <c r="N348" s="5"/>
      <c r="O348" s="5"/>
      <c r="P348" s="5"/>
      <c r="Q348" s="5"/>
      <c r="R348" s="5" t="str">
        <f>'Ingest Template'!D348</f>
        <v/>
      </c>
      <c r="S348" s="5" t="str">
        <f>'Ingest Template'!G348</f>
        <v/>
      </c>
      <c r="T348" s="5" t="str">
        <f>'Ingest Template'!H348</f>
        <v/>
      </c>
      <c r="U348" s="5" t="str">
        <f>LOWER(SUBSTITUTE(SUBSTITUTE(SUBSTITUTE(SUBSTITUTE(SUBSTITUTE('Ingest Template'!I348,"https:",""),"www.",""),"/",""),"?hl=en",""),"instagram.com",""))</f>
        <v/>
      </c>
      <c r="V348" s="10" t="str">
        <f>'Ingest Template'!J348</f>
        <v/>
      </c>
      <c r="W348" s="10" t="str">
        <f>'Ingest Template'!K348</f>
        <v/>
      </c>
      <c r="X348" s="5"/>
      <c r="Y348" s="5" t="str">
        <f>SUBSTITUTE(SUBSTITUTE(SUBSTITUTE('Ingest Template'!L348,"http:",""),"https:",""),"/","")</f>
        <v/>
      </c>
      <c r="Z348" s="5" t="str">
        <f t="array" ref="Z348">IF('Ingest Template'!A348="Standard",(IF(ISBLANK('Ingest Template'!M348),"", 'Ingest Template'!M348&amp;"|DAR")),(IF(ISBLANK('Ingest Template'!M348),"", 'Ingest Template'!M348&amp;"|Operations - Core Title")))</f>
        <v/>
      </c>
      <c r="AA348" s="5"/>
      <c r="AB348" s="5" t="str">
        <f>'Ingest Template'!F348</f>
        <v/>
      </c>
      <c r="AC348" s="5"/>
      <c r="AD348" s="5"/>
      <c r="AE348" s="5"/>
      <c r="AF348" s="8"/>
      <c r="AG348" s="5" t="str">
        <f t="array" ref="AG348">IF('Ingest Template'!A348="Standard",(CONCATENATE(IF(ISBLANK('Ingest Template'!N348),"", 'Ingest Template'!N348&amp;"|DAR"),CHAR(10), IF(ISBLANK('Ingest Template'!O348),"", 'Ingest Template'!O348&amp;"|DAR"),CHAR(10), IF(ISBLANK('Ingest Template'!P348),"", 'Ingest Template'!P348&amp;"|DAR"))),(CONCATENATE(IF(ISBLANK('Ingest Template'!N348),"", 'Ingest Template'!N348&amp;"|Operations - Core Title"),CHAR(10), IF(ISBLANK('Ingest Template'!O348),"", 'Ingest Template'!O348&amp;"|Operations - Core Title"),CHAR(10), IF(ISBLANK('Ingest Template'!P348),"", 'Ingest Template'!P348&amp;"|Operations - Core Title"))))</f>
        <v>#|Operations - Core Title
</v>
      </c>
      <c r="AH348" s="5"/>
      <c r="AI348" s="5"/>
      <c r="AJ348" s="5"/>
      <c r="AK348" s="5"/>
      <c r="AL348" s="5"/>
    </row>
    <row r="349">
      <c r="A349" s="5"/>
      <c r="B349" s="5" t="str">
        <f>'Ingest Template'!B349&amp;IF('Ingest Template'!A349 = "Standard", " - DAR","")</f>
        <v/>
      </c>
      <c r="C349" s="6" t="str">
        <f>'Ingest Template'!C349</f>
        <v/>
      </c>
      <c r="D349" s="7" t="str">
        <f>'Ingest Template'!E349</f>
        <v/>
      </c>
      <c r="E349" s="5"/>
      <c r="F349" s="5"/>
      <c r="G349" s="5"/>
      <c r="H349" s="7"/>
      <c r="I349" s="5"/>
      <c r="J349" s="7" t="str">
        <f>'Ingest Template'!Q349</f>
        <v/>
      </c>
      <c r="K349" s="5" t="str">
        <f>'Ingest Template'!R349</f>
        <v/>
      </c>
      <c r="L349" s="8" t="s">
        <v>38</v>
      </c>
      <c r="M349" s="9"/>
      <c r="N349" s="5"/>
      <c r="O349" s="5"/>
      <c r="P349" s="5"/>
      <c r="Q349" s="5"/>
      <c r="R349" s="5" t="str">
        <f>'Ingest Template'!D349</f>
        <v/>
      </c>
      <c r="S349" s="5" t="str">
        <f>'Ingest Template'!G349</f>
        <v/>
      </c>
      <c r="T349" s="5" t="str">
        <f>'Ingest Template'!H349</f>
        <v/>
      </c>
      <c r="U349" s="5" t="str">
        <f>LOWER(SUBSTITUTE(SUBSTITUTE(SUBSTITUTE(SUBSTITUTE(SUBSTITUTE('Ingest Template'!I349,"https:",""),"www.",""),"/",""),"?hl=en",""),"instagram.com",""))</f>
        <v/>
      </c>
      <c r="V349" s="10" t="str">
        <f>'Ingest Template'!J349</f>
        <v/>
      </c>
      <c r="W349" s="10" t="str">
        <f>'Ingest Template'!K349</f>
        <v/>
      </c>
      <c r="X349" s="5"/>
      <c r="Y349" s="5" t="str">
        <f>SUBSTITUTE(SUBSTITUTE(SUBSTITUTE('Ingest Template'!L349,"http:",""),"https:",""),"/","")</f>
        <v/>
      </c>
      <c r="Z349" s="5" t="str">
        <f t="array" ref="Z349">IF('Ingest Template'!A349="Standard",(IF(ISBLANK('Ingest Template'!M349),"", 'Ingest Template'!M349&amp;"|DAR")),(IF(ISBLANK('Ingest Template'!M349),"", 'Ingest Template'!M349&amp;"|Operations - Core Title")))</f>
        <v/>
      </c>
      <c r="AA349" s="5"/>
      <c r="AB349" s="5" t="str">
        <f>'Ingest Template'!F349</f>
        <v/>
      </c>
      <c r="AC349" s="5"/>
      <c r="AD349" s="5"/>
      <c r="AE349" s="5"/>
      <c r="AF349" s="8"/>
      <c r="AG349" s="5" t="str">
        <f t="array" ref="AG349">IF('Ingest Template'!A349="Standard",(CONCATENATE(IF(ISBLANK('Ingest Template'!N349),"", 'Ingest Template'!N349&amp;"|DAR"),CHAR(10), IF(ISBLANK('Ingest Template'!O349),"", 'Ingest Template'!O349&amp;"|DAR"),CHAR(10), IF(ISBLANK('Ingest Template'!P349),"", 'Ingest Template'!P349&amp;"|DAR"))),(CONCATENATE(IF(ISBLANK('Ingest Template'!N349),"", 'Ingest Template'!N349&amp;"|Operations - Core Title"),CHAR(10), IF(ISBLANK('Ingest Template'!O349),"", 'Ingest Template'!O349&amp;"|Operations - Core Title"),CHAR(10), IF(ISBLANK('Ingest Template'!P349),"", 'Ingest Template'!P349&amp;"|Operations - Core Title"))))</f>
        <v>#|Operations - Core Title
</v>
      </c>
      <c r="AH349" s="5"/>
      <c r="AI349" s="5"/>
      <c r="AJ349" s="5"/>
      <c r="AK349" s="5"/>
      <c r="AL349" s="5"/>
    </row>
    <row r="350">
      <c r="A350" s="5"/>
      <c r="B350" s="5" t="str">
        <f>'Ingest Template'!B350&amp;IF('Ingest Template'!A350 = "Standard", " - DAR","")</f>
        <v/>
      </c>
      <c r="C350" s="6" t="str">
        <f>'Ingest Template'!C350</f>
        <v/>
      </c>
      <c r="D350" s="7" t="str">
        <f>'Ingest Template'!E350</f>
        <v/>
      </c>
      <c r="E350" s="5"/>
      <c r="F350" s="5"/>
      <c r="G350" s="5"/>
      <c r="H350" s="7"/>
      <c r="I350" s="5"/>
      <c r="J350" s="7" t="str">
        <f>'Ingest Template'!Q350</f>
        <v/>
      </c>
      <c r="K350" s="5" t="str">
        <f>'Ingest Template'!R350</f>
        <v/>
      </c>
      <c r="L350" s="8" t="s">
        <v>38</v>
      </c>
      <c r="M350" s="9"/>
      <c r="N350" s="5"/>
      <c r="O350" s="5"/>
      <c r="P350" s="5"/>
      <c r="Q350" s="5"/>
      <c r="R350" s="5" t="str">
        <f>'Ingest Template'!D350</f>
        <v/>
      </c>
      <c r="S350" s="5" t="str">
        <f>'Ingest Template'!G350</f>
        <v/>
      </c>
      <c r="T350" s="5" t="str">
        <f>'Ingest Template'!H350</f>
        <v/>
      </c>
      <c r="U350" s="5" t="str">
        <f>LOWER(SUBSTITUTE(SUBSTITUTE(SUBSTITUTE(SUBSTITUTE(SUBSTITUTE('Ingest Template'!I350,"https:",""),"www.",""),"/",""),"?hl=en",""),"instagram.com",""))</f>
        <v/>
      </c>
      <c r="V350" s="10" t="str">
        <f>'Ingest Template'!J350</f>
        <v/>
      </c>
      <c r="W350" s="10" t="str">
        <f>'Ingest Template'!K350</f>
        <v/>
      </c>
      <c r="X350" s="5"/>
      <c r="Y350" s="5" t="str">
        <f>SUBSTITUTE(SUBSTITUTE(SUBSTITUTE('Ingest Template'!L350,"http:",""),"https:",""),"/","")</f>
        <v/>
      </c>
      <c r="Z350" s="5" t="str">
        <f t="array" ref="Z350">IF('Ingest Template'!A350="Standard",(IF(ISBLANK('Ingest Template'!M350),"", 'Ingest Template'!M350&amp;"|DAR")),(IF(ISBLANK('Ingest Template'!M350),"", 'Ingest Template'!M350&amp;"|Operations - Core Title")))</f>
        <v/>
      </c>
      <c r="AA350" s="5"/>
      <c r="AB350" s="5" t="str">
        <f>'Ingest Template'!F350</f>
        <v/>
      </c>
      <c r="AC350" s="5"/>
      <c r="AD350" s="5"/>
      <c r="AE350" s="5"/>
      <c r="AF350" s="8"/>
      <c r="AG350" s="5" t="str">
        <f t="array" ref="AG350">IF('Ingest Template'!A350="Standard",(CONCATENATE(IF(ISBLANK('Ingest Template'!N350),"", 'Ingest Template'!N350&amp;"|DAR"),CHAR(10), IF(ISBLANK('Ingest Template'!O350),"", 'Ingest Template'!O350&amp;"|DAR"),CHAR(10), IF(ISBLANK('Ingest Template'!P350),"", 'Ingest Template'!P350&amp;"|DAR"))),(CONCATENATE(IF(ISBLANK('Ingest Template'!N350),"", 'Ingest Template'!N350&amp;"|Operations - Core Title"),CHAR(10), IF(ISBLANK('Ingest Template'!O350),"", 'Ingest Template'!O350&amp;"|Operations - Core Title"),CHAR(10), IF(ISBLANK('Ingest Template'!P350),"", 'Ingest Template'!P350&amp;"|Operations - Core Title"))))</f>
        <v>#|Operations - Core Title
</v>
      </c>
      <c r="AH350" s="5"/>
      <c r="AI350" s="5"/>
      <c r="AJ350" s="5"/>
      <c r="AK350" s="5"/>
      <c r="AL350" s="5"/>
    </row>
    <row r="351">
      <c r="A351" s="5"/>
      <c r="B351" s="5" t="str">
        <f>'Ingest Template'!B351&amp;IF('Ingest Template'!A351 = "Standard", " - DAR","")</f>
        <v/>
      </c>
      <c r="C351" s="6" t="str">
        <f>'Ingest Template'!C351</f>
        <v/>
      </c>
      <c r="D351" s="7" t="str">
        <f>'Ingest Template'!E351</f>
        <v/>
      </c>
      <c r="E351" s="5"/>
      <c r="F351" s="5"/>
      <c r="G351" s="5"/>
      <c r="H351" s="7"/>
      <c r="I351" s="5"/>
      <c r="J351" s="7" t="str">
        <f>'Ingest Template'!Q351</f>
        <v/>
      </c>
      <c r="K351" s="5" t="str">
        <f>'Ingest Template'!R351</f>
        <v/>
      </c>
      <c r="L351" s="8" t="s">
        <v>38</v>
      </c>
      <c r="M351" s="9"/>
      <c r="N351" s="5"/>
      <c r="O351" s="5"/>
      <c r="P351" s="5"/>
      <c r="Q351" s="5"/>
      <c r="R351" s="5" t="str">
        <f>'Ingest Template'!D351</f>
        <v/>
      </c>
      <c r="S351" s="5" t="str">
        <f>'Ingest Template'!G351</f>
        <v/>
      </c>
      <c r="T351" s="5" t="str">
        <f>'Ingest Template'!H351</f>
        <v/>
      </c>
      <c r="U351" s="5" t="str">
        <f>LOWER(SUBSTITUTE(SUBSTITUTE(SUBSTITUTE(SUBSTITUTE(SUBSTITUTE('Ingest Template'!I351,"https:",""),"www.",""),"/",""),"?hl=en",""),"instagram.com",""))</f>
        <v/>
      </c>
      <c r="V351" s="10" t="str">
        <f>'Ingest Template'!J351</f>
        <v/>
      </c>
      <c r="W351" s="10" t="str">
        <f>'Ingest Template'!K351</f>
        <v/>
      </c>
      <c r="X351" s="5"/>
      <c r="Y351" s="5" t="str">
        <f>SUBSTITUTE(SUBSTITUTE(SUBSTITUTE('Ingest Template'!L351,"http:",""),"https:",""),"/","")</f>
        <v/>
      </c>
      <c r="Z351" s="5" t="str">
        <f t="array" ref="Z351">IF('Ingest Template'!A351="Standard",(IF(ISBLANK('Ingest Template'!M351),"", 'Ingest Template'!M351&amp;"|DAR")),(IF(ISBLANK('Ingest Template'!M351),"", 'Ingest Template'!M351&amp;"|Operations - Core Title")))</f>
        <v/>
      </c>
      <c r="AA351" s="5"/>
      <c r="AB351" s="5" t="str">
        <f>'Ingest Template'!F351</f>
        <v/>
      </c>
      <c r="AC351" s="5"/>
      <c r="AD351" s="5"/>
      <c r="AE351" s="5"/>
      <c r="AF351" s="8"/>
      <c r="AG351" s="5" t="str">
        <f t="array" ref="AG351">IF('Ingest Template'!A351="Standard",(CONCATENATE(IF(ISBLANK('Ingest Template'!N351),"", 'Ingest Template'!N351&amp;"|DAR"),CHAR(10), IF(ISBLANK('Ingest Template'!O351),"", 'Ingest Template'!O351&amp;"|DAR"),CHAR(10), IF(ISBLANK('Ingest Template'!P351),"", 'Ingest Template'!P351&amp;"|DAR"))),(CONCATENATE(IF(ISBLANK('Ingest Template'!N351),"", 'Ingest Template'!N351&amp;"|Operations - Core Title"),CHAR(10), IF(ISBLANK('Ingest Template'!O351),"", 'Ingest Template'!O351&amp;"|Operations - Core Title"),CHAR(10), IF(ISBLANK('Ingest Template'!P351),"", 'Ingest Template'!P351&amp;"|Operations - Core Title"))))</f>
        <v>#|Operations - Core Title
</v>
      </c>
      <c r="AH351" s="5"/>
      <c r="AI351" s="5"/>
      <c r="AJ351" s="5"/>
      <c r="AK351" s="5"/>
      <c r="AL351" s="5"/>
    </row>
    <row r="352">
      <c r="A352" s="5"/>
      <c r="B352" s="5" t="str">
        <f>'Ingest Template'!B352&amp;IF('Ingest Template'!A352 = "Standard", " - DAR","")</f>
        <v/>
      </c>
      <c r="C352" s="6" t="str">
        <f>'Ingest Template'!C352</f>
        <v/>
      </c>
      <c r="D352" s="7" t="str">
        <f>'Ingest Template'!E352</f>
        <v/>
      </c>
      <c r="E352" s="5"/>
      <c r="F352" s="5"/>
      <c r="G352" s="5"/>
      <c r="H352" s="7"/>
      <c r="I352" s="5"/>
      <c r="J352" s="7" t="str">
        <f>'Ingest Template'!Q352</f>
        <v/>
      </c>
      <c r="K352" s="5" t="str">
        <f>'Ingest Template'!R352</f>
        <v/>
      </c>
      <c r="L352" s="8" t="s">
        <v>38</v>
      </c>
      <c r="M352" s="9"/>
      <c r="N352" s="5"/>
      <c r="O352" s="5"/>
      <c r="P352" s="5"/>
      <c r="Q352" s="5"/>
      <c r="R352" s="5" t="str">
        <f>'Ingest Template'!D352</f>
        <v/>
      </c>
      <c r="S352" s="5" t="str">
        <f>'Ingest Template'!G352</f>
        <v/>
      </c>
      <c r="T352" s="5" t="str">
        <f>'Ingest Template'!H352</f>
        <v/>
      </c>
      <c r="U352" s="5" t="str">
        <f>LOWER(SUBSTITUTE(SUBSTITUTE(SUBSTITUTE(SUBSTITUTE(SUBSTITUTE('Ingest Template'!I352,"https:",""),"www.",""),"/",""),"?hl=en",""),"instagram.com",""))</f>
        <v/>
      </c>
      <c r="V352" s="10" t="str">
        <f>'Ingest Template'!J352</f>
        <v/>
      </c>
      <c r="W352" s="10" t="str">
        <f>'Ingest Template'!K352</f>
        <v/>
      </c>
      <c r="X352" s="5"/>
      <c r="Y352" s="5" t="str">
        <f>SUBSTITUTE(SUBSTITUTE(SUBSTITUTE('Ingest Template'!L352,"http:",""),"https:",""),"/","")</f>
        <v/>
      </c>
      <c r="Z352" s="5" t="str">
        <f t="array" ref="Z352">IF('Ingest Template'!A352="Standard",(IF(ISBLANK('Ingest Template'!M352),"", 'Ingest Template'!M352&amp;"|DAR")),(IF(ISBLANK('Ingest Template'!M352),"", 'Ingest Template'!M352&amp;"|Operations - Core Title")))</f>
        <v/>
      </c>
      <c r="AA352" s="5"/>
      <c r="AB352" s="5" t="str">
        <f>'Ingest Template'!F352</f>
        <v/>
      </c>
      <c r="AC352" s="5"/>
      <c r="AD352" s="5"/>
      <c r="AE352" s="5"/>
      <c r="AF352" s="8"/>
      <c r="AG352" s="5" t="str">
        <f t="array" ref="AG352">IF('Ingest Template'!A352="Standard",(CONCATENATE(IF(ISBLANK('Ingest Template'!N352),"", 'Ingest Template'!N352&amp;"|DAR"),CHAR(10), IF(ISBLANK('Ingest Template'!O352),"", 'Ingest Template'!O352&amp;"|DAR"),CHAR(10), IF(ISBLANK('Ingest Template'!P352),"", 'Ingest Template'!P352&amp;"|DAR"))),(CONCATENATE(IF(ISBLANK('Ingest Template'!N352),"", 'Ingest Template'!N352&amp;"|Operations - Core Title"),CHAR(10), IF(ISBLANK('Ingest Template'!O352),"", 'Ingest Template'!O352&amp;"|Operations - Core Title"),CHAR(10), IF(ISBLANK('Ingest Template'!P352),"", 'Ingest Template'!P352&amp;"|Operations - Core Title"))))</f>
        <v>#|Operations - Core Title
</v>
      </c>
      <c r="AH352" s="5"/>
      <c r="AI352" s="5"/>
      <c r="AJ352" s="5"/>
      <c r="AK352" s="5"/>
      <c r="AL352" s="5"/>
    </row>
    <row r="353">
      <c r="A353" s="5"/>
      <c r="B353" s="5" t="str">
        <f>'Ingest Template'!B353&amp;IF('Ingest Template'!A353 = "Standard", " - DAR","")</f>
        <v/>
      </c>
      <c r="C353" s="6" t="str">
        <f>'Ingest Template'!C353</f>
        <v/>
      </c>
      <c r="D353" s="7" t="str">
        <f>'Ingest Template'!E353</f>
        <v/>
      </c>
      <c r="E353" s="5"/>
      <c r="F353" s="5"/>
      <c r="G353" s="5"/>
      <c r="H353" s="7"/>
      <c r="I353" s="5"/>
      <c r="J353" s="7" t="str">
        <f>'Ingest Template'!Q353</f>
        <v/>
      </c>
      <c r="K353" s="5" t="str">
        <f>'Ingest Template'!R353</f>
        <v/>
      </c>
      <c r="L353" s="8" t="s">
        <v>38</v>
      </c>
      <c r="M353" s="9"/>
      <c r="N353" s="5"/>
      <c r="O353" s="5"/>
      <c r="P353" s="5"/>
      <c r="Q353" s="5"/>
      <c r="R353" s="5" t="str">
        <f>'Ingest Template'!D353</f>
        <v/>
      </c>
      <c r="S353" s="5" t="str">
        <f>'Ingest Template'!G353</f>
        <v/>
      </c>
      <c r="T353" s="5" t="str">
        <f>'Ingest Template'!H353</f>
        <v/>
      </c>
      <c r="U353" s="5" t="str">
        <f>LOWER(SUBSTITUTE(SUBSTITUTE(SUBSTITUTE(SUBSTITUTE(SUBSTITUTE('Ingest Template'!I353,"https:",""),"www.",""),"/",""),"?hl=en",""),"instagram.com",""))</f>
        <v/>
      </c>
      <c r="V353" s="10" t="str">
        <f>'Ingest Template'!J353</f>
        <v/>
      </c>
      <c r="W353" s="10" t="str">
        <f>'Ingest Template'!K353</f>
        <v/>
      </c>
      <c r="X353" s="5"/>
      <c r="Y353" s="5" t="str">
        <f>SUBSTITUTE(SUBSTITUTE(SUBSTITUTE('Ingest Template'!L353,"http:",""),"https:",""),"/","")</f>
        <v/>
      </c>
      <c r="Z353" s="5" t="str">
        <f t="array" ref="Z353">IF('Ingest Template'!A353="Standard",(IF(ISBLANK('Ingest Template'!M353),"", 'Ingest Template'!M353&amp;"|DAR")),(IF(ISBLANK('Ingest Template'!M353),"", 'Ingest Template'!M353&amp;"|Operations - Core Title")))</f>
        <v/>
      </c>
      <c r="AA353" s="5"/>
      <c r="AB353" s="5" t="str">
        <f>'Ingest Template'!F353</f>
        <v/>
      </c>
      <c r="AC353" s="5"/>
      <c r="AD353" s="5"/>
      <c r="AE353" s="5"/>
      <c r="AF353" s="8"/>
      <c r="AG353" s="5" t="str">
        <f t="array" ref="AG353">IF('Ingest Template'!A353="Standard",(CONCATENATE(IF(ISBLANK('Ingest Template'!N353),"", 'Ingest Template'!N353&amp;"|DAR"),CHAR(10), IF(ISBLANK('Ingest Template'!O353),"", 'Ingest Template'!O353&amp;"|DAR"),CHAR(10), IF(ISBLANK('Ingest Template'!P353),"", 'Ingest Template'!P353&amp;"|DAR"))),(CONCATENATE(IF(ISBLANK('Ingest Template'!N353),"", 'Ingest Template'!N353&amp;"|Operations - Core Title"),CHAR(10), IF(ISBLANK('Ingest Template'!O353),"", 'Ingest Template'!O353&amp;"|Operations - Core Title"),CHAR(10), IF(ISBLANK('Ingest Template'!P353),"", 'Ingest Template'!P353&amp;"|Operations - Core Title"))))</f>
        <v>#|Operations - Core Title
</v>
      </c>
      <c r="AH353" s="5"/>
      <c r="AI353" s="5"/>
      <c r="AJ353" s="5"/>
      <c r="AK353" s="5"/>
      <c r="AL353" s="5"/>
    </row>
    <row r="354">
      <c r="A354" s="5"/>
      <c r="B354" s="5" t="str">
        <f>'Ingest Template'!B354&amp;IF('Ingest Template'!A354 = "Standard", " - DAR","")</f>
        <v/>
      </c>
      <c r="C354" s="6" t="str">
        <f>'Ingest Template'!C354</f>
        <v/>
      </c>
      <c r="D354" s="7" t="str">
        <f>'Ingest Template'!E354</f>
        <v/>
      </c>
      <c r="E354" s="5"/>
      <c r="F354" s="5"/>
      <c r="G354" s="5"/>
      <c r="H354" s="7"/>
      <c r="I354" s="5"/>
      <c r="J354" s="7" t="str">
        <f>'Ingest Template'!Q354</f>
        <v/>
      </c>
      <c r="K354" s="5" t="str">
        <f>'Ingest Template'!R354</f>
        <v/>
      </c>
      <c r="L354" s="8" t="s">
        <v>38</v>
      </c>
      <c r="M354" s="9"/>
      <c r="N354" s="5"/>
      <c r="O354" s="5"/>
      <c r="P354" s="5"/>
      <c r="Q354" s="5"/>
      <c r="R354" s="5" t="str">
        <f>'Ingest Template'!D354</f>
        <v/>
      </c>
      <c r="S354" s="5" t="str">
        <f>'Ingest Template'!G354</f>
        <v/>
      </c>
      <c r="T354" s="5" t="str">
        <f>'Ingest Template'!H354</f>
        <v/>
      </c>
      <c r="U354" s="5" t="str">
        <f>LOWER(SUBSTITUTE(SUBSTITUTE(SUBSTITUTE(SUBSTITUTE(SUBSTITUTE('Ingest Template'!I354,"https:",""),"www.",""),"/",""),"?hl=en",""),"instagram.com",""))</f>
        <v/>
      </c>
      <c r="V354" s="10" t="str">
        <f>'Ingest Template'!J354</f>
        <v/>
      </c>
      <c r="W354" s="10" t="str">
        <f>'Ingest Template'!K354</f>
        <v/>
      </c>
      <c r="X354" s="5"/>
      <c r="Y354" s="5" t="str">
        <f>SUBSTITUTE(SUBSTITUTE(SUBSTITUTE('Ingest Template'!L354,"http:",""),"https:",""),"/","")</f>
        <v/>
      </c>
      <c r="Z354" s="5" t="str">
        <f t="array" ref="Z354">IF('Ingest Template'!A354="Standard",(IF(ISBLANK('Ingest Template'!M354),"", 'Ingest Template'!M354&amp;"|DAR")),(IF(ISBLANK('Ingest Template'!M354),"", 'Ingest Template'!M354&amp;"|Operations - Core Title")))</f>
        <v/>
      </c>
      <c r="AA354" s="5"/>
      <c r="AB354" s="5" t="str">
        <f>'Ingest Template'!F354</f>
        <v/>
      </c>
      <c r="AC354" s="5"/>
      <c r="AD354" s="5"/>
      <c r="AE354" s="5"/>
      <c r="AF354" s="8"/>
      <c r="AG354" s="5" t="str">
        <f t="array" ref="AG354">IF('Ingest Template'!A354="Standard",(CONCATENATE(IF(ISBLANK('Ingest Template'!N354),"", 'Ingest Template'!N354&amp;"|DAR"),CHAR(10), IF(ISBLANK('Ingest Template'!O354),"", 'Ingest Template'!O354&amp;"|DAR"),CHAR(10), IF(ISBLANK('Ingest Template'!P354),"", 'Ingest Template'!P354&amp;"|DAR"))),(CONCATENATE(IF(ISBLANK('Ingest Template'!N354),"", 'Ingest Template'!N354&amp;"|Operations - Core Title"),CHAR(10), IF(ISBLANK('Ingest Template'!O354),"", 'Ingest Template'!O354&amp;"|Operations - Core Title"),CHAR(10), IF(ISBLANK('Ingest Template'!P354),"", 'Ingest Template'!P354&amp;"|Operations - Core Title"))))</f>
        <v>#|Operations - Core Title
</v>
      </c>
      <c r="AH354" s="5"/>
      <c r="AI354" s="5"/>
      <c r="AJ354" s="5"/>
      <c r="AK354" s="5"/>
      <c r="AL354" s="5"/>
    </row>
    <row r="355">
      <c r="A355" s="5"/>
      <c r="B355" s="5" t="str">
        <f>'Ingest Template'!B355&amp;IF('Ingest Template'!A355 = "Standard", " - DAR","")</f>
        <v/>
      </c>
      <c r="C355" s="6" t="str">
        <f>'Ingest Template'!C355</f>
        <v/>
      </c>
      <c r="D355" s="7" t="str">
        <f>'Ingest Template'!E355</f>
        <v/>
      </c>
      <c r="E355" s="5"/>
      <c r="F355" s="5"/>
      <c r="G355" s="5"/>
      <c r="H355" s="7"/>
      <c r="I355" s="5"/>
      <c r="J355" s="7" t="str">
        <f>'Ingest Template'!Q355</f>
        <v/>
      </c>
      <c r="K355" s="5" t="str">
        <f>'Ingest Template'!R355</f>
        <v/>
      </c>
      <c r="L355" s="8" t="s">
        <v>38</v>
      </c>
      <c r="M355" s="9"/>
      <c r="N355" s="5"/>
      <c r="O355" s="5"/>
      <c r="P355" s="5"/>
      <c r="Q355" s="5"/>
      <c r="R355" s="5" t="str">
        <f>'Ingest Template'!D355</f>
        <v/>
      </c>
      <c r="S355" s="5" t="str">
        <f>'Ingest Template'!G355</f>
        <v/>
      </c>
      <c r="T355" s="5" t="str">
        <f>'Ingest Template'!H355</f>
        <v/>
      </c>
      <c r="U355" s="5" t="str">
        <f>LOWER(SUBSTITUTE(SUBSTITUTE(SUBSTITUTE(SUBSTITUTE(SUBSTITUTE('Ingest Template'!I355,"https:",""),"www.",""),"/",""),"?hl=en",""),"instagram.com",""))</f>
        <v/>
      </c>
      <c r="V355" s="10" t="str">
        <f>'Ingest Template'!J355</f>
        <v/>
      </c>
      <c r="W355" s="10" t="str">
        <f>'Ingest Template'!K355</f>
        <v/>
      </c>
      <c r="X355" s="5"/>
      <c r="Y355" s="5" t="str">
        <f>SUBSTITUTE(SUBSTITUTE(SUBSTITUTE('Ingest Template'!L355,"http:",""),"https:",""),"/","")</f>
        <v/>
      </c>
      <c r="Z355" s="5" t="str">
        <f t="array" ref="Z355">IF('Ingest Template'!A355="Standard",(IF(ISBLANK('Ingest Template'!M355),"", 'Ingest Template'!M355&amp;"|DAR")),(IF(ISBLANK('Ingest Template'!M355),"", 'Ingest Template'!M355&amp;"|Operations - Core Title")))</f>
        <v/>
      </c>
      <c r="AA355" s="5"/>
      <c r="AB355" s="5" t="str">
        <f>'Ingest Template'!F355</f>
        <v/>
      </c>
      <c r="AC355" s="5"/>
      <c r="AD355" s="5"/>
      <c r="AE355" s="5"/>
      <c r="AF355" s="8"/>
      <c r="AG355" s="5" t="str">
        <f t="array" ref="AG355">IF('Ingest Template'!A355="Standard",(CONCATENATE(IF(ISBLANK('Ingest Template'!N355),"", 'Ingest Template'!N355&amp;"|DAR"),CHAR(10), IF(ISBLANK('Ingest Template'!O355),"", 'Ingest Template'!O355&amp;"|DAR"),CHAR(10), IF(ISBLANK('Ingest Template'!P355),"", 'Ingest Template'!P355&amp;"|DAR"))),(CONCATENATE(IF(ISBLANK('Ingest Template'!N355),"", 'Ingest Template'!N355&amp;"|Operations - Core Title"),CHAR(10), IF(ISBLANK('Ingest Template'!O355),"", 'Ingest Template'!O355&amp;"|Operations - Core Title"),CHAR(10), IF(ISBLANK('Ingest Template'!P355),"", 'Ingest Template'!P355&amp;"|Operations - Core Title"))))</f>
        <v>#|Operations - Core Title
</v>
      </c>
      <c r="AH355" s="5"/>
      <c r="AI355" s="5"/>
      <c r="AJ355" s="5"/>
      <c r="AK355" s="5"/>
      <c r="AL355" s="5"/>
    </row>
    <row r="356">
      <c r="A356" s="5"/>
      <c r="B356" s="5" t="str">
        <f>'Ingest Template'!B356&amp;IF('Ingest Template'!A356 = "Standard", " - DAR","")</f>
        <v/>
      </c>
      <c r="C356" s="6" t="str">
        <f>'Ingest Template'!C356</f>
        <v/>
      </c>
      <c r="D356" s="7" t="str">
        <f>'Ingest Template'!E356</f>
        <v/>
      </c>
      <c r="E356" s="5"/>
      <c r="F356" s="5"/>
      <c r="G356" s="5"/>
      <c r="H356" s="7"/>
      <c r="I356" s="5"/>
      <c r="J356" s="7" t="str">
        <f>'Ingest Template'!Q356</f>
        <v/>
      </c>
      <c r="K356" s="5" t="str">
        <f>'Ingest Template'!R356</f>
        <v/>
      </c>
      <c r="L356" s="8" t="s">
        <v>38</v>
      </c>
      <c r="M356" s="9"/>
      <c r="N356" s="5"/>
      <c r="O356" s="5"/>
      <c r="P356" s="5"/>
      <c r="Q356" s="5"/>
      <c r="R356" s="5" t="str">
        <f>'Ingest Template'!D356</f>
        <v/>
      </c>
      <c r="S356" s="5" t="str">
        <f>'Ingest Template'!G356</f>
        <v/>
      </c>
      <c r="T356" s="5" t="str">
        <f>'Ingest Template'!H356</f>
        <v/>
      </c>
      <c r="U356" s="5" t="str">
        <f>LOWER(SUBSTITUTE(SUBSTITUTE(SUBSTITUTE(SUBSTITUTE(SUBSTITUTE('Ingest Template'!I356,"https:",""),"www.",""),"/",""),"?hl=en",""),"instagram.com",""))</f>
        <v/>
      </c>
      <c r="V356" s="10" t="str">
        <f>'Ingest Template'!J356</f>
        <v/>
      </c>
      <c r="W356" s="10" t="str">
        <f>'Ingest Template'!K356</f>
        <v/>
      </c>
      <c r="X356" s="5"/>
      <c r="Y356" s="5" t="str">
        <f>SUBSTITUTE(SUBSTITUTE(SUBSTITUTE('Ingest Template'!L356,"http:",""),"https:",""),"/","")</f>
        <v/>
      </c>
      <c r="Z356" s="5" t="str">
        <f t="array" ref="Z356">IF('Ingest Template'!A356="Standard",(IF(ISBLANK('Ingest Template'!M356),"", 'Ingest Template'!M356&amp;"|DAR")),(IF(ISBLANK('Ingest Template'!M356),"", 'Ingest Template'!M356&amp;"|Operations - Core Title")))</f>
        <v/>
      </c>
      <c r="AA356" s="5"/>
      <c r="AB356" s="5" t="str">
        <f>'Ingest Template'!F356</f>
        <v/>
      </c>
      <c r="AC356" s="5"/>
      <c r="AD356" s="5"/>
      <c r="AE356" s="5"/>
      <c r="AF356" s="8"/>
      <c r="AG356" s="5" t="str">
        <f t="array" ref="AG356">IF('Ingest Template'!A356="Standard",(CONCATENATE(IF(ISBLANK('Ingest Template'!N356),"", 'Ingest Template'!N356&amp;"|DAR"),CHAR(10), IF(ISBLANK('Ingest Template'!O356),"", 'Ingest Template'!O356&amp;"|DAR"),CHAR(10), IF(ISBLANK('Ingest Template'!P356),"", 'Ingest Template'!P356&amp;"|DAR"))),(CONCATENATE(IF(ISBLANK('Ingest Template'!N356),"", 'Ingest Template'!N356&amp;"|Operations - Core Title"),CHAR(10), IF(ISBLANK('Ingest Template'!O356),"", 'Ingest Template'!O356&amp;"|Operations - Core Title"),CHAR(10), IF(ISBLANK('Ingest Template'!P356),"", 'Ingest Template'!P356&amp;"|Operations - Core Title"))))</f>
        <v>#|Operations - Core Title
</v>
      </c>
      <c r="AH356" s="5"/>
      <c r="AI356" s="5"/>
      <c r="AJ356" s="5"/>
      <c r="AK356" s="5"/>
      <c r="AL356" s="5"/>
    </row>
    <row r="357">
      <c r="A357" s="5"/>
      <c r="B357" s="5" t="str">
        <f>'Ingest Template'!B357&amp;IF('Ingest Template'!A357 = "Standard", " - DAR","")</f>
        <v/>
      </c>
      <c r="C357" s="6" t="str">
        <f>'Ingest Template'!C357</f>
        <v/>
      </c>
      <c r="D357" s="7" t="str">
        <f>'Ingest Template'!E357</f>
        <v/>
      </c>
      <c r="E357" s="5"/>
      <c r="F357" s="5"/>
      <c r="G357" s="5"/>
      <c r="H357" s="7"/>
      <c r="I357" s="5"/>
      <c r="J357" s="7" t="str">
        <f>'Ingest Template'!Q357</f>
        <v/>
      </c>
      <c r="K357" s="5" t="str">
        <f>'Ingest Template'!R357</f>
        <v/>
      </c>
      <c r="L357" s="8" t="s">
        <v>38</v>
      </c>
      <c r="M357" s="9"/>
      <c r="N357" s="5"/>
      <c r="O357" s="5"/>
      <c r="P357" s="5"/>
      <c r="Q357" s="5"/>
      <c r="R357" s="5" t="str">
        <f>'Ingest Template'!D357</f>
        <v/>
      </c>
      <c r="S357" s="5" t="str">
        <f>'Ingest Template'!G357</f>
        <v/>
      </c>
      <c r="T357" s="5" t="str">
        <f>'Ingest Template'!H357</f>
        <v/>
      </c>
      <c r="U357" s="5" t="str">
        <f>LOWER(SUBSTITUTE(SUBSTITUTE(SUBSTITUTE(SUBSTITUTE(SUBSTITUTE('Ingest Template'!I357,"https:",""),"www.",""),"/",""),"?hl=en",""),"instagram.com",""))</f>
        <v/>
      </c>
      <c r="V357" s="10" t="str">
        <f>'Ingest Template'!J357</f>
        <v/>
      </c>
      <c r="W357" s="10" t="str">
        <f>'Ingest Template'!K357</f>
        <v/>
      </c>
      <c r="X357" s="5"/>
      <c r="Y357" s="5" t="str">
        <f>SUBSTITUTE(SUBSTITUTE(SUBSTITUTE('Ingest Template'!L357,"http:",""),"https:",""),"/","")</f>
        <v/>
      </c>
      <c r="Z357" s="5" t="str">
        <f t="array" ref="Z357">IF('Ingest Template'!A357="Standard",(IF(ISBLANK('Ingest Template'!M357),"", 'Ingest Template'!M357&amp;"|DAR")),(IF(ISBLANK('Ingest Template'!M357),"", 'Ingest Template'!M357&amp;"|Operations - Core Title")))</f>
        <v/>
      </c>
      <c r="AA357" s="5"/>
      <c r="AB357" s="5" t="str">
        <f>'Ingest Template'!F357</f>
        <v/>
      </c>
      <c r="AC357" s="5"/>
      <c r="AD357" s="5"/>
      <c r="AE357" s="5"/>
      <c r="AF357" s="8"/>
      <c r="AG357" s="5" t="str">
        <f t="array" ref="AG357">IF('Ingest Template'!A357="Standard",(CONCATENATE(IF(ISBLANK('Ingest Template'!N357),"", 'Ingest Template'!N357&amp;"|DAR"),CHAR(10), IF(ISBLANK('Ingest Template'!O357),"", 'Ingest Template'!O357&amp;"|DAR"),CHAR(10), IF(ISBLANK('Ingest Template'!P357),"", 'Ingest Template'!P357&amp;"|DAR"))),(CONCATENATE(IF(ISBLANK('Ingest Template'!N357),"", 'Ingest Template'!N357&amp;"|Operations - Core Title"),CHAR(10), IF(ISBLANK('Ingest Template'!O357),"", 'Ingest Template'!O357&amp;"|Operations - Core Title"),CHAR(10), IF(ISBLANK('Ingest Template'!P357),"", 'Ingest Template'!P357&amp;"|Operations - Core Title"))))</f>
        <v>#|Operations - Core Title
</v>
      </c>
      <c r="AH357" s="5"/>
      <c r="AI357" s="5"/>
      <c r="AJ357" s="5"/>
      <c r="AK357" s="5"/>
      <c r="AL357" s="5"/>
    </row>
    <row r="358">
      <c r="A358" s="5"/>
      <c r="B358" s="5" t="str">
        <f>'Ingest Template'!B358&amp;IF('Ingest Template'!A358 = "Standard", " - DAR","")</f>
        <v/>
      </c>
      <c r="C358" s="6" t="str">
        <f>'Ingest Template'!C358</f>
        <v/>
      </c>
      <c r="D358" s="7" t="str">
        <f>'Ingest Template'!E358</f>
        <v/>
      </c>
      <c r="E358" s="5"/>
      <c r="F358" s="5"/>
      <c r="G358" s="5"/>
      <c r="H358" s="7"/>
      <c r="I358" s="5"/>
      <c r="J358" s="7" t="str">
        <f>'Ingest Template'!Q358</f>
        <v/>
      </c>
      <c r="K358" s="5" t="str">
        <f>'Ingest Template'!R358</f>
        <v/>
      </c>
      <c r="L358" s="8" t="s">
        <v>38</v>
      </c>
      <c r="M358" s="9"/>
      <c r="N358" s="5"/>
      <c r="O358" s="5"/>
      <c r="P358" s="5"/>
      <c r="Q358" s="5"/>
      <c r="R358" s="5" t="str">
        <f>'Ingest Template'!D358</f>
        <v/>
      </c>
      <c r="S358" s="5" t="str">
        <f>'Ingest Template'!G358</f>
        <v/>
      </c>
      <c r="T358" s="5" t="str">
        <f>'Ingest Template'!H358</f>
        <v/>
      </c>
      <c r="U358" s="5" t="str">
        <f>LOWER(SUBSTITUTE(SUBSTITUTE(SUBSTITUTE(SUBSTITUTE(SUBSTITUTE('Ingest Template'!I358,"https:",""),"www.",""),"/",""),"?hl=en",""),"instagram.com",""))</f>
        <v/>
      </c>
      <c r="V358" s="10" t="str">
        <f>'Ingest Template'!J358</f>
        <v/>
      </c>
      <c r="W358" s="10" t="str">
        <f>'Ingest Template'!K358</f>
        <v/>
      </c>
      <c r="X358" s="5"/>
      <c r="Y358" s="5" t="str">
        <f>SUBSTITUTE(SUBSTITUTE(SUBSTITUTE('Ingest Template'!L358,"http:",""),"https:",""),"/","")</f>
        <v/>
      </c>
      <c r="Z358" s="5" t="str">
        <f t="array" ref="Z358">IF('Ingest Template'!A358="Standard",(IF(ISBLANK('Ingest Template'!M358),"", 'Ingest Template'!M358&amp;"|DAR")),(IF(ISBLANK('Ingest Template'!M358),"", 'Ingest Template'!M358&amp;"|Operations - Core Title")))</f>
        <v/>
      </c>
      <c r="AA358" s="5"/>
      <c r="AB358" s="5" t="str">
        <f>'Ingest Template'!F358</f>
        <v/>
      </c>
      <c r="AC358" s="5"/>
      <c r="AD358" s="5"/>
      <c r="AE358" s="5"/>
      <c r="AF358" s="8"/>
      <c r="AG358" s="5" t="str">
        <f t="array" ref="AG358">IF('Ingest Template'!A358="Standard",(CONCATENATE(IF(ISBLANK('Ingest Template'!N358),"", 'Ingest Template'!N358&amp;"|DAR"),CHAR(10), IF(ISBLANK('Ingest Template'!O358),"", 'Ingest Template'!O358&amp;"|DAR"),CHAR(10), IF(ISBLANK('Ingest Template'!P358),"", 'Ingest Template'!P358&amp;"|DAR"))),(CONCATENATE(IF(ISBLANK('Ingest Template'!N358),"", 'Ingest Template'!N358&amp;"|Operations - Core Title"),CHAR(10), IF(ISBLANK('Ingest Template'!O358),"", 'Ingest Template'!O358&amp;"|Operations - Core Title"),CHAR(10), IF(ISBLANK('Ingest Template'!P358),"", 'Ingest Template'!P358&amp;"|Operations - Core Title"))))</f>
        <v>#|Operations - Core Title
</v>
      </c>
      <c r="AH358" s="5"/>
      <c r="AI358" s="5"/>
      <c r="AJ358" s="5"/>
      <c r="AK358" s="5"/>
      <c r="AL358" s="5"/>
    </row>
    <row r="359">
      <c r="A359" s="5"/>
      <c r="B359" s="5" t="str">
        <f>'Ingest Template'!B359&amp;IF('Ingest Template'!A359 = "Standard", " - DAR","")</f>
        <v/>
      </c>
      <c r="C359" s="6" t="str">
        <f>'Ingest Template'!C359</f>
        <v/>
      </c>
      <c r="D359" s="7" t="str">
        <f>'Ingest Template'!E359</f>
        <v/>
      </c>
      <c r="E359" s="5"/>
      <c r="F359" s="5"/>
      <c r="G359" s="5"/>
      <c r="H359" s="7"/>
      <c r="I359" s="5"/>
      <c r="J359" s="7" t="str">
        <f>'Ingest Template'!Q359</f>
        <v/>
      </c>
      <c r="K359" s="5" t="str">
        <f>'Ingest Template'!R359</f>
        <v/>
      </c>
      <c r="L359" s="8" t="s">
        <v>38</v>
      </c>
      <c r="M359" s="9"/>
      <c r="N359" s="5"/>
      <c r="O359" s="5"/>
      <c r="P359" s="5"/>
      <c r="Q359" s="5"/>
      <c r="R359" s="5" t="str">
        <f>'Ingest Template'!D359</f>
        <v/>
      </c>
      <c r="S359" s="5" t="str">
        <f>'Ingest Template'!G359</f>
        <v/>
      </c>
      <c r="T359" s="5" t="str">
        <f>'Ingest Template'!H359</f>
        <v/>
      </c>
      <c r="U359" s="5" t="str">
        <f>LOWER(SUBSTITUTE(SUBSTITUTE(SUBSTITUTE(SUBSTITUTE(SUBSTITUTE('Ingest Template'!I359,"https:",""),"www.",""),"/",""),"?hl=en",""),"instagram.com",""))</f>
        <v/>
      </c>
      <c r="V359" s="10" t="str">
        <f>'Ingest Template'!J359</f>
        <v/>
      </c>
      <c r="W359" s="10" t="str">
        <f>'Ingest Template'!K359</f>
        <v/>
      </c>
      <c r="X359" s="5"/>
      <c r="Y359" s="5" t="str">
        <f>SUBSTITUTE(SUBSTITUTE(SUBSTITUTE('Ingest Template'!L359,"http:",""),"https:",""),"/","")</f>
        <v/>
      </c>
      <c r="Z359" s="5" t="str">
        <f t="array" ref="Z359">IF('Ingest Template'!A359="Standard",(IF(ISBLANK('Ingest Template'!M359),"", 'Ingest Template'!M359&amp;"|DAR")),(IF(ISBLANK('Ingest Template'!M359),"", 'Ingest Template'!M359&amp;"|Operations - Core Title")))</f>
        <v/>
      </c>
      <c r="AA359" s="5"/>
      <c r="AB359" s="5" t="str">
        <f>'Ingest Template'!F359</f>
        <v/>
      </c>
      <c r="AC359" s="5"/>
      <c r="AD359" s="5"/>
      <c r="AE359" s="5"/>
      <c r="AF359" s="8"/>
      <c r="AG359" s="5" t="str">
        <f t="array" ref="AG359">IF('Ingest Template'!A359="Standard",(CONCATENATE(IF(ISBLANK('Ingest Template'!N359),"", 'Ingest Template'!N359&amp;"|DAR"),CHAR(10), IF(ISBLANK('Ingest Template'!O359),"", 'Ingest Template'!O359&amp;"|DAR"),CHAR(10), IF(ISBLANK('Ingest Template'!P359),"", 'Ingest Template'!P359&amp;"|DAR"))),(CONCATENATE(IF(ISBLANK('Ingest Template'!N359),"", 'Ingest Template'!N359&amp;"|Operations - Core Title"),CHAR(10), IF(ISBLANK('Ingest Template'!O359),"", 'Ingest Template'!O359&amp;"|Operations - Core Title"),CHAR(10), IF(ISBLANK('Ingest Template'!P359),"", 'Ingest Template'!P359&amp;"|Operations - Core Title"))))</f>
        <v>#|Operations - Core Title
</v>
      </c>
      <c r="AH359" s="5"/>
      <c r="AI359" s="5"/>
      <c r="AJ359" s="5"/>
      <c r="AK359" s="5"/>
      <c r="AL359" s="5"/>
    </row>
    <row r="360">
      <c r="A360" s="5"/>
      <c r="B360" s="5" t="str">
        <f>'Ingest Template'!B360&amp;IF('Ingest Template'!A360 = "Standard", " - DAR","")</f>
        <v/>
      </c>
      <c r="C360" s="6" t="str">
        <f>'Ingest Template'!C360</f>
        <v/>
      </c>
      <c r="D360" s="7" t="str">
        <f>'Ingest Template'!E360</f>
        <v/>
      </c>
      <c r="E360" s="5"/>
      <c r="F360" s="5"/>
      <c r="G360" s="5"/>
      <c r="H360" s="7"/>
      <c r="I360" s="5"/>
      <c r="J360" s="7" t="str">
        <f>'Ingest Template'!Q360</f>
        <v/>
      </c>
      <c r="K360" s="5" t="str">
        <f>'Ingest Template'!R360</f>
        <v/>
      </c>
      <c r="L360" s="8" t="s">
        <v>38</v>
      </c>
      <c r="M360" s="9"/>
      <c r="N360" s="5"/>
      <c r="O360" s="5"/>
      <c r="P360" s="5"/>
      <c r="Q360" s="5"/>
      <c r="R360" s="5" t="str">
        <f>'Ingest Template'!D360</f>
        <v/>
      </c>
      <c r="S360" s="5" t="str">
        <f>'Ingest Template'!G360</f>
        <v/>
      </c>
      <c r="T360" s="5" t="str">
        <f>'Ingest Template'!H360</f>
        <v/>
      </c>
      <c r="U360" s="5" t="str">
        <f>LOWER(SUBSTITUTE(SUBSTITUTE(SUBSTITUTE(SUBSTITUTE(SUBSTITUTE('Ingest Template'!I360,"https:",""),"www.",""),"/",""),"?hl=en",""),"instagram.com",""))</f>
        <v/>
      </c>
      <c r="V360" s="10" t="str">
        <f>'Ingest Template'!J360</f>
        <v/>
      </c>
      <c r="W360" s="10" t="str">
        <f>'Ingest Template'!K360</f>
        <v/>
      </c>
      <c r="X360" s="5"/>
      <c r="Y360" s="5" t="str">
        <f>SUBSTITUTE(SUBSTITUTE(SUBSTITUTE('Ingest Template'!L360,"http:",""),"https:",""),"/","")</f>
        <v/>
      </c>
      <c r="Z360" s="5" t="str">
        <f t="array" ref="Z360">IF('Ingest Template'!A360="Standard",(IF(ISBLANK('Ingest Template'!M360),"", 'Ingest Template'!M360&amp;"|DAR")),(IF(ISBLANK('Ingest Template'!M360),"", 'Ingest Template'!M360&amp;"|Operations - Core Title")))</f>
        <v/>
      </c>
      <c r="AA360" s="5"/>
      <c r="AB360" s="5" t="str">
        <f>'Ingest Template'!F360</f>
        <v/>
      </c>
      <c r="AC360" s="5"/>
      <c r="AD360" s="5"/>
      <c r="AE360" s="5"/>
      <c r="AF360" s="8"/>
      <c r="AG360" s="5" t="str">
        <f t="array" ref="AG360">IF('Ingest Template'!A360="Standard",(CONCATENATE(IF(ISBLANK('Ingest Template'!N360),"", 'Ingest Template'!N360&amp;"|DAR"),CHAR(10), IF(ISBLANK('Ingest Template'!O360),"", 'Ingest Template'!O360&amp;"|DAR"),CHAR(10), IF(ISBLANK('Ingest Template'!P360),"", 'Ingest Template'!P360&amp;"|DAR"))),(CONCATENATE(IF(ISBLANK('Ingest Template'!N360),"", 'Ingest Template'!N360&amp;"|Operations - Core Title"),CHAR(10), IF(ISBLANK('Ingest Template'!O360),"", 'Ingest Template'!O360&amp;"|Operations - Core Title"),CHAR(10), IF(ISBLANK('Ingest Template'!P360),"", 'Ingest Template'!P360&amp;"|Operations - Core Title"))))</f>
        <v>#|Operations - Core Title
</v>
      </c>
      <c r="AH360" s="5"/>
      <c r="AI360" s="5"/>
      <c r="AJ360" s="5"/>
      <c r="AK360" s="5"/>
      <c r="AL360" s="5"/>
    </row>
    <row r="361">
      <c r="A361" s="5"/>
      <c r="B361" s="5" t="str">
        <f>'Ingest Template'!B361&amp;IF('Ingest Template'!A361 = "Standard", " - DAR","")</f>
        <v/>
      </c>
      <c r="C361" s="6" t="str">
        <f>'Ingest Template'!C361</f>
        <v/>
      </c>
      <c r="D361" s="7" t="str">
        <f>'Ingest Template'!E361</f>
        <v/>
      </c>
      <c r="E361" s="5"/>
      <c r="F361" s="5"/>
      <c r="G361" s="5"/>
      <c r="H361" s="7"/>
      <c r="I361" s="5"/>
      <c r="J361" s="7" t="str">
        <f>'Ingest Template'!Q361</f>
        <v/>
      </c>
      <c r="K361" s="5" t="str">
        <f>'Ingest Template'!R361</f>
        <v/>
      </c>
      <c r="L361" s="8" t="s">
        <v>38</v>
      </c>
      <c r="M361" s="9"/>
      <c r="N361" s="5"/>
      <c r="O361" s="5"/>
      <c r="P361" s="5"/>
      <c r="Q361" s="5"/>
      <c r="R361" s="5" t="str">
        <f>'Ingest Template'!D361</f>
        <v/>
      </c>
      <c r="S361" s="5" t="str">
        <f>'Ingest Template'!G361</f>
        <v/>
      </c>
      <c r="T361" s="5" t="str">
        <f>'Ingest Template'!H361</f>
        <v/>
      </c>
      <c r="U361" s="5" t="str">
        <f>LOWER(SUBSTITUTE(SUBSTITUTE(SUBSTITUTE(SUBSTITUTE(SUBSTITUTE('Ingest Template'!I361,"https:",""),"www.",""),"/",""),"?hl=en",""),"instagram.com",""))</f>
        <v/>
      </c>
      <c r="V361" s="10" t="str">
        <f>'Ingest Template'!J361</f>
        <v/>
      </c>
      <c r="W361" s="10" t="str">
        <f>'Ingest Template'!K361</f>
        <v/>
      </c>
      <c r="X361" s="5"/>
      <c r="Y361" s="5" t="str">
        <f>SUBSTITUTE(SUBSTITUTE(SUBSTITUTE('Ingest Template'!L361,"http:",""),"https:",""),"/","")</f>
        <v/>
      </c>
      <c r="Z361" s="5" t="str">
        <f t="array" ref="Z361">IF('Ingest Template'!A361="Standard",(IF(ISBLANK('Ingest Template'!M361),"", 'Ingest Template'!M361&amp;"|DAR")),(IF(ISBLANK('Ingest Template'!M361),"", 'Ingest Template'!M361&amp;"|Operations - Core Title")))</f>
        <v/>
      </c>
      <c r="AA361" s="5"/>
      <c r="AB361" s="5" t="str">
        <f>'Ingest Template'!F361</f>
        <v/>
      </c>
      <c r="AC361" s="5"/>
      <c r="AD361" s="5"/>
      <c r="AE361" s="5"/>
      <c r="AF361" s="8"/>
      <c r="AG361" s="5" t="str">
        <f t="array" ref="AG361">IF('Ingest Template'!A361="Standard",(CONCATENATE(IF(ISBLANK('Ingest Template'!N361),"", 'Ingest Template'!N361&amp;"|DAR"),CHAR(10), IF(ISBLANK('Ingest Template'!O361),"", 'Ingest Template'!O361&amp;"|DAR"),CHAR(10), IF(ISBLANK('Ingest Template'!P361),"", 'Ingest Template'!P361&amp;"|DAR"))),(CONCATENATE(IF(ISBLANK('Ingest Template'!N361),"", 'Ingest Template'!N361&amp;"|Operations - Core Title"),CHAR(10), IF(ISBLANK('Ingest Template'!O361),"", 'Ingest Template'!O361&amp;"|Operations - Core Title"),CHAR(10), IF(ISBLANK('Ingest Template'!P361),"", 'Ingest Template'!P361&amp;"|Operations - Core Title"))))</f>
        <v>#|Operations - Core Title
</v>
      </c>
      <c r="AH361" s="5"/>
      <c r="AI361" s="5"/>
      <c r="AJ361" s="5"/>
      <c r="AK361" s="5"/>
      <c r="AL361" s="5"/>
    </row>
    <row r="362">
      <c r="A362" s="5"/>
      <c r="B362" s="5" t="str">
        <f>'Ingest Template'!B362&amp;IF('Ingest Template'!A362 = "Standard", " - DAR","")</f>
        <v/>
      </c>
      <c r="C362" s="6" t="str">
        <f>'Ingest Template'!C362</f>
        <v/>
      </c>
      <c r="D362" s="7" t="str">
        <f>'Ingest Template'!E362</f>
        <v/>
      </c>
      <c r="E362" s="5"/>
      <c r="F362" s="5"/>
      <c r="G362" s="5"/>
      <c r="H362" s="7"/>
      <c r="I362" s="5"/>
      <c r="J362" s="7" t="str">
        <f>'Ingest Template'!Q362</f>
        <v/>
      </c>
      <c r="K362" s="5" t="str">
        <f>'Ingest Template'!R362</f>
        <v/>
      </c>
      <c r="L362" s="8" t="s">
        <v>38</v>
      </c>
      <c r="M362" s="9"/>
      <c r="N362" s="5"/>
      <c r="O362" s="5"/>
      <c r="P362" s="5"/>
      <c r="Q362" s="5"/>
      <c r="R362" s="5" t="str">
        <f>'Ingest Template'!D362</f>
        <v/>
      </c>
      <c r="S362" s="5" t="str">
        <f>'Ingest Template'!G362</f>
        <v/>
      </c>
      <c r="T362" s="5" t="str">
        <f>'Ingest Template'!H362</f>
        <v/>
      </c>
      <c r="U362" s="5" t="str">
        <f>LOWER(SUBSTITUTE(SUBSTITUTE(SUBSTITUTE(SUBSTITUTE(SUBSTITUTE('Ingest Template'!I362,"https:",""),"www.",""),"/",""),"?hl=en",""),"instagram.com",""))</f>
        <v/>
      </c>
      <c r="V362" s="10" t="str">
        <f>'Ingest Template'!J362</f>
        <v/>
      </c>
      <c r="W362" s="10" t="str">
        <f>'Ingest Template'!K362</f>
        <v/>
      </c>
      <c r="X362" s="5"/>
      <c r="Y362" s="5" t="str">
        <f>SUBSTITUTE(SUBSTITUTE(SUBSTITUTE('Ingest Template'!L362,"http:",""),"https:",""),"/","")</f>
        <v/>
      </c>
      <c r="Z362" s="5" t="str">
        <f t="array" ref="Z362">IF('Ingest Template'!A362="Standard",(IF(ISBLANK('Ingest Template'!M362),"", 'Ingest Template'!M362&amp;"|DAR")),(IF(ISBLANK('Ingest Template'!M362),"", 'Ingest Template'!M362&amp;"|Operations - Core Title")))</f>
        <v/>
      </c>
      <c r="AA362" s="5"/>
      <c r="AB362" s="5" t="str">
        <f>'Ingest Template'!F362</f>
        <v/>
      </c>
      <c r="AC362" s="5"/>
      <c r="AD362" s="5"/>
      <c r="AE362" s="5"/>
      <c r="AF362" s="8"/>
      <c r="AG362" s="5" t="str">
        <f t="array" ref="AG362">IF('Ingest Template'!A362="Standard",(CONCATENATE(IF(ISBLANK('Ingest Template'!N362),"", 'Ingest Template'!N362&amp;"|DAR"),CHAR(10), IF(ISBLANK('Ingest Template'!O362),"", 'Ingest Template'!O362&amp;"|DAR"),CHAR(10), IF(ISBLANK('Ingest Template'!P362),"", 'Ingest Template'!P362&amp;"|DAR"))),(CONCATENATE(IF(ISBLANK('Ingest Template'!N362),"", 'Ingest Template'!N362&amp;"|Operations - Core Title"),CHAR(10), IF(ISBLANK('Ingest Template'!O362),"", 'Ingest Template'!O362&amp;"|Operations - Core Title"),CHAR(10), IF(ISBLANK('Ingest Template'!P362),"", 'Ingest Template'!P362&amp;"|Operations - Core Title"))))</f>
        <v>#|Operations - Core Title
</v>
      </c>
      <c r="AH362" s="5"/>
      <c r="AI362" s="5"/>
      <c r="AJ362" s="5"/>
      <c r="AK362" s="5"/>
      <c r="AL362" s="5"/>
    </row>
    <row r="363">
      <c r="A363" s="5"/>
      <c r="B363" s="5" t="str">
        <f>'Ingest Template'!B363&amp;IF('Ingest Template'!A363 = "Standard", " - DAR","")</f>
        <v/>
      </c>
      <c r="C363" s="6" t="str">
        <f>'Ingest Template'!C363</f>
        <v/>
      </c>
      <c r="D363" s="7" t="str">
        <f>'Ingest Template'!E363</f>
        <v/>
      </c>
      <c r="E363" s="5"/>
      <c r="F363" s="5"/>
      <c r="G363" s="5"/>
      <c r="H363" s="7"/>
      <c r="I363" s="5"/>
      <c r="J363" s="7" t="str">
        <f>'Ingest Template'!Q363</f>
        <v/>
      </c>
      <c r="K363" s="5" t="str">
        <f>'Ingest Template'!R363</f>
        <v/>
      </c>
      <c r="L363" s="8" t="s">
        <v>38</v>
      </c>
      <c r="M363" s="9"/>
      <c r="N363" s="5"/>
      <c r="O363" s="5"/>
      <c r="P363" s="5"/>
      <c r="Q363" s="5"/>
      <c r="R363" s="5" t="str">
        <f>'Ingest Template'!D363</f>
        <v/>
      </c>
      <c r="S363" s="5" t="str">
        <f>'Ingest Template'!G363</f>
        <v/>
      </c>
      <c r="T363" s="5" t="str">
        <f>'Ingest Template'!H363</f>
        <v/>
      </c>
      <c r="U363" s="5" t="str">
        <f>LOWER(SUBSTITUTE(SUBSTITUTE(SUBSTITUTE(SUBSTITUTE(SUBSTITUTE('Ingest Template'!I363,"https:",""),"www.",""),"/",""),"?hl=en",""),"instagram.com",""))</f>
        <v/>
      </c>
      <c r="V363" s="10" t="str">
        <f>'Ingest Template'!J363</f>
        <v/>
      </c>
      <c r="W363" s="10" t="str">
        <f>'Ingest Template'!K363</f>
        <v/>
      </c>
      <c r="X363" s="5"/>
      <c r="Y363" s="5" t="str">
        <f>SUBSTITUTE(SUBSTITUTE(SUBSTITUTE('Ingest Template'!L363,"http:",""),"https:",""),"/","")</f>
        <v/>
      </c>
      <c r="Z363" s="5" t="str">
        <f t="array" ref="Z363">IF('Ingest Template'!A363="Standard",(IF(ISBLANK('Ingest Template'!M363),"", 'Ingest Template'!M363&amp;"|DAR")),(IF(ISBLANK('Ingest Template'!M363),"", 'Ingest Template'!M363&amp;"|Operations - Core Title")))</f>
        <v/>
      </c>
      <c r="AA363" s="5"/>
      <c r="AB363" s="5" t="str">
        <f>'Ingest Template'!F363</f>
        <v/>
      </c>
      <c r="AC363" s="5"/>
      <c r="AD363" s="5"/>
      <c r="AE363" s="5"/>
      <c r="AF363" s="8"/>
      <c r="AG363" s="5" t="str">
        <f t="array" ref="AG363">IF('Ingest Template'!A363="Standard",(CONCATENATE(IF(ISBLANK('Ingest Template'!N363),"", 'Ingest Template'!N363&amp;"|DAR"),CHAR(10), IF(ISBLANK('Ingest Template'!O363),"", 'Ingest Template'!O363&amp;"|DAR"),CHAR(10), IF(ISBLANK('Ingest Template'!P363),"", 'Ingest Template'!P363&amp;"|DAR"))),(CONCATENATE(IF(ISBLANK('Ingest Template'!N363),"", 'Ingest Template'!N363&amp;"|Operations - Core Title"),CHAR(10), IF(ISBLANK('Ingest Template'!O363),"", 'Ingest Template'!O363&amp;"|Operations - Core Title"),CHAR(10), IF(ISBLANK('Ingest Template'!P363),"", 'Ingest Template'!P363&amp;"|Operations - Core Title"))))</f>
        <v>#|Operations - Core Title
</v>
      </c>
      <c r="AH363" s="5"/>
      <c r="AI363" s="5"/>
      <c r="AJ363" s="5"/>
      <c r="AK363" s="5"/>
      <c r="AL363" s="5"/>
    </row>
    <row r="364">
      <c r="A364" s="5"/>
      <c r="B364" s="5" t="str">
        <f>'Ingest Template'!B364&amp;IF('Ingest Template'!A364 = "Standard", " - DAR","")</f>
        <v/>
      </c>
      <c r="C364" s="6" t="str">
        <f>'Ingest Template'!C364</f>
        <v/>
      </c>
      <c r="D364" s="7" t="str">
        <f>'Ingest Template'!E364</f>
        <v/>
      </c>
      <c r="E364" s="5"/>
      <c r="F364" s="5"/>
      <c r="G364" s="5"/>
      <c r="H364" s="7"/>
      <c r="I364" s="5"/>
      <c r="J364" s="7" t="str">
        <f>'Ingest Template'!Q364</f>
        <v/>
      </c>
      <c r="K364" s="5" t="str">
        <f>'Ingest Template'!R364</f>
        <v/>
      </c>
      <c r="L364" s="8" t="s">
        <v>38</v>
      </c>
      <c r="M364" s="9"/>
      <c r="N364" s="5"/>
      <c r="O364" s="5"/>
      <c r="P364" s="5"/>
      <c r="Q364" s="5"/>
      <c r="R364" s="5" t="str">
        <f>'Ingest Template'!D364</f>
        <v/>
      </c>
      <c r="S364" s="5" t="str">
        <f>'Ingest Template'!G364</f>
        <v/>
      </c>
      <c r="T364" s="5" t="str">
        <f>'Ingest Template'!H364</f>
        <v/>
      </c>
      <c r="U364" s="5" t="str">
        <f>LOWER(SUBSTITUTE(SUBSTITUTE(SUBSTITUTE(SUBSTITUTE(SUBSTITUTE('Ingest Template'!I364,"https:",""),"www.",""),"/",""),"?hl=en",""),"instagram.com",""))</f>
        <v/>
      </c>
      <c r="V364" s="10" t="str">
        <f>'Ingest Template'!J364</f>
        <v/>
      </c>
      <c r="W364" s="10" t="str">
        <f>'Ingest Template'!K364</f>
        <v/>
      </c>
      <c r="X364" s="5"/>
      <c r="Y364" s="5" t="str">
        <f>SUBSTITUTE(SUBSTITUTE(SUBSTITUTE('Ingest Template'!L364,"http:",""),"https:",""),"/","")</f>
        <v/>
      </c>
      <c r="Z364" s="5" t="str">
        <f t="array" ref="Z364">IF('Ingest Template'!A364="Standard",(IF(ISBLANK('Ingest Template'!M364),"", 'Ingest Template'!M364&amp;"|DAR")),(IF(ISBLANK('Ingest Template'!M364),"", 'Ingest Template'!M364&amp;"|Operations - Core Title")))</f>
        <v/>
      </c>
      <c r="AA364" s="5"/>
      <c r="AB364" s="5" t="str">
        <f>'Ingest Template'!F364</f>
        <v/>
      </c>
      <c r="AC364" s="5"/>
      <c r="AD364" s="5"/>
      <c r="AE364" s="5"/>
      <c r="AF364" s="8"/>
      <c r="AG364" s="5" t="str">
        <f t="array" ref="AG364">IF('Ingest Template'!A364="Standard",(CONCATENATE(IF(ISBLANK('Ingest Template'!N364),"", 'Ingest Template'!N364&amp;"|DAR"),CHAR(10), IF(ISBLANK('Ingest Template'!O364),"", 'Ingest Template'!O364&amp;"|DAR"),CHAR(10), IF(ISBLANK('Ingest Template'!P364),"", 'Ingest Template'!P364&amp;"|DAR"))),(CONCATENATE(IF(ISBLANK('Ingest Template'!N364),"", 'Ingest Template'!N364&amp;"|Operations - Core Title"),CHAR(10), IF(ISBLANK('Ingest Template'!O364),"", 'Ingest Template'!O364&amp;"|Operations - Core Title"),CHAR(10), IF(ISBLANK('Ingest Template'!P364),"", 'Ingest Template'!P364&amp;"|Operations - Core Title"))))</f>
        <v>#|Operations - Core Title
</v>
      </c>
      <c r="AH364" s="5"/>
      <c r="AI364" s="5"/>
      <c r="AJ364" s="5"/>
      <c r="AK364" s="5"/>
      <c r="AL364" s="5"/>
    </row>
    <row r="365">
      <c r="A365" s="5"/>
      <c r="B365" s="5" t="str">
        <f>'Ingest Template'!B365&amp;IF('Ingest Template'!A365 = "Standard", " - DAR","")</f>
        <v/>
      </c>
      <c r="C365" s="6" t="str">
        <f>'Ingest Template'!C365</f>
        <v/>
      </c>
      <c r="D365" s="7" t="str">
        <f>'Ingest Template'!E365</f>
        <v/>
      </c>
      <c r="E365" s="5"/>
      <c r="F365" s="5"/>
      <c r="G365" s="5"/>
      <c r="H365" s="7"/>
      <c r="I365" s="5"/>
      <c r="J365" s="7" t="str">
        <f>'Ingest Template'!Q365</f>
        <v/>
      </c>
      <c r="K365" s="5" t="str">
        <f>'Ingest Template'!R365</f>
        <v/>
      </c>
      <c r="L365" s="8" t="s">
        <v>38</v>
      </c>
      <c r="M365" s="9"/>
      <c r="N365" s="5"/>
      <c r="O365" s="5"/>
      <c r="P365" s="5"/>
      <c r="Q365" s="5"/>
      <c r="R365" s="5" t="str">
        <f>'Ingest Template'!D365</f>
        <v/>
      </c>
      <c r="S365" s="5" t="str">
        <f>'Ingest Template'!G365</f>
        <v/>
      </c>
      <c r="T365" s="5" t="str">
        <f>'Ingest Template'!H365</f>
        <v/>
      </c>
      <c r="U365" s="5" t="str">
        <f>LOWER(SUBSTITUTE(SUBSTITUTE(SUBSTITUTE(SUBSTITUTE(SUBSTITUTE('Ingest Template'!I365,"https:",""),"www.",""),"/",""),"?hl=en",""),"instagram.com",""))</f>
        <v/>
      </c>
      <c r="V365" s="10" t="str">
        <f>'Ingest Template'!J365</f>
        <v/>
      </c>
      <c r="W365" s="10" t="str">
        <f>'Ingest Template'!K365</f>
        <v/>
      </c>
      <c r="X365" s="5"/>
      <c r="Y365" s="5" t="str">
        <f>SUBSTITUTE(SUBSTITUTE(SUBSTITUTE('Ingest Template'!L365,"http:",""),"https:",""),"/","")</f>
        <v/>
      </c>
      <c r="Z365" s="5" t="str">
        <f t="array" ref="Z365">IF('Ingest Template'!A365="Standard",(IF(ISBLANK('Ingest Template'!M365),"", 'Ingest Template'!M365&amp;"|DAR")),(IF(ISBLANK('Ingest Template'!M365),"", 'Ingest Template'!M365&amp;"|Operations - Core Title")))</f>
        <v/>
      </c>
      <c r="AA365" s="5"/>
      <c r="AB365" s="5" t="str">
        <f>'Ingest Template'!F365</f>
        <v/>
      </c>
      <c r="AC365" s="5"/>
      <c r="AD365" s="5"/>
      <c r="AE365" s="5"/>
      <c r="AF365" s="8"/>
      <c r="AG365" s="5" t="str">
        <f t="array" ref="AG365">IF('Ingest Template'!A365="Standard",(CONCATENATE(IF(ISBLANK('Ingest Template'!N365),"", 'Ingest Template'!N365&amp;"|DAR"),CHAR(10), IF(ISBLANK('Ingest Template'!O365),"", 'Ingest Template'!O365&amp;"|DAR"),CHAR(10), IF(ISBLANK('Ingest Template'!P365),"", 'Ingest Template'!P365&amp;"|DAR"))),(CONCATENATE(IF(ISBLANK('Ingest Template'!N365),"", 'Ingest Template'!N365&amp;"|Operations - Core Title"),CHAR(10), IF(ISBLANK('Ingest Template'!O365),"", 'Ingest Template'!O365&amp;"|Operations - Core Title"),CHAR(10), IF(ISBLANK('Ingest Template'!P365),"", 'Ingest Template'!P365&amp;"|Operations - Core Title"))))</f>
        <v>#|Operations - Core Title
</v>
      </c>
      <c r="AH365" s="5"/>
      <c r="AI365" s="5"/>
      <c r="AJ365" s="5"/>
      <c r="AK365" s="5"/>
      <c r="AL365" s="5"/>
    </row>
    <row r="366">
      <c r="A366" s="5"/>
      <c r="B366" s="5" t="str">
        <f>'Ingest Template'!B366&amp;IF('Ingest Template'!A366 = "Standard", " - DAR","")</f>
        <v/>
      </c>
      <c r="C366" s="6" t="str">
        <f>'Ingest Template'!C366</f>
        <v/>
      </c>
      <c r="D366" s="7" t="str">
        <f>'Ingest Template'!E366</f>
        <v/>
      </c>
      <c r="E366" s="5"/>
      <c r="F366" s="5"/>
      <c r="G366" s="5"/>
      <c r="H366" s="7"/>
      <c r="I366" s="5"/>
      <c r="J366" s="7" t="str">
        <f>'Ingest Template'!Q366</f>
        <v/>
      </c>
      <c r="K366" s="5" t="str">
        <f>'Ingest Template'!R366</f>
        <v/>
      </c>
      <c r="L366" s="8" t="s">
        <v>38</v>
      </c>
      <c r="M366" s="9"/>
      <c r="N366" s="5"/>
      <c r="O366" s="5"/>
      <c r="P366" s="5"/>
      <c r="Q366" s="5"/>
      <c r="R366" s="5" t="str">
        <f>'Ingest Template'!D366</f>
        <v/>
      </c>
      <c r="S366" s="5" t="str">
        <f>'Ingest Template'!G366</f>
        <v/>
      </c>
      <c r="T366" s="5" t="str">
        <f>'Ingest Template'!H366</f>
        <v/>
      </c>
      <c r="U366" s="5" t="str">
        <f>LOWER(SUBSTITUTE(SUBSTITUTE(SUBSTITUTE(SUBSTITUTE(SUBSTITUTE('Ingest Template'!I366,"https:",""),"www.",""),"/",""),"?hl=en",""),"instagram.com",""))</f>
        <v/>
      </c>
      <c r="V366" s="10" t="str">
        <f>'Ingest Template'!J366</f>
        <v/>
      </c>
      <c r="W366" s="10" t="str">
        <f>'Ingest Template'!K366</f>
        <v/>
      </c>
      <c r="X366" s="5"/>
      <c r="Y366" s="5" t="str">
        <f>SUBSTITUTE(SUBSTITUTE(SUBSTITUTE('Ingest Template'!L366,"http:",""),"https:",""),"/","")</f>
        <v/>
      </c>
      <c r="Z366" s="5" t="str">
        <f t="array" ref="Z366">IF('Ingest Template'!A366="Standard",(IF(ISBLANK('Ingest Template'!M366),"", 'Ingest Template'!M366&amp;"|DAR")),(IF(ISBLANK('Ingest Template'!M366),"", 'Ingest Template'!M366&amp;"|Operations - Core Title")))</f>
        <v/>
      </c>
      <c r="AA366" s="5"/>
      <c r="AB366" s="5" t="str">
        <f>'Ingest Template'!F366</f>
        <v/>
      </c>
      <c r="AC366" s="5"/>
      <c r="AD366" s="5"/>
      <c r="AE366" s="5"/>
      <c r="AF366" s="8"/>
      <c r="AG366" s="5" t="str">
        <f t="array" ref="AG366">IF('Ingest Template'!A366="Standard",(CONCATENATE(IF(ISBLANK('Ingest Template'!N366),"", 'Ingest Template'!N366&amp;"|DAR"),CHAR(10), IF(ISBLANK('Ingest Template'!O366),"", 'Ingest Template'!O366&amp;"|DAR"),CHAR(10), IF(ISBLANK('Ingest Template'!P366),"", 'Ingest Template'!P366&amp;"|DAR"))),(CONCATENATE(IF(ISBLANK('Ingest Template'!N366),"", 'Ingest Template'!N366&amp;"|Operations - Core Title"),CHAR(10), IF(ISBLANK('Ingest Template'!O366),"", 'Ingest Template'!O366&amp;"|Operations - Core Title"),CHAR(10), IF(ISBLANK('Ingest Template'!P366),"", 'Ingest Template'!P366&amp;"|Operations - Core Title"))))</f>
        <v>#|Operations - Core Title
</v>
      </c>
      <c r="AH366" s="5"/>
      <c r="AI366" s="5"/>
      <c r="AJ366" s="5"/>
      <c r="AK366" s="5"/>
      <c r="AL366" s="5"/>
    </row>
    <row r="367">
      <c r="A367" s="5"/>
      <c r="B367" s="5" t="str">
        <f>'Ingest Template'!B367&amp;IF('Ingest Template'!A367 = "Standard", " - DAR","")</f>
        <v/>
      </c>
      <c r="C367" s="6" t="str">
        <f>'Ingest Template'!C367</f>
        <v/>
      </c>
      <c r="D367" s="7" t="str">
        <f>'Ingest Template'!E367</f>
        <v/>
      </c>
      <c r="E367" s="5"/>
      <c r="F367" s="5"/>
      <c r="G367" s="5"/>
      <c r="H367" s="7"/>
      <c r="I367" s="5"/>
      <c r="J367" s="7" t="str">
        <f>'Ingest Template'!Q367</f>
        <v/>
      </c>
      <c r="K367" s="5" t="str">
        <f>'Ingest Template'!R367</f>
        <v/>
      </c>
      <c r="L367" s="8" t="s">
        <v>38</v>
      </c>
      <c r="M367" s="9"/>
      <c r="N367" s="5"/>
      <c r="O367" s="5"/>
      <c r="P367" s="5"/>
      <c r="Q367" s="5"/>
      <c r="R367" s="5" t="str">
        <f>'Ingest Template'!D367</f>
        <v/>
      </c>
      <c r="S367" s="5" t="str">
        <f>'Ingest Template'!G367</f>
        <v/>
      </c>
      <c r="T367" s="5" t="str">
        <f>'Ingest Template'!H367</f>
        <v/>
      </c>
      <c r="U367" s="5" t="str">
        <f>LOWER(SUBSTITUTE(SUBSTITUTE(SUBSTITUTE(SUBSTITUTE(SUBSTITUTE('Ingest Template'!I367,"https:",""),"www.",""),"/",""),"?hl=en",""),"instagram.com",""))</f>
        <v/>
      </c>
      <c r="V367" s="10" t="str">
        <f>'Ingest Template'!J367</f>
        <v/>
      </c>
      <c r="W367" s="10" t="str">
        <f>'Ingest Template'!K367</f>
        <v/>
      </c>
      <c r="X367" s="5"/>
      <c r="Y367" s="5" t="str">
        <f>SUBSTITUTE(SUBSTITUTE(SUBSTITUTE('Ingest Template'!L367,"http:",""),"https:",""),"/","")</f>
        <v/>
      </c>
      <c r="Z367" s="5" t="str">
        <f t="array" ref="Z367">IF('Ingest Template'!A367="Standard",(IF(ISBLANK('Ingest Template'!M367),"", 'Ingest Template'!M367&amp;"|DAR")),(IF(ISBLANK('Ingest Template'!M367),"", 'Ingest Template'!M367&amp;"|Operations - Core Title")))</f>
        <v/>
      </c>
      <c r="AA367" s="5"/>
      <c r="AB367" s="5" t="str">
        <f>'Ingest Template'!F367</f>
        <v/>
      </c>
      <c r="AC367" s="5"/>
      <c r="AD367" s="5"/>
      <c r="AE367" s="5"/>
      <c r="AF367" s="8"/>
      <c r="AG367" s="5" t="str">
        <f t="array" ref="AG367">IF('Ingest Template'!A367="Standard",(CONCATENATE(IF(ISBLANK('Ingest Template'!N367),"", 'Ingest Template'!N367&amp;"|DAR"),CHAR(10), IF(ISBLANK('Ingest Template'!O367),"", 'Ingest Template'!O367&amp;"|DAR"),CHAR(10), IF(ISBLANK('Ingest Template'!P367),"", 'Ingest Template'!P367&amp;"|DAR"))),(CONCATENATE(IF(ISBLANK('Ingest Template'!N367),"", 'Ingest Template'!N367&amp;"|Operations - Core Title"),CHAR(10), IF(ISBLANK('Ingest Template'!O367),"", 'Ingest Template'!O367&amp;"|Operations - Core Title"),CHAR(10), IF(ISBLANK('Ingest Template'!P367),"", 'Ingest Template'!P367&amp;"|Operations - Core Title"))))</f>
        <v>#|Operations - Core Title
</v>
      </c>
      <c r="AH367" s="5"/>
      <c r="AI367" s="5"/>
      <c r="AJ367" s="5"/>
      <c r="AK367" s="5"/>
      <c r="AL367" s="5"/>
    </row>
    <row r="368">
      <c r="A368" s="5"/>
      <c r="B368" s="5" t="str">
        <f>'Ingest Template'!B368&amp;IF('Ingest Template'!A368 = "Standard", " - DAR","")</f>
        <v/>
      </c>
      <c r="C368" s="6" t="str">
        <f>'Ingest Template'!C368</f>
        <v/>
      </c>
      <c r="D368" s="7" t="str">
        <f>'Ingest Template'!E368</f>
        <v/>
      </c>
      <c r="E368" s="5"/>
      <c r="F368" s="5"/>
      <c r="G368" s="5"/>
      <c r="H368" s="7"/>
      <c r="I368" s="5"/>
      <c r="J368" s="7" t="str">
        <f>'Ingest Template'!Q368</f>
        <v/>
      </c>
      <c r="K368" s="5" t="str">
        <f>'Ingest Template'!R368</f>
        <v/>
      </c>
      <c r="L368" s="8" t="s">
        <v>38</v>
      </c>
      <c r="M368" s="9"/>
      <c r="N368" s="5"/>
      <c r="O368" s="5"/>
      <c r="P368" s="5"/>
      <c r="Q368" s="5"/>
      <c r="R368" s="5" t="str">
        <f>'Ingest Template'!D368</f>
        <v/>
      </c>
      <c r="S368" s="5" t="str">
        <f>'Ingest Template'!G368</f>
        <v/>
      </c>
      <c r="T368" s="5" t="str">
        <f>'Ingest Template'!H368</f>
        <v/>
      </c>
      <c r="U368" s="5" t="str">
        <f>LOWER(SUBSTITUTE(SUBSTITUTE(SUBSTITUTE(SUBSTITUTE(SUBSTITUTE('Ingest Template'!I368,"https:",""),"www.",""),"/",""),"?hl=en",""),"instagram.com",""))</f>
        <v/>
      </c>
      <c r="V368" s="10" t="str">
        <f>'Ingest Template'!J368</f>
        <v/>
      </c>
      <c r="W368" s="10" t="str">
        <f>'Ingest Template'!K368</f>
        <v/>
      </c>
      <c r="X368" s="5"/>
      <c r="Y368" s="5" t="str">
        <f>SUBSTITUTE(SUBSTITUTE(SUBSTITUTE('Ingest Template'!L368,"http:",""),"https:",""),"/","")</f>
        <v/>
      </c>
      <c r="Z368" s="5" t="str">
        <f t="array" ref="Z368">IF('Ingest Template'!A368="Standard",(IF(ISBLANK('Ingest Template'!M368),"", 'Ingest Template'!M368&amp;"|DAR")),(IF(ISBLANK('Ingest Template'!M368),"", 'Ingest Template'!M368&amp;"|Operations - Core Title")))</f>
        <v/>
      </c>
      <c r="AA368" s="5"/>
      <c r="AB368" s="5" t="str">
        <f>'Ingest Template'!F368</f>
        <v/>
      </c>
      <c r="AC368" s="5"/>
      <c r="AD368" s="5"/>
      <c r="AE368" s="5"/>
      <c r="AF368" s="8"/>
      <c r="AG368" s="5" t="str">
        <f t="array" ref="AG368">IF('Ingest Template'!A368="Standard",(CONCATENATE(IF(ISBLANK('Ingest Template'!N368),"", 'Ingest Template'!N368&amp;"|DAR"),CHAR(10), IF(ISBLANK('Ingest Template'!O368),"", 'Ingest Template'!O368&amp;"|DAR"),CHAR(10), IF(ISBLANK('Ingest Template'!P368),"", 'Ingest Template'!P368&amp;"|DAR"))),(CONCATENATE(IF(ISBLANK('Ingest Template'!N368),"", 'Ingest Template'!N368&amp;"|Operations - Core Title"),CHAR(10), IF(ISBLANK('Ingest Template'!O368),"", 'Ingest Template'!O368&amp;"|Operations - Core Title"),CHAR(10), IF(ISBLANK('Ingest Template'!P368),"", 'Ingest Template'!P368&amp;"|Operations - Core Title"))))</f>
        <v>#|Operations - Core Title
</v>
      </c>
      <c r="AH368" s="5"/>
      <c r="AI368" s="5"/>
      <c r="AJ368" s="5"/>
      <c r="AK368" s="5"/>
      <c r="AL368" s="5"/>
    </row>
    <row r="369">
      <c r="A369" s="5"/>
      <c r="B369" s="5" t="str">
        <f>'Ingest Template'!B369&amp;IF('Ingest Template'!A369 = "Standard", " - DAR","")</f>
        <v/>
      </c>
      <c r="C369" s="6" t="str">
        <f>'Ingest Template'!C369</f>
        <v/>
      </c>
      <c r="D369" s="7" t="str">
        <f>'Ingest Template'!E369</f>
        <v/>
      </c>
      <c r="E369" s="5"/>
      <c r="F369" s="5"/>
      <c r="G369" s="5"/>
      <c r="H369" s="7"/>
      <c r="I369" s="5"/>
      <c r="J369" s="7" t="str">
        <f>'Ingest Template'!Q369</f>
        <v/>
      </c>
      <c r="K369" s="5" t="str">
        <f>'Ingest Template'!R369</f>
        <v/>
      </c>
      <c r="L369" s="8" t="s">
        <v>38</v>
      </c>
      <c r="M369" s="9"/>
      <c r="N369" s="5"/>
      <c r="O369" s="5"/>
      <c r="P369" s="5"/>
      <c r="Q369" s="5"/>
      <c r="R369" s="5" t="str">
        <f>'Ingest Template'!D369</f>
        <v/>
      </c>
      <c r="S369" s="5" t="str">
        <f>'Ingest Template'!G369</f>
        <v/>
      </c>
      <c r="T369" s="5" t="str">
        <f>'Ingest Template'!H369</f>
        <v/>
      </c>
      <c r="U369" s="5" t="str">
        <f>LOWER(SUBSTITUTE(SUBSTITUTE(SUBSTITUTE(SUBSTITUTE(SUBSTITUTE('Ingest Template'!I369,"https:",""),"www.",""),"/",""),"?hl=en",""),"instagram.com",""))</f>
        <v/>
      </c>
      <c r="V369" s="10" t="str">
        <f>'Ingest Template'!J369</f>
        <v/>
      </c>
      <c r="W369" s="10" t="str">
        <f>'Ingest Template'!K369</f>
        <v/>
      </c>
      <c r="X369" s="5"/>
      <c r="Y369" s="5" t="str">
        <f>SUBSTITUTE(SUBSTITUTE(SUBSTITUTE('Ingest Template'!L369,"http:",""),"https:",""),"/","")</f>
        <v/>
      </c>
      <c r="Z369" s="5" t="str">
        <f t="array" ref="Z369">IF('Ingest Template'!A369="Standard",(IF(ISBLANK('Ingest Template'!M369),"", 'Ingest Template'!M369&amp;"|DAR")),(IF(ISBLANK('Ingest Template'!M369),"", 'Ingest Template'!M369&amp;"|Operations - Core Title")))</f>
        <v/>
      </c>
      <c r="AA369" s="5"/>
      <c r="AB369" s="5" t="str">
        <f>'Ingest Template'!F369</f>
        <v/>
      </c>
      <c r="AC369" s="5"/>
      <c r="AD369" s="5"/>
      <c r="AE369" s="5"/>
      <c r="AF369" s="8"/>
      <c r="AG369" s="5" t="str">
        <f t="array" ref="AG369">IF('Ingest Template'!A369="Standard",(CONCATENATE(IF(ISBLANK('Ingest Template'!N369),"", 'Ingest Template'!N369&amp;"|DAR"),CHAR(10), IF(ISBLANK('Ingest Template'!O369),"", 'Ingest Template'!O369&amp;"|DAR"),CHAR(10), IF(ISBLANK('Ingest Template'!P369),"", 'Ingest Template'!P369&amp;"|DAR"))),(CONCATENATE(IF(ISBLANK('Ingest Template'!N369),"", 'Ingest Template'!N369&amp;"|Operations - Core Title"),CHAR(10), IF(ISBLANK('Ingest Template'!O369),"", 'Ingest Template'!O369&amp;"|Operations - Core Title"),CHAR(10), IF(ISBLANK('Ingest Template'!P369),"", 'Ingest Template'!P369&amp;"|Operations - Core Title"))))</f>
        <v>#|Operations - Core Title
</v>
      </c>
      <c r="AH369" s="5"/>
      <c r="AI369" s="5"/>
      <c r="AJ369" s="5"/>
      <c r="AK369" s="5"/>
      <c r="AL369" s="5"/>
    </row>
    <row r="370">
      <c r="A370" s="5"/>
      <c r="B370" s="5" t="str">
        <f>'Ingest Template'!B370&amp;IF('Ingest Template'!A370 = "Standard", " - DAR","")</f>
        <v/>
      </c>
      <c r="C370" s="6" t="str">
        <f>'Ingest Template'!C370</f>
        <v/>
      </c>
      <c r="D370" s="7" t="str">
        <f>'Ingest Template'!E370</f>
        <v/>
      </c>
      <c r="E370" s="5"/>
      <c r="F370" s="5"/>
      <c r="G370" s="5"/>
      <c r="H370" s="7"/>
      <c r="I370" s="5"/>
      <c r="J370" s="7" t="str">
        <f>'Ingest Template'!Q370</f>
        <v/>
      </c>
      <c r="K370" s="5" t="str">
        <f>'Ingest Template'!R370</f>
        <v/>
      </c>
      <c r="L370" s="8" t="s">
        <v>38</v>
      </c>
      <c r="M370" s="9"/>
      <c r="N370" s="5"/>
      <c r="O370" s="5"/>
      <c r="P370" s="5"/>
      <c r="Q370" s="5"/>
      <c r="R370" s="5" t="str">
        <f>'Ingest Template'!D370</f>
        <v/>
      </c>
      <c r="S370" s="5" t="str">
        <f>'Ingest Template'!G370</f>
        <v/>
      </c>
      <c r="T370" s="5" t="str">
        <f>'Ingest Template'!H370</f>
        <v/>
      </c>
      <c r="U370" s="5" t="str">
        <f>LOWER(SUBSTITUTE(SUBSTITUTE(SUBSTITUTE(SUBSTITUTE(SUBSTITUTE('Ingest Template'!I370,"https:",""),"www.",""),"/",""),"?hl=en",""),"instagram.com",""))</f>
        <v/>
      </c>
      <c r="V370" s="10" t="str">
        <f>'Ingest Template'!J370</f>
        <v/>
      </c>
      <c r="W370" s="10" t="str">
        <f>'Ingest Template'!K370</f>
        <v/>
      </c>
      <c r="X370" s="5"/>
      <c r="Y370" s="5" t="str">
        <f>SUBSTITUTE(SUBSTITUTE(SUBSTITUTE('Ingest Template'!L370,"http:",""),"https:",""),"/","")</f>
        <v/>
      </c>
      <c r="Z370" s="5" t="str">
        <f t="array" ref="Z370">IF('Ingest Template'!A370="Standard",(IF(ISBLANK('Ingest Template'!M370),"", 'Ingest Template'!M370&amp;"|DAR")),(IF(ISBLANK('Ingest Template'!M370),"", 'Ingest Template'!M370&amp;"|Operations - Core Title")))</f>
        <v/>
      </c>
      <c r="AA370" s="5"/>
      <c r="AB370" s="5" t="str">
        <f>'Ingest Template'!F370</f>
        <v/>
      </c>
      <c r="AC370" s="5"/>
      <c r="AD370" s="5"/>
      <c r="AE370" s="5"/>
      <c r="AF370" s="8"/>
      <c r="AG370" s="5" t="str">
        <f t="array" ref="AG370">IF('Ingest Template'!A370="Standard",(CONCATENATE(IF(ISBLANK('Ingest Template'!N370),"", 'Ingest Template'!N370&amp;"|DAR"),CHAR(10), IF(ISBLANK('Ingest Template'!O370),"", 'Ingest Template'!O370&amp;"|DAR"),CHAR(10), IF(ISBLANK('Ingest Template'!P370),"", 'Ingest Template'!P370&amp;"|DAR"))),(CONCATENATE(IF(ISBLANK('Ingest Template'!N370),"", 'Ingest Template'!N370&amp;"|Operations - Core Title"),CHAR(10), IF(ISBLANK('Ingest Template'!O370),"", 'Ingest Template'!O370&amp;"|Operations - Core Title"),CHAR(10), IF(ISBLANK('Ingest Template'!P370),"", 'Ingest Template'!P370&amp;"|Operations - Core Title"))))</f>
        <v>#|Operations - Core Title
</v>
      </c>
      <c r="AH370" s="5"/>
      <c r="AI370" s="5"/>
      <c r="AJ370" s="5"/>
      <c r="AK370" s="5"/>
      <c r="AL370" s="5"/>
    </row>
    <row r="371">
      <c r="A371" s="5"/>
      <c r="B371" s="5" t="str">
        <f>'Ingest Template'!B371&amp;IF('Ingest Template'!A371 = "Standard", " - DAR","")</f>
        <v/>
      </c>
      <c r="C371" s="6" t="str">
        <f>'Ingest Template'!C371</f>
        <v/>
      </c>
      <c r="D371" s="7" t="str">
        <f>'Ingest Template'!E371</f>
        <v/>
      </c>
      <c r="E371" s="5"/>
      <c r="F371" s="5"/>
      <c r="G371" s="5"/>
      <c r="H371" s="7"/>
      <c r="I371" s="5"/>
      <c r="J371" s="7" t="str">
        <f>'Ingest Template'!Q371</f>
        <v/>
      </c>
      <c r="K371" s="5" t="str">
        <f>'Ingest Template'!R371</f>
        <v/>
      </c>
      <c r="L371" s="8" t="s">
        <v>38</v>
      </c>
      <c r="M371" s="9"/>
      <c r="N371" s="5"/>
      <c r="O371" s="5"/>
      <c r="P371" s="5"/>
      <c r="Q371" s="5"/>
      <c r="R371" s="5" t="str">
        <f>'Ingest Template'!D371</f>
        <v/>
      </c>
      <c r="S371" s="5" t="str">
        <f>'Ingest Template'!G371</f>
        <v/>
      </c>
      <c r="T371" s="5" t="str">
        <f>'Ingest Template'!H371</f>
        <v/>
      </c>
      <c r="U371" s="5" t="str">
        <f>LOWER(SUBSTITUTE(SUBSTITUTE(SUBSTITUTE(SUBSTITUTE(SUBSTITUTE('Ingest Template'!I371,"https:",""),"www.",""),"/",""),"?hl=en",""),"instagram.com",""))</f>
        <v/>
      </c>
      <c r="V371" s="10" t="str">
        <f>'Ingest Template'!J371</f>
        <v/>
      </c>
      <c r="W371" s="10" t="str">
        <f>'Ingest Template'!K371</f>
        <v/>
      </c>
      <c r="X371" s="5"/>
      <c r="Y371" s="5" t="str">
        <f>SUBSTITUTE(SUBSTITUTE(SUBSTITUTE('Ingest Template'!L371,"http:",""),"https:",""),"/","")</f>
        <v/>
      </c>
      <c r="Z371" s="5" t="str">
        <f t="array" ref="Z371">IF('Ingest Template'!A371="Standard",(IF(ISBLANK('Ingest Template'!M371),"", 'Ingest Template'!M371&amp;"|DAR")),(IF(ISBLANK('Ingest Template'!M371),"", 'Ingest Template'!M371&amp;"|Operations - Core Title")))</f>
        <v/>
      </c>
      <c r="AA371" s="5"/>
      <c r="AB371" s="5" t="str">
        <f>'Ingest Template'!F371</f>
        <v/>
      </c>
      <c r="AC371" s="5"/>
      <c r="AD371" s="5"/>
      <c r="AE371" s="5"/>
      <c r="AF371" s="8"/>
      <c r="AG371" s="5" t="str">
        <f t="array" ref="AG371">IF('Ingest Template'!A371="Standard",(CONCATENATE(IF(ISBLANK('Ingest Template'!N371),"", 'Ingest Template'!N371&amp;"|DAR"),CHAR(10), IF(ISBLANK('Ingest Template'!O371),"", 'Ingest Template'!O371&amp;"|DAR"),CHAR(10), IF(ISBLANK('Ingest Template'!P371),"", 'Ingest Template'!P371&amp;"|DAR"))),(CONCATENATE(IF(ISBLANK('Ingest Template'!N371),"", 'Ingest Template'!N371&amp;"|Operations - Core Title"),CHAR(10), IF(ISBLANK('Ingest Template'!O371),"", 'Ingest Template'!O371&amp;"|Operations - Core Title"),CHAR(10), IF(ISBLANK('Ingest Template'!P371),"", 'Ingest Template'!P371&amp;"|Operations - Core Title"))))</f>
        <v>#|Operations - Core Title
</v>
      </c>
      <c r="AH371" s="5"/>
      <c r="AI371" s="5"/>
      <c r="AJ371" s="5"/>
      <c r="AK371" s="5"/>
      <c r="AL371" s="5"/>
    </row>
    <row r="372">
      <c r="A372" s="5"/>
      <c r="B372" s="5" t="str">
        <f>'Ingest Template'!B372&amp;IF('Ingest Template'!A372 = "Standard", " - DAR","")</f>
        <v/>
      </c>
      <c r="C372" s="6" t="str">
        <f>'Ingest Template'!C372</f>
        <v/>
      </c>
      <c r="D372" s="7" t="str">
        <f>'Ingest Template'!E372</f>
        <v/>
      </c>
      <c r="E372" s="5"/>
      <c r="F372" s="5"/>
      <c r="G372" s="5"/>
      <c r="H372" s="7"/>
      <c r="I372" s="5"/>
      <c r="J372" s="7" t="str">
        <f>'Ingest Template'!Q372</f>
        <v/>
      </c>
      <c r="K372" s="5" t="str">
        <f>'Ingest Template'!R372</f>
        <v/>
      </c>
      <c r="L372" s="8" t="s">
        <v>38</v>
      </c>
      <c r="M372" s="9"/>
      <c r="N372" s="5"/>
      <c r="O372" s="5"/>
      <c r="P372" s="5"/>
      <c r="Q372" s="5"/>
      <c r="R372" s="5" t="str">
        <f>'Ingest Template'!D372</f>
        <v/>
      </c>
      <c r="S372" s="5" t="str">
        <f>'Ingest Template'!G372</f>
        <v/>
      </c>
      <c r="T372" s="5" t="str">
        <f>'Ingest Template'!H372</f>
        <v/>
      </c>
      <c r="U372" s="5" t="str">
        <f>LOWER(SUBSTITUTE(SUBSTITUTE(SUBSTITUTE(SUBSTITUTE(SUBSTITUTE('Ingest Template'!I372,"https:",""),"www.",""),"/",""),"?hl=en",""),"instagram.com",""))</f>
        <v/>
      </c>
      <c r="V372" s="10" t="str">
        <f>'Ingest Template'!J372</f>
        <v/>
      </c>
      <c r="W372" s="10" t="str">
        <f>'Ingest Template'!K372</f>
        <v/>
      </c>
      <c r="X372" s="5"/>
      <c r="Y372" s="5" t="str">
        <f>SUBSTITUTE(SUBSTITUTE(SUBSTITUTE('Ingest Template'!L372,"http:",""),"https:",""),"/","")</f>
        <v/>
      </c>
      <c r="Z372" s="5" t="str">
        <f t="array" ref="Z372">IF('Ingest Template'!A372="Standard",(IF(ISBLANK('Ingest Template'!M372),"", 'Ingest Template'!M372&amp;"|DAR")),(IF(ISBLANK('Ingest Template'!M372),"", 'Ingest Template'!M372&amp;"|Operations - Core Title")))</f>
        <v/>
      </c>
      <c r="AA372" s="5"/>
      <c r="AB372" s="5" t="str">
        <f>'Ingest Template'!F372</f>
        <v/>
      </c>
      <c r="AC372" s="5"/>
      <c r="AD372" s="5"/>
      <c r="AE372" s="5"/>
      <c r="AF372" s="8"/>
      <c r="AG372" s="5" t="str">
        <f t="array" ref="AG372">IF('Ingest Template'!A372="Standard",(CONCATENATE(IF(ISBLANK('Ingest Template'!N372),"", 'Ingest Template'!N372&amp;"|DAR"),CHAR(10), IF(ISBLANK('Ingest Template'!O372),"", 'Ingest Template'!O372&amp;"|DAR"),CHAR(10), IF(ISBLANK('Ingest Template'!P372),"", 'Ingest Template'!P372&amp;"|DAR"))),(CONCATENATE(IF(ISBLANK('Ingest Template'!N372),"", 'Ingest Template'!N372&amp;"|Operations - Core Title"),CHAR(10), IF(ISBLANK('Ingest Template'!O372),"", 'Ingest Template'!O372&amp;"|Operations - Core Title"),CHAR(10), IF(ISBLANK('Ingest Template'!P372),"", 'Ingest Template'!P372&amp;"|Operations - Core Title"))))</f>
        <v>#|Operations - Core Title
</v>
      </c>
      <c r="AH372" s="5"/>
      <c r="AI372" s="5"/>
      <c r="AJ372" s="5"/>
      <c r="AK372" s="5"/>
      <c r="AL372" s="5"/>
    </row>
    <row r="373">
      <c r="A373" s="5"/>
      <c r="B373" s="5" t="str">
        <f>'Ingest Template'!B373&amp;IF('Ingest Template'!A373 = "Standard", " - DAR","")</f>
        <v/>
      </c>
      <c r="C373" s="6" t="str">
        <f>'Ingest Template'!C373</f>
        <v/>
      </c>
      <c r="D373" s="7" t="str">
        <f>'Ingest Template'!E373</f>
        <v/>
      </c>
      <c r="E373" s="5"/>
      <c r="F373" s="5"/>
      <c r="G373" s="5"/>
      <c r="H373" s="7"/>
      <c r="I373" s="5"/>
      <c r="J373" s="7" t="str">
        <f>'Ingest Template'!Q373</f>
        <v/>
      </c>
      <c r="K373" s="5" t="str">
        <f>'Ingest Template'!R373</f>
        <v/>
      </c>
      <c r="L373" s="8" t="s">
        <v>38</v>
      </c>
      <c r="M373" s="9"/>
      <c r="N373" s="5"/>
      <c r="O373" s="5"/>
      <c r="P373" s="5"/>
      <c r="Q373" s="5"/>
      <c r="R373" s="5" t="str">
        <f>'Ingest Template'!D373</f>
        <v/>
      </c>
      <c r="S373" s="5" t="str">
        <f>'Ingest Template'!G373</f>
        <v/>
      </c>
      <c r="T373" s="5" t="str">
        <f>'Ingest Template'!H373</f>
        <v/>
      </c>
      <c r="U373" s="5" t="str">
        <f>LOWER(SUBSTITUTE(SUBSTITUTE(SUBSTITUTE(SUBSTITUTE(SUBSTITUTE('Ingest Template'!I373,"https:",""),"www.",""),"/",""),"?hl=en",""),"instagram.com",""))</f>
        <v/>
      </c>
      <c r="V373" s="10" t="str">
        <f>'Ingest Template'!J373</f>
        <v/>
      </c>
      <c r="W373" s="10" t="str">
        <f>'Ingest Template'!K373</f>
        <v/>
      </c>
      <c r="X373" s="5"/>
      <c r="Y373" s="5" t="str">
        <f>SUBSTITUTE(SUBSTITUTE(SUBSTITUTE('Ingest Template'!L373,"http:",""),"https:",""),"/","")</f>
        <v/>
      </c>
      <c r="Z373" s="5" t="str">
        <f t="array" ref="Z373">IF('Ingest Template'!A373="Standard",(IF(ISBLANK('Ingest Template'!M373),"", 'Ingest Template'!M373&amp;"|DAR")),(IF(ISBLANK('Ingest Template'!M373),"", 'Ingest Template'!M373&amp;"|Operations - Core Title")))</f>
        <v/>
      </c>
      <c r="AA373" s="5"/>
      <c r="AB373" s="5" t="str">
        <f>'Ingest Template'!F373</f>
        <v/>
      </c>
      <c r="AC373" s="5"/>
      <c r="AD373" s="5"/>
      <c r="AE373" s="5"/>
      <c r="AF373" s="8"/>
      <c r="AG373" s="5" t="str">
        <f t="array" ref="AG373">IF('Ingest Template'!A373="Standard",(CONCATENATE(IF(ISBLANK('Ingest Template'!N373),"", 'Ingest Template'!N373&amp;"|DAR"),CHAR(10), IF(ISBLANK('Ingest Template'!O373),"", 'Ingest Template'!O373&amp;"|DAR"),CHAR(10), IF(ISBLANK('Ingest Template'!P373),"", 'Ingest Template'!P373&amp;"|DAR"))),(CONCATENATE(IF(ISBLANK('Ingest Template'!N373),"", 'Ingest Template'!N373&amp;"|Operations - Core Title"),CHAR(10), IF(ISBLANK('Ingest Template'!O373),"", 'Ingest Template'!O373&amp;"|Operations - Core Title"),CHAR(10), IF(ISBLANK('Ingest Template'!P373),"", 'Ingest Template'!P373&amp;"|Operations - Core Title"))))</f>
        <v>#|Operations - Core Title
</v>
      </c>
      <c r="AH373" s="5"/>
      <c r="AI373" s="5"/>
      <c r="AJ373" s="5"/>
      <c r="AK373" s="5"/>
      <c r="AL373" s="5"/>
    </row>
    <row r="374">
      <c r="A374" s="5"/>
      <c r="B374" s="5" t="str">
        <f>'Ingest Template'!B374&amp;IF('Ingest Template'!A374 = "Standard", " - DAR","")</f>
        <v/>
      </c>
      <c r="C374" s="6" t="str">
        <f>'Ingest Template'!C374</f>
        <v/>
      </c>
      <c r="D374" s="7" t="str">
        <f>'Ingest Template'!E374</f>
        <v/>
      </c>
      <c r="E374" s="5"/>
      <c r="F374" s="5"/>
      <c r="G374" s="5"/>
      <c r="H374" s="7"/>
      <c r="I374" s="5"/>
      <c r="J374" s="7" t="str">
        <f>'Ingest Template'!Q374</f>
        <v/>
      </c>
      <c r="K374" s="5" t="str">
        <f>'Ingest Template'!R374</f>
        <v/>
      </c>
      <c r="L374" s="8" t="s">
        <v>38</v>
      </c>
      <c r="M374" s="9"/>
      <c r="N374" s="5"/>
      <c r="O374" s="5"/>
      <c r="P374" s="5"/>
      <c r="Q374" s="5"/>
      <c r="R374" s="5" t="str">
        <f>'Ingest Template'!D374</f>
        <v/>
      </c>
      <c r="S374" s="5" t="str">
        <f>'Ingest Template'!G374</f>
        <v/>
      </c>
      <c r="T374" s="5" t="str">
        <f>'Ingest Template'!H374</f>
        <v/>
      </c>
      <c r="U374" s="5" t="str">
        <f>LOWER(SUBSTITUTE(SUBSTITUTE(SUBSTITUTE(SUBSTITUTE(SUBSTITUTE('Ingest Template'!I374,"https:",""),"www.",""),"/",""),"?hl=en",""),"instagram.com",""))</f>
        <v/>
      </c>
      <c r="V374" s="10" t="str">
        <f>'Ingest Template'!J374</f>
        <v/>
      </c>
      <c r="W374" s="10" t="str">
        <f>'Ingest Template'!K374</f>
        <v/>
      </c>
      <c r="X374" s="5"/>
      <c r="Y374" s="5" t="str">
        <f>SUBSTITUTE(SUBSTITUTE(SUBSTITUTE('Ingest Template'!L374,"http:",""),"https:",""),"/","")</f>
        <v/>
      </c>
      <c r="Z374" s="5" t="str">
        <f t="array" ref="Z374">IF('Ingest Template'!A374="Standard",(IF(ISBLANK('Ingest Template'!M374),"", 'Ingest Template'!M374&amp;"|DAR")),(IF(ISBLANK('Ingest Template'!M374),"", 'Ingest Template'!M374&amp;"|Operations - Core Title")))</f>
        <v/>
      </c>
      <c r="AA374" s="5"/>
      <c r="AB374" s="5" t="str">
        <f>'Ingest Template'!F374</f>
        <v/>
      </c>
      <c r="AC374" s="5"/>
      <c r="AD374" s="5"/>
      <c r="AE374" s="5"/>
      <c r="AF374" s="8"/>
      <c r="AG374" s="5" t="str">
        <f t="array" ref="AG374">IF('Ingest Template'!A374="Standard",(CONCATENATE(IF(ISBLANK('Ingest Template'!N374),"", 'Ingest Template'!N374&amp;"|DAR"),CHAR(10), IF(ISBLANK('Ingest Template'!O374),"", 'Ingest Template'!O374&amp;"|DAR"),CHAR(10), IF(ISBLANK('Ingest Template'!P374),"", 'Ingest Template'!P374&amp;"|DAR"))),(CONCATENATE(IF(ISBLANK('Ingest Template'!N374),"", 'Ingest Template'!N374&amp;"|Operations - Core Title"),CHAR(10), IF(ISBLANK('Ingest Template'!O374),"", 'Ingest Template'!O374&amp;"|Operations - Core Title"),CHAR(10), IF(ISBLANK('Ingest Template'!P374),"", 'Ingest Template'!P374&amp;"|Operations - Core Title"))))</f>
        <v>#|Operations - Core Title
</v>
      </c>
      <c r="AH374" s="5"/>
      <c r="AI374" s="5"/>
      <c r="AJ374" s="5"/>
      <c r="AK374" s="5"/>
      <c r="AL374" s="5"/>
    </row>
    <row r="375">
      <c r="A375" s="5"/>
      <c r="B375" s="5" t="str">
        <f>'Ingest Template'!B375&amp;IF('Ingest Template'!A375 = "Standard", " - DAR","")</f>
        <v/>
      </c>
      <c r="C375" s="6" t="str">
        <f>'Ingest Template'!C375</f>
        <v/>
      </c>
      <c r="D375" s="7" t="str">
        <f>'Ingest Template'!E375</f>
        <v/>
      </c>
      <c r="E375" s="5"/>
      <c r="F375" s="5"/>
      <c r="G375" s="5"/>
      <c r="H375" s="7"/>
      <c r="I375" s="5"/>
      <c r="J375" s="7" t="str">
        <f>'Ingest Template'!Q375</f>
        <v/>
      </c>
      <c r="K375" s="5" t="str">
        <f>'Ingest Template'!R375</f>
        <v/>
      </c>
      <c r="L375" s="8" t="s">
        <v>38</v>
      </c>
      <c r="M375" s="9"/>
      <c r="N375" s="5"/>
      <c r="O375" s="5"/>
      <c r="P375" s="5"/>
      <c r="Q375" s="5"/>
      <c r="R375" s="5" t="str">
        <f>'Ingest Template'!D375</f>
        <v/>
      </c>
      <c r="S375" s="5" t="str">
        <f>'Ingest Template'!G375</f>
        <v/>
      </c>
      <c r="T375" s="5" t="str">
        <f>'Ingest Template'!H375</f>
        <v/>
      </c>
      <c r="U375" s="5" t="str">
        <f>LOWER(SUBSTITUTE(SUBSTITUTE(SUBSTITUTE(SUBSTITUTE(SUBSTITUTE('Ingest Template'!I375,"https:",""),"www.",""),"/",""),"?hl=en",""),"instagram.com",""))</f>
        <v/>
      </c>
      <c r="V375" s="10" t="str">
        <f>'Ingest Template'!J375</f>
        <v/>
      </c>
      <c r="W375" s="10" t="str">
        <f>'Ingest Template'!K375</f>
        <v/>
      </c>
      <c r="X375" s="5"/>
      <c r="Y375" s="5" t="str">
        <f>SUBSTITUTE(SUBSTITUTE(SUBSTITUTE('Ingest Template'!L375,"http:",""),"https:",""),"/","")</f>
        <v/>
      </c>
      <c r="Z375" s="5" t="str">
        <f t="array" ref="Z375">IF('Ingest Template'!A375="Standard",(IF(ISBLANK('Ingest Template'!M375),"", 'Ingest Template'!M375&amp;"|DAR")),(IF(ISBLANK('Ingest Template'!M375),"", 'Ingest Template'!M375&amp;"|Operations - Core Title")))</f>
        <v/>
      </c>
      <c r="AA375" s="5"/>
      <c r="AB375" s="5" t="str">
        <f>'Ingest Template'!F375</f>
        <v/>
      </c>
      <c r="AC375" s="5"/>
      <c r="AD375" s="5"/>
      <c r="AE375" s="5"/>
      <c r="AF375" s="8"/>
      <c r="AG375" s="5" t="str">
        <f t="array" ref="AG375">IF('Ingest Template'!A375="Standard",(CONCATENATE(IF(ISBLANK('Ingest Template'!N375),"", 'Ingest Template'!N375&amp;"|DAR"),CHAR(10), IF(ISBLANK('Ingest Template'!O375),"", 'Ingest Template'!O375&amp;"|DAR"),CHAR(10), IF(ISBLANK('Ingest Template'!P375),"", 'Ingest Template'!P375&amp;"|DAR"))),(CONCATENATE(IF(ISBLANK('Ingest Template'!N375),"", 'Ingest Template'!N375&amp;"|Operations - Core Title"),CHAR(10), IF(ISBLANK('Ingest Template'!O375),"", 'Ingest Template'!O375&amp;"|Operations - Core Title"),CHAR(10), IF(ISBLANK('Ingest Template'!P375),"", 'Ingest Template'!P375&amp;"|Operations - Core Title"))))</f>
        <v>#|Operations - Core Title
</v>
      </c>
      <c r="AH375" s="5"/>
      <c r="AI375" s="5"/>
      <c r="AJ375" s="5"/>
      <c r="AK375" s="5"/>
      <c r="AL375" s="5"/>
    </row>
    <row r="376">
      <c r="A376" s="5"/>
      <c r="B376" s="5" t="str">
        <f>'Ingest Template'!B376&amp;IF('Ingest Template'!A376 = "Standard", " - DAR","")</f>
        <v/>
      </c>
      <c r="C376" s="6" t="str">
        <f>'Ingest Template'!C376</f>
        <v/>
      </c>
      <c r="D376" s="7" t="str">
        <f>'Ingest Template'!E376</f>
        <v/>
      </c>
      <c r="E376" s="5"/>
      <c r="F376" s="5"/>
      <c r="G376" s="5"/>
      <c r="H376" s="7"/>
      <c r="I376" s="5"/>
      <c r="J376" s="7" t="str">
        <f>'Ingest Template'!Q376</f>
        <v/>
      </c>
      <c r="K376" s="5" t="str">
        <f>'Ingest Template'!R376</f>
        <v/>
      </c>
      <c r="L376" s="8" t="s">
        <v>38</v>
      </c>
      <c r="M376" s="9"/>
      <c r="N376" s="5"/>
      <c r="O376" s="5"/>
      <c r="P376" s="5"/>
      <c r="Q376" s="5"/>
      <c r="R376" s="5" t="str">
        <f>'Ingest Template'!D376</f>
        <v/>
      </c>
      <c r="S376" s="5" t="str">
        <f>'Ingest Template'!G376</f>
        <v/>
      </c>
      <c r="T376" s="5" t="str">
        <f>'Ingest Template'!H376</f>
        <v/>
      </c>
      <c r="U376" s="5" t="str">
        <f>LOWER(SUBSTITUTE(SUBSTITUTE(SUBSTITUTE(SUBSTITUTE(SUBSTITUTE('Ingest Template'!I376,"https:",""),"www.",""),"/",""),"?hl=en",""),"instagram.com",""))</f>
        <v/>
      </c>
      <c r="V376" s="10" t="str">
        <f>'Ingest Template'!J376</f>
        <v/>
      </c>
      <c r="W376" s="10" t="str">
        <f>'Ingest Template'!K376</f>
        <v/>
      </c>
      <c r="X376" s="5"/>
      <c r="Y376" s="5" t="str">
        <f>SUBSTITUTE(SUBSTITUTE(SUBSTITUTE('Ingest Template'!L376,"http:",""),"https:",""),"/","")</f>
        <v/>
      </c>
      <c r="Z376" s="5" t="str">
        <f t="array" ref="Z376">IF('Ingest Template'!A376="Standard",(IF(ISBLANK('Ingest Template'!M376),"", 'Ingest Template'!M376&amp;"|DAR")),(IF(ISBLANK('Ingest Template'!M376),"", 'Ingest Template'!M376&amp;"|Operations - Core Title")))</f>
        <v/>
      </c>
      <c r="AA376" s="5"/>
      <c r="AB376" s="5" t="str">
        <f>'Ingest Template'!F376</f>
        <v/>
      </c>
      <c r="AC376" s="5"/>
      <c r="AD376" s="5"/>
      <c r="AE376" s="5"/>
      <c r="AF376" s="8"/>
      <c r="AG376" s="5" t="str">
        <f t="array" ref="AG376">IF('Ingest Template'!A376="Standard",(CONCATENATE(IF(ISBLANK('Ingest Template'!N376),"", 'Ingest Template'!N376&amp;"|DAR"),CHAR(10), IF(ISBLANK('Ingest Template'!O376),"", 'Ingest Template'!O376&amp;"|DAR"),CHAR(10), IF(ISBLANK('Ingest Template'!P376),"", 'Ingest Template'!P376&amp;"|DAR"))),(CONCATENATE(IF(ISBLANK('Ingest Template'!N376),"", 'Ingest Template'!N376&amp;"|Operations - Core Title"),CHAR(10), IF(ISBLANK('Ingest Template'!O376),"", 'Ingest Template'!O376&amp;"|Operations - Core Title"),CHAR(10), IF(ISBLANK('Ingest Template'!P376),"", 'Ingest Template'!P376&amp;"|Operations - Core Title"))))</f>
        <v>#|Operations - Core Title
</v>
      </c>
      <c r="AH376" s="5"/>
      <c r="AI376" s="5"/>
      <c r="AJ376" s="5"/>
      <c r="AK376" s="5"/>
      <c r="AL376" s="5"/>
    </row>
    <row r="377">
      <c r="A377" s="5"/>
      <c r="B377" s="5" t="str">
        <f>'Ingest Template'!B377&amp;IF('Ingest Template'!A377 = "Standard", " - DAR","")</f>
        <v/>
      </c>
      <c r="C377" s="6" t="str">
        <f>'Ingest Template'!C377</f>
        <v/>
      </c>
      <c r="D377" s="7" t="str">
        <f>'Ingest Template'!E377</f>
        <v/>
      </c>
      <c r="E377" s="5"/>
      <c r="F377" s="5"/>
      <c r="G377" s="5"/>
      <c r="H377" s="7"/>
      <c r="I377" s="5"/>
      <c r="J377" s="7" t="str">
        <f>'Ingest Template'!Q377</f>
        <v/>
      </c>
      <c r="K377" s="5" t="str">
        <f>'Ingest Template'!R377</f>
        <v/>
      </c>
      <c r="L377" s="8" t="s">
        <v>38</v>
      </c>
      <c r="M377" s="9"/>
      <c r="N377" s="5"/>
      <c r="O377" s="5"/>
      <c r="P377" s="5"/>
      <c r="Q377" s="5"/>
      <c r="R377" s="5" t="str">
        <f>'Ingest Template'!D377</f>
        <v/>
      </c>
      <c r="S377" s="5" t="str">
        <f>'Ingest Template'!G377</f>
        <v/>
      </c>
      <c r="T377" s="5" t="str">
        <f>'Ingest Template'!H377</f>
        <v/>
      </c>
      <c r="U377" s="5" t="str">
        <f>LOWER(SUBSTITUTE(SUBSTITUTE(SUBSTITUTE(SUBSTITUTE(SUBSTITUTE('Ingest Template'!I377,"https:",""),"www.",""),"/",""),"?hl=en",""),"instagram.com",""))</f>
        <v/>
      </c>
      <c r="V377" s="10" t="str">
        <f>'Ingest Template'!J377</f>
        <v/>
      </c>
      <c r="W377" s="10" t="str">
        <f>'Ingest Template'!K377</f>
        <v/>
      </c>
      <c r="X377" s="5"/>
      <c r="Y377" s="5" t="str">
        <f>SUBSTITUTE(SUBSTITUTE(SUBSTITUTE('Ingest Template'!L377,"http:",""),"https:",""),"/","")</f>
        <v/>
      </c>
      <c r="Z377" s="5" t="str">
        <f t="array" ref="Z377">IF('Ingest Template'!A377="Standard",(IF(ISBLANK('Ingest Template'!M377),"", 'Ingest Template'!M377&amp;"|DAR")),(IF(ISBLANK('Ingest Template'!M377),"", 'Ingest Template'!M377&amp;"|Operations - Core Title")))</f>
        <v/>
      </c>
      <c r="AA377" s="5"/>
      <c r="AB377" s="5" t="str">
        <f>'Ingest Template'!F377</f>
        <v/>
      </c>
      <c r="AC377" s="5"/>
      <c r="AD377" s="5"/>
      <c r="AE377" s="5"/>
      <c r="AF377" s="8"/>
      <c r="AG377" s="5" t="str">
        <f t="array" ref="AG377">IF('Ingest Template'!A377="Standard",(CONCATENATE(IF(ISBLANK('Ingest Template'!N377),"", 'Ingest Template'!N377&amp;"|DAR"),CHAR(10), IF(ISBLANK('Ingest Template'!O377),"", 'Ingest Template'!O377&amp;"|DAR"),CHAR(10), IF(ISBLANK('Ingest Template'!P377),"", 'Ingest Template'!P377&amp;"|DAR"))),(CONCATENATE(IF(ISBLANK('Ingest Template'!N377),"", 'Ingest Template'!N377&amp;"|Operations - Core Title"),CHAR(10), IF(ISBLANK('Ingest Template'!O377),"", 'Ingest Template'!O377&amp;"|Operations - Core Title"),CHAR(10), IF(ISBLANK('Ingest Template'!P377),"", 'Ingest Template'!P377&amp;"|Operations - Core Title"))))</f>
        <v>#|Operations - Core Title
</v>
      </c>
      <c r="AH377" s="5"/>
      <c r="AI377" s="5"/>
      <c r="AJ377" s="5"/>
      <c r="AK377" s="5"/>
      <c r="AL377" s="5"/>
    </row>
    <row r="378">
      <c r="A378" s="5"/>
      <c r="B378" s="5" t="str">
        <f>'Ingest Template'!B378&amp;IF('Ingest Template'!A378 = "Standard", " - DAR","")</f>
        <v/>
      </c>
      <c r="C378" s="6" t="str">
        <f>'Ingest Template'!C378</f>
        <v/>
      </c>
      <c r="D378" s="7" t="str">
        <f>'Ingest Template'!E378</f>
        <v/>
      </c>
      <c r="E378" s="5"/>
      <c r="F378" s="5"/>
      <c r="G378" s="5"/>
      <c r="H378" s="7"/>
      <c r="I378" s="5"/>
      <c r="J378" s="7" t="str">
        <f>'Ingest Template'!Q378</f>
        <v/>
      </c>
      <c r="K378" s="5" t="str">
        <f>'Ingest Template'!R378</f>
        <v/>
      </c>
      <c r="L378" s="8" t="s">
        <v>38</v>
      </c>
      <c r="M378" s="9"/>
      <c r="N378" s="5"/>
      <c r="O378" s="5"/>
      <c r="P378" s="5"/>
      <c r="Q378" s="5"/>
      <c r="R378" s="5" t="str">
        <f>'Ingest Template'!D378</f>
        <v/>
      </c>
      <c r="S378" s="5" t="str">
        <f>'Ingest Template'!G378</f>
        <v/>
      </c>
      <c r="T378" s="5" t="str">
        <f>'Ingest Template'!H378</f>
        <v/>
      </c>
      <c r="U378" s="5" t="str">
        <f>LOWER(SUBSTITUTE(SUBSTITUTE(SUBSTITUTE(SUBSTITUTE(SUBSTITUTE('Ingest Template'!I378,"https:",""),"www.",""),"/",""),"?hl=en",""),"instagram.com",""))</f>
        <v/>
      </c>
      <c r="V378" s="10" t="str">
        <f>'Ingest Template'!J378</f>
        <v/>
      </c>
      <c r="W378" s="10" t="str">
        <f>'Ingest Template'!K378</f>
        <v/>
      </c>
      <c r="X378" s="5"/>
      <c r="Y378" s="5" t="str">
        <f>SUBSTITUTE(SUBSTITUTE(SUBSTITUTE('Ingest Template'!L378,"http:",""),"https:",""),"/","")</f>
        <v/>
      </c>
      <c r="Z378" s="5" t="str">
        <f t="array" ref="Z378">IF('Ingest Template'!A378="Standard",(IF(ISBLANK('Ingest Template'!M378),"", 'Ingest Template'!M378&amp;"|DAR")),(IF(ISBLANK('Ingest Template'!M378),"", 'Ingest Template'!M378&amp;"|Operations - Core Title")))</f>
        <v/>
      </c>
      <c r="AA378" s="5"/>
      <c r="AB378" s="5" t="str">
        <f>'Ingest Template'!F378</f>
        <v/>
      </c>
      <c r="AC378" s="5"/>
      <c r="AD378" s="5"/>
      <c r="AE378" s="5"/>
      <c r="AF378" s="8"/>
      <c r="AG378" s="5" t="str">
        <f t="array" ref="AG378">IF('Ingest Template'!A378="Standard",(CONCATENATE(IF(ISBLANK('Ingest Template'!N378),"", 'Ingest Template'!N378&amp;"|DAR"),CHAR(10), IF(ISBLANK('Ingest Template'!O378),"", 'Ingest Template'!O378&amp;"|DAR"),CHAR(10), IF(ISBLANK('Ingest Template'!P378),"", 'Ingest Template'!P378&amp;"|DAR"))),(CONCATENATE(IF(ISBLANK('Ingest Template'!N378),"", 'Ingest Template'!N378&amp;"|Operations - Core Title"),CHAR(10), IF(ISBLANK('Ingest Template'!O378),"", 'Ingest Template'!O378&amp;"|Operations - Core Title"),CHAR(10), IF(ISBLANK('Ingest Template'!P378),"", 'Ingest Template'!P378&amp;"|Operations - Core Title"))))</f>
        <v>#|Operations - Core Title
</v>
      </c>
      <c r="AH378" s="5"/>
      <c r="AI378" s="5"/>
      <c r="AJ378" s="5"/>
      <c r="AK378" s="5"/>
      <c r="AL378" s="5"/>
    </row>
    <row r="379">
      <c r="A379" s="5"/>
      <c r="B379" s="5" t="str">
        <f>'Ingest Template'!B379&amp;IF('Ingest Template'!A379 = "Standard", " - DAR","")</f>
        <v/>
      </c>
      <c r="C379" s="6" t="str">
        <f>'Ingest Template'!C379</f>
        <v/>
      </c>
      <c r="D379" s="7" t="str">
        <f>'Ingest Template'!E379</f>
        <v/>
      </c>
      <c r="E379" s="5"/>
      <c r="F379" s="5"/>
      <c r="G379" s="5"/>
      <c r="H379" s="7"/>
      <c r="I379" s="5"/>
      <c r="J379" s="7" t="str">
        <f>'Ingest Template'!Q379</f>
        <v/>
      </c>
      <c r="K379" s="5" t="str">
        <f>'Ingest Template'!R379</f>
        <v/>
      </c>
      <c r="L379" s="8" t="s">
        <v>38</v>
      </c>
      <c r="M379" s="9"/>
      <c r="N379" s="5"/>
      <c r="O379" s="5"/>
      <c r="P379" s="5"/>
      <c r="Q379" s="5"/>
      <c r="R379" s="5" t="str">
        <f>'Ingest Template'!D379</f>
        <v/>
      </c>
      <c r="S379" s="5" t="str">
        <f>'Ingest Template'!G379</f>
        <v/>
      </c>
      <c r="T379" s="5" t="str">
        <f>'Ingest Template'!H379</f>
        <v/>
      </c>
      <c r="U379" s="5" t="str">
        <f>LOWER(SUBSTITUTE(SUBSTITUTE(SUBSTITUTE(SUBSTITUTE(SUBSTITUTE('Ingest Template'!I379,"https:",""),"www.",""),"/",""),"?hl=en",""),"instagram.com",""))</f>
        <v/>
      </c>
      <c r="V379" s="10" t="str">
        <f>'Ingest Template'!J379</f>
        <v/>
      </c>
      <c r="W379" s="10" t="str">
        <f>'Ingest Template'!K379</f>
        <v/>
      </c>
      <c r="X379" s="5"/>
      <c r="Y379" s="5" t="str">
        <f>SUBSTITUTE(SUBSTITUTE(SUBSTITUTE('Ingest Template'!L379,"http:",""),"https:",""),"/","")</f>
        <v/>
      </c>
      <c r="Z379" s="5" t="str">
        <f t="array" ref="Z379">IF('Ingest Template'!A379="Standard",(IF(ISBLANK('Ingest Template'!M379),"", 'Ingest Template'!M379&amp;"|DAR")),(IF(ISBLANK('Ingest Template'!M379),"", 'Ingest Template'!M379&amp;"|Operations - Core Title")))</f>
        <v/>
      </c>
      <c r="AA379" s="5"/>
      <c r="AB379" s="5" t="str">
        <f>'Ingest Template'!F379</f>
        <v/>
      </c>
      <c r="AC379" s="5"/>
      <c r="AD379" s="5"/>
      <c r="AE379" s="5"/>
      <c r="AF379" s="8"/>
      <c r="AG379" s="5" t="str">
        <f t="array" ref="AG379">IF('Ingest Template'!A379="Standard",(CONCATENATE(IF(ISBLANK('Ingest Template'!N379),"", 'Ingest Template'!N379&amp;"|DAR"),CHAR(10), IF(ISBLANK('Ingest Template'!O379),"", 'Ingest Template'!O379&amp;"|DAR"),CHAR(10), IF(ISBLANK('Ingest Template'!P379),"", 'Ingest Template'!P379&amp;"|DAR"))),(CONCATENATE(IF(ISBLANK('Ingest Template'!N379),"", 'Ingest Template'!N379&amp;"|Operations - Core Title"),CHAR(10), IF(ISBLANK('Ingest Template'!O379),"", 'Ingest Template'!O379&amp;"|Operations - Core Title"),CHAR(10), IF(ISBLANK('Ingest Template'!P379),"", 'Ingest Template'!P379&amp;"|Operations - Core Title"))))</f>
        <v>#|Operations - Core Title
</v>
      </c>
      <c r="AH379" s="5"/>
      <c r="AI379" s="5"/>
      <c r="AJ379" s="5"/>
      <c r="AK379" s="5"/>
      <c r="AL379" s="5"/>
    </row>
    <row r="380">
      <c r="A380" s="5"/>
      <c r="B380" s="5" t="str">
        <f>'Ingest Template'!B380&amp;IF('Ingest Template'!A380 = "Standard", " - DAR","")</f>
        <v/>
      </c>
      <c r="C380" s="6" t="str">
        <f>'Ingest Template'!C380</f>
        <v/>
      </c>
      <c r="D380" s="7" t="str">
        <f>'Ingest Template'!E380</f>
        <v/>
      </c>
      <c r="E380" s="5"/>
      <c r="F380" s="5"/>
      <c r="G380" s="5"/>
      <c r="H380" s="7"/>
      <c r="I380" s="5"/>
      <c r="J380" s="7" t="str">
        <f>'Ingest Template'!Q380</f>
        <v/>
      </c>
      <c r="K380" s="5" t="str">
        <f>'Ingest Template'!R380</f>
        <v/>
      </c>
      <c r="L380" s="8" t="s">
        <v>38</v>
      </c>
      <c r="M380" s="9"/>
      <c r="N380" s="5"/>
      <c r="O380" s="5"/>
      <c r="P380" s="5"/>
      <c r="Q380" s="5"/>
      <c r="R380" s="5" t="str">
        <f>'Ingest Template'!D380</f>
        <v/>
      </c>
      <c r="S380" s="5" t="str">
        <f>'Ingest Template'!G380</f>
        <v/>
      </c>
      <c r="T380" s="5" t="str">
        <f>'Ingest Template'!H380</f>
        <v/>
      </c>
      <c r="U380" s="5" t="str">
        <f>LOWER(SUBSTITUTE(SUBSTITUTE(SUBSTITUTE(SUBSTITUTE(SUBSTITUTE('Ingest Template'!I380,"https:",""),"www.",""),"/",""),"?hl=en",""),"instagram.com",""))</f>
        <v/>
      </c>
      <c r="V380" s="10" t="str">
        <f>'Ingest Template'!J380</f>
        <v/>
      </c>
      <c r="W380" s="10" t="str">
        <f>'Ingest Template'!K380</f>
        <v/>
      </c>
      <c r="X380" s="5"/>
      <c r="Y380" s="5" t="str">
        <f>SUBSTITUTE(SUBSTITUTE(SUBSTITUTE('Ingest Template'!L380,"http:",""),"https:",""),"/","")</f>
        <v/>
      </c>
      <c r="Z380" s="5" t="str">
        <f t="array" ref="Z380">IF('Ingest Template'!A380="Standard",(IF(ISBLANK('Ingest Template'!M380),"", 'Ingest Template'!M380&amp;"|DAR")),(IF(ISBLANK('Ingest Template'!M380),"", 'Ingest Template'!M380&amp;"|Operations - Core Title")))</f>
        <v/>
      </c>
      <c r="AA380" s="5"/>
      <c r="AB380" s="5" t="str">
        <f>'Ingest Template'!F380</f>
        <v/>
      </c>
      <c r="AC380" s="5"/>
      <c r="AD380" s="5"/>
      <c r="AE380" s="5"/>
      <c r="AF380" s="8"/>
      <c r="AG380" s="5" t="str">
        <f t="array" ref="AG380">IF('Ingest Template'!A380="Standard",(CONCATENATE(IF(ISBLANK('Ingest Template'!N380),"", 'Ingest Template'!N380&amp;"|DAR"),CHAR(10), IF(ISBLANK('Ingest Template'!O380),"", 'Ingest Template'!O380&amp;"|DAR"),CHAR(10), IF(ISBLANK('Ingest Template'!P380),"", 'Ingest Template'!P380&amp;"|DAR"))),(CONCATENATE(IF(ISBLANK('Ingest Template'!N380),"", 'Ingest Template'!N380&amp;"|Operations - Core Title"),CHAR(10), IF(ISBLANK('Ingest Template'!O380),"", 'Ingest Template'!O380&amp;"|Operations - Core Title"),CHAR(10), IF(ISBLANK('Ingest Template'!P380),"", 'Ingest Template'!P380&amp;"|Operations - Core Title"))))</f>
        <v>#|Operations - Core Title
</v>
      </c>
      <c r="AH380" s="5"/>
      <c r="AI380" s="5"/>
      <c r="AJ380" s="5"/>
      <c r="AK380" s="5"/>
      <c r="AL380" s="5"/>
    </row>
    <row r="381">
      <c r="A381" s="5"/>
      <c r="B381" s="5" t="str">
        <f>'Ingest Template'!B381&amp;IF('Ingest Template'!A381 = "Standard", " - DAR","")</f>
        <v/>
      </c>
      <c r="C381" s="6" t="str">
        <f>'Ingest Template'!C381</f>
        <v/>
      </c>
      <c r="D381" s="7" t="str">
        <f>'Ingest Template'!E381</f>
        <v/>
      </c>
      <c r="E381" s="5"/>
      <c r="F381" s="5"/>
      <c r="G381" s="5"/>
      <c r="H381" s="7"/>
      <c r="I381" s="5"/>
      <c r="J381" s="7" t="str">
        <f>'Ingest Template'!Q381</f>
        <v/>
      </c>
      <c r="K381" s="5" t="str">
        <f>'Ingest Template'!R381</f>
        <v/>
      </c>
      <c r="L381" s="8" t="s">
        <v>38</v>
      </c>
      <c r="M381" s="9"/>
      <c r="N381" s="5"/>
      <c r="O381" s="5"/>
      <c r="P381" s="5"/>
      <c r="Q381" s="5"/>
      <c r="R381" s="5" t="str">
        <f>'Ingest Template'!D381</f>
        <v/>
      </c>
      <c r="S381" s="5" t="str">
        <f>'Ingest Template'!G381</f>
        <v/>
      </c>
      <c r="T381" s="5" t="str">
        <f>'Ingest Template'!H381</f>
        <v/>
      </c>
      <c r="U381" s="5" t="str">
        <f>LOWER(SUBSTITUTE(SUBSTITUTE(SUBSTITUTE(SUBSTITUTE(SUBSTITUTE('Ingest Template'!I381,"https:",""),"www.",""),"/",""),"?hl=en",""),"instagram.com",""))</f>
        <v/>
      </c>
      <c r="V381" s="10" t="str">
        <f>'Ingest Template'!J381</f>
        <v/>
      </c>
      <c r="W381" s="10" t="str">
        <f>'Ingest Template'!K381</f>
        <v/>
      </c>
      <c r="X381" s="5"/>
      <c r="Y381" s="5" t="str">
        <f>SUBSTITUTE(SUBSTITUTE(SUBSTITUTE('Ingest Template'!L381,"http:",""),"https:",""),"/","")</f>
        <v/>
      </c>
      <c r="Z381" s="5" t="str">
        <f t="array" ref="Z381">IF('Ingest Template'!A381="Standard",(IF(ISBLANK('Ingest Template'!M381),"", 'Ingest Template'!M381&amp;"|DAR")),(IF(ISBLANK('Ingest Template'!M381),"", 'Ingest Template'!M381&amp;"|Operations - Core Title")))</f>
        <v/>
      </c>
      <c r="AA381" s="5"/>
      <c r="AB381" s="5" t="str">
        <f>'Ingest Template'!F381</f>
        <v/>
      </c>
      <c r="AC381" s="5"/>
      <c r="AD381" s="5"/>
      <c r="AE381" s="5"/>
      <c r="AF381" s="8"/>
      <c r="AG381" s="5" t="str">
        <f t="array" ref="AG381">IF('Ingest Template'!A381="Standard",(CONCATENATE(IF(ISBLANK('Ingest Template'!N381),"", 'Ingest Template'!N381&amp;"|DAR"),CHAR(10), IF(ISBLANK('Ingest Template'!O381),"", 'Ingest Template'!O381&amp;"|DAR"),CHAR(10), IF(ISBLANK('Ingest Template'!P381),"", 'Ingest Template'!P381&amp;"|DAR"))),(CONCATENATE(IF(ISBLANK('Ingest Template'!N381),"", 'Ingest Template'!N381&amp;"|Operations - Core Title"),CHAR(10), IF(ISBLANK('Ingest Template'!O381),"", 'Ingest Template'!O381&amp;"|Operations - Core Title"),CHAR(10), IF(ISBLANK('Ingest Template'!P381),"", 'Ingest Template'!P381&amp;"|Operations - Core Title"))))</f>
        <v>#|Operations - Core Title
</v>
      </c>
      <c r="AH381" s="5"/>
      <c r="AI381" s="5"/>
      <c r="AJ381" s="5"/>
      <c r="AK381" s="5"/>
      <c r="AL381" s="5"/>
    </row>
    <row r="382">
      <c r="A382" s="5"/>
      <c r="B382" s="5" t="str">
        <f>'Ingest Template'!B382&amp;IF('Ingest Template'!A382 = "Standard", " - DAR","")</f>
        <v/>
      </c>
      <c r="C382" s="6" t="str">
        <f>'Ingest Template'!C382</f>
        <v/>
      </c>
      <c r="D382" s="7" t="str">
        <f>'Ingest Template'!E382</f>
        <v/>
      </c>
      <c r="E382" s="5"/>
      <c r="F382" s="5"/>
      <c r="G382" s="5"/>
      <c r="H382" s="7"/>
      <c r="I382" s="5"/>
      <c r="J382" s="7" t="str">
        <f>'Ingest Template'!Q382</f>
        <v/>
      </c>
      <c r="K382" s="5" t="str">
        <f>'Ingest Template'!R382</f>
        <v/>
      </c>
      <c r="L382" s="8" t="s">
        <v>38</v>
      </c>
      <c r="M382" s="9"/>
      <c r="N382" s="5"/>
      <c r="O382" s="5"/>
      <c r="P382" s="5"/>
      <c r="Q382" s="5"/>
      <c r="R382" s="5" t="str">
        <f>'Ingest Template'!D382</f>
        <v/>
      </c>
      <c r="S382" s="5" t="str">
        <f>'Ingest Template'!G382</f>
        <v/>
      </c>
      <c r="T382" s="5" t="str">
        <f>'Ingest Template'!H382</f>
        <v/>
      </c>
      <c r="U382" s="5" t="str">
        <f>LOWER(SUBSTITUTE(SUBSTITUTE(SUBSTITUTE(SUBSTITUTE(SUBSTITUTE('Ingest Template'!I382,"https:",""),"www.",""),"/",""),"?hl=en",""),"instagram.com",""))</f>
        <v/>
      </c>
      <c r="V382" s="10" t="str">
        <f>'Ingest Template'!J382</f>
        <v/>
      </c>
      <c r="W382" s="10" t="str">
        <f>'Ingest Template'!K382</f>
        <v/>
      </c>
      <c r="X382" s="5"/>
      <c r="Y382" s="5" t="str">
        <f>SUBSTITUTE(SUBSTITUTE(SUBSTITUTE('Ingest Template'!L382,"http:",""),"https:",""),"/","")</f>
        <v/>
      </c>
      <c r="Z382" s="5" t="str">
        <f t="array" ref="Z382">IF('Ingest Template'!A382="Standard",(IF(ISBLANK('Ingest Template'!M382),"", 'Ingest Template'!M382&amp;"|DAR")),(IF(ISBLANK('Ingest Template'!M382),"", 'Ingest Template'!M382&amp;"|Operations - Core Title")))</f>
        <v/>
      </c>
      <c r="AA382" s="5"/>
      <c r="AB382" s="5" t="str">
        <f>'Ingest Template'!F382</f>
        <v/>
      </c>
      <c r="AC382" s="5"/>
      <c r="AD382" s="5"/>
      <c r="AE382" s="5"/>
      <c r="AF382" s="8"/>
      <c r="AG382" s="5" t="str">
        <f t="array" ref="AG382">IF('Ingest Template'!A382="Standard",(CONCATENATE(IF(ISBLANK('Ingest Template'!N382),"", 'Ingest Template'!N382&amp;"|DAR"),CHAR(10), IF(ISBLANK('Ingest Template'!O382),"", 'Ingest Template'!O382&amp;"|DAR"),CHAR(10), IF(ISBLANK('Ingest Template'!P382),"", 'Ingest Template'!P382&amp;"|DAR"))),(CONCATENATE(IF(ISBLANK('Ingest Template'!N382),"", 'Ingest Template'!N382&amp;"|Operations - Core Title"),CHAR(10), IF(ISBLANK('Ingest Template'!O382),"", 'Ingest Template'!O382&amp;"|Operations - Core Title"),CHAR(10), IF(ISBLANK('Ingest Template'!P382),"", 'Ingest Template'!P382&amp;"|Operations - Core Title"))))</f>
        <v>#|Operations - Core Title
</v>
      </c>
      <c r="AH382" s="5"/>
      <c r="AI382" s="5"/>
      <c r="AJ382" s="5"/>
      <c r="AK382" s="5"/>
      <c r="AL382" s="5"/>
    </row>
    <row r="383">
      <c r="A383" s="5"/>
      <c r="B383" s="5" t="str">
        <f>'Ingest Template'!B383&amp;IF('Ingest Template'!A383 = "Standard", " - DAR","")</f>
        <v/>
      </c>
      <c r="C383" s="6" t="str">
        <f>'Ingest Template'!C383</f>
        <v/>
      </c>
      <c r="D383" s="7" t="str">
        <f>'Ingest Template'!E383</f>
        <v/>
      </c>
      <c r="E383" s="5"/>
      <c r="F383" s="5"/>
      <c r="G383" s="5"/>
      <c r="H383" s="7"/>
      <c r="I383" s="5"/>
      <c r="J383" s="7" t="str">
        <f>'Ingest Template'!Q383</f>
        <v/>
      </c>
      <c r="K383" s="5" t="str">
        <f>'Ingest Template'!R383</f>
        <v/>
      </c>
      <c r="L383" s="8" t="s">
        <v>38</v>
      </c>
      <c r="M383" s="9"/>
      <c r="N383" s="5"/>
      <c r="O383" s="5"/>
      <c r="P383" s="5"/>
      <c r="Q383" s="5"/>
      <c r="R383" s="5" t="str">
        <f>'Ingest Template'!D383</f>
        <v/>
      </c>
      <c r="S383" s="5" t="str">
        <f>'Ingest Template'!G383</f>
        <v/>
      </c>
      <c r="T383" s="5" t="str">
        <f>'Ingest Template'!H383</f>
        <v/>
      </c>
      <c r="U383" s="5" t="str">
        <f>LOWER(SUBSTITUTE(SUBSTITUTE(SUBSTITUTE(SUBSTITUTE(SUBSTITUTE('Ingest Template'!I383,"https:",""),"www.",""),"/",""),"?hl=en",""),"instagram.com",""))</f>
        <v/>
      </c>
      <c r="V383" s="10" t="str">
        <f>'Ingest Template'!J383</f>
        <v/>
      </c>
      <c r="W383" s="10" t="str">
        <f>'Ingest Template'!K383</f>
        <v/>
      </c>
      <c r="X383" s="5"/>
      <c r="Y383" s="5" t="str">
        <f>SUBSTITUTE(SUBSTITUTE(SUBSTITUTE('Ingest Template'!L383,"http:",""),"https:",""),"/","")</f>
        <v/>
      </c>
      <c r="Z383" s="5" t="str">
        <f t="array" ref="Z383">IF('Ingest Template'!A383="Standard",(IF(ISBLANK('Ingest Template'!M383),"", 'Ingest Template'!M383&amp;"|DAR")),(IF(ISBLANK('Ingest Template'!M383),"", 'Ingest Template'!M383&amp;"|Operations - Core Title")))</f>
        <v/>
      </c>
      <c r="AA383" s="5"/>
      <c r="AB383" s="5" t="str">
        <f>'Ingest Template'!F383</f>
        <v/>
      </c>
      <c r="AC383" s="5"/>
      <c r="AD383" s="5"/>
      <c r="AE383" s="5"/>
      <c r="AF383" s="8"/>
      <c r="AG383" s="5" t="str">
        <f t="array" ref="AG383">IF('Ingest Template'!A383="Standard",(CONCATENATE(IF(ISBLANK('Ingest Template'!N383),"", 'Ingest Template'!N383&amp;"|DAR"),CHAR(10), IF(ISBLANK('Ingest Template'!O383),"", 'Ingest Template'!O383&amp;"|DAR"),CHAR(10), IF(ISBLANK('Ingest Template'!P383),"", 'Ingest Template'!P383&amp;"|DAR"))),(CONCATENATE(IF(ISBLANK('Ingest Template'!N383),"", 'Ingest Template'!N383&amp;"|Operations - Core Title"),CHAR(10), IF(ISBLANK('Ingest Template'!O383),"", 'Ingest Template'!O383&amp;"|Operations - Core Title"),CHAR(10), IF(ISBLANK('Ingest Template'!P383),"", 'Ingest Template'!P383&amp;"|Operations - Core Title"))))</f>
        <v>#|Operations - Core Title
</v>
      </c>
      <c r="AH383" s="5"/>
      <c r="AI383" s="5"/>
      <c r="AJ383" s="5"/>
      <c r="AK383" s="5"/>
      <c r="AL383" s="5"/>
    </row>
    <row r="384">
      <c r="A384" s="5"/>
      <c r="B384" s="5" t="str">
        <f>'Ingest Template'!B384&amp;IF('Ingest Template'!A384 = "Standard", " - DAR","")</f>
        <v/>
      </c>
      <c r="C384" s="6" t="str">
        <f>'Ingest Template'!C384</f>
        <v/>
      </c>
      <c r="D384" s="7" t="str">
        <f>'Ingest Template'!E384</f>
        <v/>
      </c>
      <c r="E384" s="5"/>
      <c r="F384" s="5"/>
      <c r="G384" s="5"/>
      <c r="H384" s="7"/>
      <c r="I384" s="5"/>
      <c r="J384" s="7" t="str">
        <f>'Ingest Template'!Q384</f>
        <v/>
      </c>
      <c r="K384" s="5" t="str">
        <f>'Ingest Template'!R384</f>
        <v/>
      </c>
      <c r="L384" s="8" t="s">
        <v>38</v>
      </c>
      <c r="M384" s="9"/>
      <c r="N384" s="5"/>
      <c r="O384" s="5"/>
      <c r="P384" s="5"/>
      <c r="Q384" s="5"/>
      <c r="R384" s="5" t="str">
        <f>'Ingest Template'!D384</f>
        <v/>
      </c>
      <c r="S384" s="5" t="str">
        <f>'Ingest Template'!G384</f>
        <v/>
      </c>
      <c r="T384" s="5" t="str">
        <f>'Ingest Template'!H384</f>
        <v/>
      </c>
      <c r="U384" s="5" t="str">
        <f>LOWER(SUBSTITUTE(SUBSTITUTE(SUBSTITUTE(SUBSTITUTE(SUBSTITUTE('Ingest Template'!I384,"https:",""),"www.",""),"/",""),"?hl=en",""),"instagram.com",""))</f>
        <v/>
      </c>
      <c r="V384" s="10" t="str">
        <f>'Ingest Template'!J384</f>
        <v/>
      </c>
      <c r="W384" s="10" t="str">
        <f>'Ingest Template'!K384</f>
        <v/>
      </c>
      <c r="X384" s="5"/>
      <c r="Y384" s="5" t="str">
        <f>SUBSTITUTE(SUBSTITUTE(SUBSTITUTE('Ingest Template'!L384,"http:",""),"https:",""),"/","")</f>
        <v/>
      </c>
      <c r="Z384" s="5" t="str">
        <f t="array" ref="Z384">IF('Ingest Template'!A384="Standard",(IF(ISBLANK('Ingest Template'!M384),"", 'Ingest Template'!M384&amp;"|DAR")),(IF(ISBLANK('Ingest Template'!M384),"", 'Ingest Template'!M384&amp;"|Operations - Core Title")))</f>
        <v/>
      </c>
      <c r="AA384" s="5"/>
      <c r="AB384" s="5" t="str">
        <f>'Ingest Template'!F384</f>
        <v/>
      </c>
      <c r="AC384" s="5"/>
      <c r="AD384" s="5"/>
      <c r="AE384" s="5"/>
      <c r="AF384" s="8"/>
      <c r="AG384" s="5" t="str">
        <f t="array" ref="AG384">IF('Ingest Template'!A384="Standard",(CONCATENATE(IF(ISBLANK('Ingest Template'!N384),"", 'Ingest Template'!N384&amp;"|DAR"),CHAR(10), IF(ISBLANK('Ingest Template'!O384),"", 'Ingest Template'!O384&amp;"|DAR"),CHAR(10), IF(ISBLANK('Ingest Template'!P384),"", 'Ingest Template'!P384&amp;"|DAR"))),(CONCATENATE(IF(ISBLANK('Ingest Template'!N384),"", 'Ingest Template'!N384&amp;"|Operations - Core Title"),CHAR(10), IF(ISBLANK('Ingest Template'!O384),"", 'Ingest Template'!O384&amp;"|Operations - Core Title"),CHAR(10), IF(ISBLANK('Ingest Template'!P384),"", 'Ingest Template'!P384&amp;"|Operations - Core Title"))))</f>
        <v>#|Operations - Core Title
</v>
      </c>
      <c r="AH384" s="5"/>
      <c r="AI384" s="5"/>
      <c r="AJ384" s="5"/>
      <c r="AK384" s="5"/>
      <c r="AL384" s="5"/>
    </row>
    <row r="385">
      <c r="A385" s="5"/>
      <c r="B385" s="5" t="str">
        <f>'Ingest Template'!B385&amp;IF('Ingest Template'!A385 = "Standard", " - DAR","")</f>
        <v/>
      </c>
      <c r="C385" s="6" t="str">
        <f>'Ingest Template'!C385</f>
        <v/>
      </c>
      <c r="D385" s="7" t="str">
        <f>'Ingest Template'!E385</f>
        <v/>
      </c>
      <c r="E385" s="5"/>
      <c r="F385" s="5"/>
      <c r="G385" s="5"/>
      <c r="H385" s="7"/>
      <c r="I385" s="5"/>
      <c r="J385" s="7" t="str">
        <f>'Ingest Template'!Q385</f>
        <v/>
      </c>
      <c r="K385" s="5" t="str">
        <f>'Ingest Template'!R385</f>
        <v/>
      </c>
      <c r="L385" s="8" t="s">
        <v>38</v>
      </c>
      <c r="M385" s="9"/>
      <c r="N385" s="5"/>
      <c r="O385" s="5"/>
      <c r="P385" s="5"/>
      <c r="Q385" s="5"/>
      <c r="R385" s="5" t="str">
        <f>'Ingest Template'!D385</f>
        <v/>
      </c>
      <c r="S385" s="5" t="str">
        <f>'Ingest Template'!G385</f>
        <v/>
      </c>
      <c r="T385" s="5" t="str">
        <f>'Ingest Template'!H385</f>
        <v/>
      </c>
      <c r="U385" s="5" t="str">
        <f>LOWER(SUBSTITUTE(SUBSTITUTE(SUBSTITUTE(SUBSTITUTE(SUBSTITUTE('Ingest Template'!I385,"https:",""),"www.",""),"/",""),"?hl=en",""),"instagram.com",""))</f>
        <v/>
      </c>
      <c r="V385" s="10" t="str">
        <f>'Ingest Template'!J385</f>
        <v/>
      </c>
      <c r="W385" s="10" t="str">
        <f>'Ingest Template'!K385</f>
        <v/>
      </c>
      <c r="X385" s="5"/>
      <c r="Y385" s="5" t="str">
        <f>SUBSTITUTE(SUBSTITUTE(SUBSTITUTE('Ingest Template'!L385,"http:",""),"https:",""),"/","")</f>
        <v/>
      </c>
      <c r="Z385" s="5" t="str">
        <f t="array" ref="Z385">IF('Ingest Template'!A385="Standard",(IF(ISBLANK('Ingest Template'!M385),"", 'Ingest Template'!M385&amp;"|DAR")),(IF(ISBLANK('Ingest Template'!M385),"", 'Ingest Template'!M385&amp;"|Operations - Core Title")))</f>
        <v/>
      </c>
      <c r="AA385" s="5"/>
      <c r="AB385" s="5" t="str">
        <f>'Ingest Template'!F385</f>
        <v/>
      </c>
      <c r="AC385" s="5"/>
      <c r="AD385" s="5"/>
      <c r="AE385" s="5"/>
      <c r="AF385" s="8"/>
      <c r="AG385" s="5" t="str">
        <f t="array" ref="AG385">IF('Ingest Template'!A385="Standard",(CONCATENATE(IF(ISBLANK('Ingest Template'!N385),"", 'Ingest Template'!N385&amp;"|DAR"),CHAR(10), IF(ISBLANK('Ingest Template'!O385),"", 'Ingest Template'!O385&amp;"|DAR"),CHAR(10), IF(ISBLANK('Ingest Template'!P385),"", 'Ingest Template'!P385&amp;"|DAR"))),(CONCATENATE(IF(ISBLANK('Ingest Template'!N385),"", 'Ingest Template'!N385&amp;"|Operations - Core Title"),CHAR(10), IF(ISBLANK('Ingest Template'!O385),"", 'Ingest Template'!O385&amp;"|Operations - Core Title"),CHAR(10), IF(ISBLANK('Ingest Template'!P385),"", 'Ingest Template'!P385&amp;"|Operations - Core Title"))))</f>
        <v>#|Operations - Core Title
</v>
      </c>
      <c r="AH385" s="5"/>
      <c r="AI385" s="5"/>
      <c r="AJ385" s="5"/>
      <c r="AK385" s="5"/>
      <c r="AL385" s="5"/>
    </row>
    <row r="386">
      <c r="A386" s="5"/>
      <c r="B386" s="5" t="str">
        <f>'Ingest Template'!B386&amp;IF('Ingest Template'!A386 = "Standard", " - DAR","")</f>
        <v/>
      </c>
      <c r="C386" s="6" t="str">
        <f>'Ingest Template'!C386</f>
        <v/>
      </c>
      <c r="D386" s="7" t="str">
        <f>'Ingest Template'!E386</f>
        <v/>
      </c>
      <c r="E386" s="5"/>
      <c r="F386" s="5"/>
      <c r="G386" s="5"/>
      <c r="H386" s="7"/>
      <c r="I386" s="5"/>
      <c r="J386" s="7" t="str">
        <f>'Ingest Template'!Q386</f>
        <v/>
      </c>
      <c r="K386" s="5" t="str">
        <f>'Ingest Template'!R386</f>
        <v/>
      </c>
      <c r="L386" s="8" t="s">
        <v>38</v>
      </c>
      <c r="M386" s="9"/>
      <c r="N386" s="5"/>
      <c r="O386" s="5"/>
      <c r="P386" s="5"/>
      <c r="Q386" s="5"/>
      <c r="R386" s="5" t="str">
        <f>'Ingest Template'!D386</f>
        <v/>
      </c>
      <c r="S386" s="5" t="str">
        <f>'Ingest Template'!G386</f>
        <v/>
      </c>
      <c r="T386" s="5" t="str">
        <f>'Ingest Template'!H386</f>
        <v/>
      </c>
      <c r="U386" s="5" t="str">
        <f>LOWER(SUBSTITUTE(SUBSTITUTE(SUBSTITUTE(SUBSTITUTE(SUBSTITUTE('Ingest Template'!I386,"https:",""),"www.",""),"/",""),"?hl=en",""),"instagram.com",""))</f>
        <v/>
      </c>
      <c r="V386" s="10" t="str">
        <f>'Ingest Template'!J386</f>
        <v/>
      </c>
      <c r="W386" s="10" t="str">
        <f>'Ingest Template'!K386</f>
        <v/>
      </c>
      <c r="X386" s="5"/>
      <c r="Y386" s="5" t="str">
        <f>SUBSTITUTE(SUBSTITUTE(SUBSTITUTE('Ingest Template'!L386,"http:",""),"https:",""),"/","")</f>
        <v/>
      </c>
      <c r="Z386" s="5" t="str">
        <f t="array" ref="Z386">IF('Ingest Template'!A386="Standard",(IF(ISBLANK('Ingest Template'!M386),"", 'Ingest Template'!M386&amp;"|DAR")),(IF(ISBLANK('Ingest Template'!M386),"", 'Ingest Template'!M386&amp;"|Operations - Core Title")))</f>
        <v/>
      </c>
      <c r="AA386" s="5"/>
      <c r="AB386" s="5" t="str">
        <f>'Ingest Template'!F386</f>
        <v/>
      </c>
      <c r="AC386" s="5"/>
      <c r="AD386" s="5"/>
      <c r="AE386" s="5"/>
      <c r="AF386" s="8"/>
      <c r="AG386" s="5" t="str">
        <f t="array" ref="AG386">IF('Ingest Template'!A386="Standard",(CONCATENATE(IF(ISBLANK('Ingest Template'!N386),"", 'Ingest Template'!N386&amp;"|DAR"),CHAR(10), IF(ISBLANK('Ingest Template'!O386),"", 'Ingest Template'!O386&amp;"|DAR"),CHAR(10), IF(ISBLANK('Ingest Template'!P386),"", 'Ingest Template'!P386&amp;"|DAR"))),(CONCATENATE(IF(ISBLANK('Ingest Template'!N386),"", 'Ingest Template'!N386&amp;"|Operations - Core Title"),CHAR(10), IF(ISBLANK('Ingest Template'!O386),"", 'Ingest Template'!O386&amp;"|Operations - Core Title"),CHAR(10), IF(ISBLANK('Ingest Template'!P386),"", 'Ingest Template'!P386&amp;"|Operations - Core Title"))))</f>
        <v>#|Operations - Core Title
</v>
      </c>
      <c r="AH386" s="5"/>
      <c r="AI386" s="5"/>
      <c r="AJ386" s="5"/>
      <c r="AK386" s="5"/>
      <c r="AL386" s="5"/>
    </row>
    <row r="387">
      <c r="A387" s="5"/>
      <c r="B387" s="5" t="str">
        <f>'Ingest Template'!B387&amp;IF('Ingest Template'!A387 = "Standard", " - DAR","")</f>
        <v/>
      </c>
      <c r="C387" s="6" t="str">
        <f>'Ingest Template'!C387</f>
        <v/>
      </c>
      <c r="D387" s="7" t="str">
        <f>'Ingest Template'!E387</f>
        <v/>
      </c>
      <c r="E387" s="5"/>
      <c r="F387" s="5"/>
      <c r="G387" s="5"/>
      <c r="H387" s="7"/>
      <c r="I387" s="5"/>
      <c r="J387" s="7" t="str">
        <f>'Ingest Template'!Q387</f>
        <v/>
      </c>
      <c r="K387" s="5" t="str">
        <f>'Ingest Template'!R387</f>
        <v/>
      </c>
      <c r="L387" s="8" t="s">
        <v>38</v>
      </c>
      <c r="M387" s="9"/>
      <c r="N387" s="5"/>
      <c r="O387" s="5"/>
      <c r="P387" s="5"/>
      <c r="Q387" s="5"/>
      <c r="R387" s="5" t="str">
        <f>'Ingest Template'!D387</f>
        <v/>
      </c>
      <c r="S387" s="5" t="str">
        <f>'Ingest Template'!G387</f>
        <v/>
      </c>
      <c r="T387" s="5" t="str">
        <f>'Ingest Template'!H387</f>
        <v/>
      </c>
      <c r="U387" s="5" t="str">
        <f>LOWER(SUBSTITUTE(SUBSTITUTE(SUBSTITUTE(SUBSTITUTE(SUBSTITUTE('Ingest Template'!I387,"https:",""),"www.",""),"/",""),"?hl=en",""),"instagram.com",""))</f>
        <v/>
      </c>
      <c r="V387" s="10" t="str">
        <f>'Ingest Template'!J387</f>
        <v/>
      </c>
      <c r="W387" s="10" t="str">
        <f>'Ingest Template'!K387</f>
        <v/>
      </c>
      <c r="X387" s="5"/>
      <c r="Y387" s="5" t="str">
        <f>SUBSTITUTE(SUBSTITUTE(SUBSTITUTE('Ingest Template'!L387,"http:",""),"https:",""),"/","")</f>
        <v/>
      </c>
      <c r="Z387" s="5" t="str">
        <f t="array" ref="Z387">IF('Ingest Template'!A387="Standard",(IF(ISBLANK('Ingest Template'!M387),"", 'Ingest Template'!M387&amp;"|DAR")),(IF(ISBLANK('Ingest Template'!M387),"", 'Ingest Template'!M387&amp;"|Operations - Core Title")))</f>
        <v/>
      </c>
      <c r="AA387" s="5"/>
      <c r="AB387" s="5" t="str">
        <f>'Ingest Template'!F387</f>
        <v/>
      </c>
      <c r="AC387" s="5"/>
      <c r="AD387" s="5"/>
      <c r="AE387" s="5"/>
      <c r="AF387" s="8"/>
      <c r="AG387" s="5" t="str">
        <f t="array" ref="AG387">IF('Ingest Template'!A387="Standard",(CONCATENATE(IF(ISBLANK('Ingest Template'!N387),"", 'Ingest Template'!N387&amp;"|DAR"),CHAR(10), IF(ISBLANK('Ingest Template'!O387),"", 'Ingest Template'!O387&amp;"|DAR"),CHAR(10), IF(ISBLANK('Ingest Template'!P387),"", 'Ingest Template'!P387&amp;"|DAR"))),(CONCATENATE(IF(ISBLANK('Ingest Template'!N387),"", 'Ingest Template'!N387&amp;"|Operations - Core Title"),CHAR(10), IF(ISBLANK('Ingest Template'!O387),"", 'Ingest Template'!O387&amp;"|Operations - Core Title"),CHAR(10), IF(ISBLANK('Ingest Template'!P387),"", 'Ingest Template'!P387&amp;"|Operations - Core Title"))))</f>
        <v>#|Operations - Core Title
</v>
      </c>
      <c r="AH387" s="5"/>
      <c r="AI387" s="5"/>
      <c r="AJ387" s="5"/>
      <c r="AK387" s="5"/>
      <c r="AL387" s="5"/>
    </row>
    <row r="388">
      <c r="A388" s="5"/>
      <c r="B388" s="5" t="str">
        <f>'Ingest Template'!B388&amp;IF('Ingest Template'!A388 = "Standard", " - DAR","")</f>
        <v/>
      </c>
      <c r="C388" s="6" t="str">
        <f>'Ingest Template'!C388</f>
        <v/>
      </c>
      <c r="D388" s="7" t="str">
        <f>'Ingest Template'!E388</f>
        <v/>
      </c>
      <c r="E388" s="5"/>
      <c r="F388" s="5"/>
      <c r="G388" s="5"/>
      <c r="H388" s="7"/>
      <c r="I388" s="5"/>
      <c r="J388" s="7" t="str">
        <f>'Ingest Template'!Q388</f>
        <v/>
      </c>
      <c r="K388" s="5" t="str">
        <f>'Ingest Template'!R388</f>
        <v/>
      </c>
      <c r="L388" s="8" t="s">
        <v>38</v>
      </c>
      <c r="M388" s="9"/>
      <c r="N388" s="5"/>
      <c r="O388" s="5"/>
      <c r="P388" s="5"/>
      <c r="Q388" s="5"/>
      <c r="R388" s="5" t="str">
        <f>'Ingest Template'!D388</f>
        <v/>
      </c>
      <c r="S388" s="5" t="str">
        <f>'Ingest Template'!G388</f>
        <v/>
      </c>
      <c r="T388" s="5" t="str">
        <f>'Ingest Template'!H388</f>
        <v/>
      </c>
      <c r="U388" s="5" t="str">
        <f>LOWER(SUBSTITUTE(SUBSTITUTE(SUBSTITUTE(SUBSTITUTE(SUBSTITUTE('Ingest Template'!I388,"https:",""),"www.",""),"/",""),"?hl=en",""),"instagram.com",""))</f>
        <v/>
      </c>
      <c r="V388" s="10" t="str">
        <f>'Ingest Template'!J388</f>
        <v/>
      </c>
      <c r="W388" s="10" t="str">
        <f>'Ingest Template'!K388</f>
        <v/>
      </c>
      <c r="X388" s="5"/>
      <c r="Y388" s="5" t="str">
        <f>SUBSTITUTE(SUBSTITUTE(SUBSTITUTE('Ingest Template'!L388,"http:",""),"https:",""),"/","")</f>
        <v/>
      </c>
      <c r="Z388" s="5" t="str">
        <f t="array" ref="Z388">IF('Ingest Template'!A388="Standard",(IF(ISBLANK('Ingest Template'!M388),"", 'Ingest Template'!M388&amp;"|DAR")),(IF(ISBLANK('Ingest Template'!M388),"", 'Ingest Template'!M388&amp;"|Operations - Core Title")))</f>
        <v/>
      </c>
      <c r="AA388" s="5"/>
      <c r="AB388" s="5" t="str">
        <f>'Ingest Template'!F388</f>
        <v/>
      </c>
      <c r="AC388" s="5"/>
      <c r="AD388" s="5"/>
      <c r="AE388" s="5"/>
      <c r="AF388" s="8"/>
      <c r="AG388" s="5" t="str">
        <f t="array" ref="AG388">IF('Ingest Template'!A388="Standard",(CONCATENATE(IF(ISBLANK('Ingest Template'!N388),"", 'Ingest Template'!N388&amp;"|DAR"),CHAR(10), IF(ISBLANK('Ingest Template'!O388),"", 'Ingest Template'!O388&amp;"|DAR"),CHAR(10), IF(ISBLANK('Ingest Template'!P388),"", 'Ingest Template'!P388&amp;"|DAR"))),(CONCATENATE(IF(ISBLANK('Ingest Template'!N388),"", 'Ingest Template'!N388&amp;"|Operations - Core Title"),CHAR(10), IF(ISBLANK('Ingest Template'!O388),"", 'Ingest Template'!O388&amp;"|Operations - Core Title"),CHAR(10), IF(ISBLANK('Ingest Template'!P388),"", 'Ingest Template'!P388&amp;"|Operations - Core Title"))))</f>
        <v>#|Operations - Core Title
</v>
      </c>
      <c r="AH388" s="5"/>
      <c r="AI388" s="5"/>
      <c r="AJ388" s="5"/>
      <c r="AK388" s="5"/>
      <c r="AL388" s="5"/>
    </row>
    <row r="389">
      <c r="A389" s="5"/>
      <c r="B389" s="5" t="str">
        <f>'Ingest Template'!B389&amp;IF('Ingest Template'!A389 = "Standard", " - DAR","")</f>
        <v/>
      </c>
      <c r="C389" s="6" t="str">
        <f>'Ingest Template'!C389</f>
        <v/>
      </c>
      <c r="D389" s="7" t="str">
        <f>'Ingest Template'!E389</f>
        <v/>
      </c>
      <c r="E389" s="5"/>
      <c r="F389" s="5"/>
      <c r="G389" s="5"/>
      <c r="H389" s="7"/>
      <c r="I389" s="5"/>
      <c r="J389" s="7" t="str">
        <f>'Ingest Template'!Q389</f>
        <v/>
      </c>
      <c r="K389" s="5" t="str">
        <f>'Ingest Template'!R389</f>
        <v/>
      </c>
      <c r="L389" s="8" t="s">
        <v>38</v>
      </c>
      <c r="M389" s="9"/>
      <c r="N389" s="5"/>
      <c r="O389" s="5"/>
      <c r="P389" s="5"/>
      <c r="Q389" s="5"/>
      <c r="R389" s="5" t="str">
        <f>'Ingest Template'!D389</f>
        <v/>
      </c>
      <c r="S389" s="5" t="str">
        <f>'Ingest Template'!G389</f>
        <v/>
      </c>
      <c r="T389" s="5" t="str">
        <f>'Ingest Template'!H389</f>
        <v/>
      </c>
      <c r="U389" s="5" t="str">
        <f>LOWER(SUBSTITUTE(SUBSTITUTE(SUBSTITUTE(SUBSTITUTE(SUBSTITUTE('Ingest Template'!I389,"https:",""),"www.",""),"/",""),"?hl=en",""),"instagram.com",""))</f>
        <v/>
      </c>
      <c r="V389" s="10" t="str">
        <f>'Ingest Template'!J389</f>
        <v/>
      </c>
      <c r="W389" s="10" t="str">
        <f>'Ingest Template'!K389</f>
        <v/>
      </c>
      <c r="X389" s="5"/>
      <c r="Y389" s="5" t="str">
        <f>SUBSTITUTE(SUBSTITUTE(SUBSTITUTE('Ingest Template'!L389,"http:",""),"https:",""),"/","")</f>
        <v/>
      </c>
      <c r="Z389" s="5" t="str">
        <f t="array" ref="Z389">IF('Ingest Template'!A389="Standard",(IF(ISBLANK('Ingest Template'!M389),"", 'Ingest Template'!M389&amp;"|DAR")),(IF(ISBLANK('Ingest Template'!M389),"", 'Ingest Template'!M389&amp;"|Operations - Core Title")))</f>
        <v/>
      </c>
      <c r="AA389" s="5"/>
      <c r="AB389" s="5" t="str">
        <f>'Ingest Template'!F389</f>
        <v/>
      </c>
      <c r="AC389" s="5"/>
      <c r="AD389" s="5"/>
      <c r="AE389" s="5"/>
      <c r="AF389" s="8"/>
      <c r="AG389" s="5" t="str">
        <f t="array" ref="AG389">IF('Ingest Template'!A389="Standard",(CONCATENATE(IF(ISBLANK('Ingest Template'!N389),"", 'Ingest Template'!N389&amp;"|DAR"),CHAR(10), IF(ISBLANK('Ingest Template'!O389),"", 'Ingest Template'!O389&amp;"|DAR"),CHAR(10), IF(ISBLANK('Ingest Template'!P389),"", 'Ingest Template'!P389&amp;"|DAR"))),(CONCATENATE(IF(ISBLANK('Ingest Template'!N389),"", 'Ingest Template'!N389&amp;"|Operations - Core Title"),CHAR(10), IF(ISBLANK('Ingest Template'!O389),"", 'Ingest Template'!O389&amp;"|Operations - Core Title"),CHAR(10), IF(ISBLANK('Ingest Template'!P389),"", 'Ingest Template'!P389&amp;"|Operations - Core Title"))))</f>
        <v>#|Operations - Core Title
</v>
      </c>
      <c r="AH389" s="5"/>
      <c r="AI389" s="5"/>
      <c r="AJ389" s="5"/>
      <c r="AK389" s="5"/>
      <c r="AL389" s="5"/>
    </row>
    <row r="390">
      <c r="A390" s="5"/>
      <c r="B390" s="5" t="str">
        <f>'Ingest Template'!B390&amp;IF('Ingest Template'!A390 = "Standard", " - DAR","")</f>
        <v/>
      </c>
      <c r="C390" s="6" t="str">
        <f>'Ingest Template'!C390</f>
        <v/>
      </c>
      <c r="D390" s="7" t="str">
        <f>'Ingest Template'!E390</f>
        <v/>
      </c>
      <c r="E390" s="5"/>
      <c r="F390" s="5"/>
      <c r="G390" s="5"/>
      <c r="H390" s="7"/>
      <c r="I390" s="5"/>
      <c r="J390" s="7" t="str">
        <f>'Ingest Template'!Q390</f>
        <v/>
      </c>
      <c r="K390" s="5" t="str">
        <f>'Ingest Template'!R390</f>
        <v/>
      </c>
      <c r="L390" s="8" t="s">
        <v>38</v>
      </c>
      <c r="M390" s="9"/>
      <c r="N390" s="5"/>
      <c r="O390" s="5"/>
      <c r="P390" s="5"/>
      <c r="Q390" s="5"/>
      <c r="R390" s="5" t="str">
        <f>'Ingest Template'!D390</f>
        <v/>
      </c>
      <c r="S390" s="5" t="str">
        <f>'Ingest Template'!G390</f>
        <v/>
      </c>
      <c r="T390" s="5" t="str">
        <f>'Ingest Template'!H390</f>
        <v/>
      </c>
      <c r="U390" s="5" t="str">
        <f>LOWER(SUBSTITUTE(SUBSTITUTE(SUBSTITUTE(SUBSTITUTE(SUBSTITUTE('Ingest Template'!I390,"https:",""),"www.",""),"/",""),"?hl=en",""),"instagram.com",""))</f>
        <v/>
      </c>
      <c r="V390" s="10" t="str">
        <f>'Ingest Template'!J390</f>
        <v/>
      </c>
      <c r="W390" s="10" t="str">
        <f>'Ingest Template'!K390</f>
        <v/>
      </c>
      <c r="X390" s="5"/>
      <c r="Y390" s="5" t="str">
        <f>SUBSTITUTE(SUBSTITUTE(SUBSTITUTE('Ingest Template'!L390,"http:",""),"https:",""),"/","")</f>
        <v/>
      </c>
      <c r="Z390" s="5" t="str">
        <f t="array" ref="Z390">IF('Ingest Template'!A390="Standard",(IF(ISBLANK('Ingest Template'!M390),"", 'Ingest Template'!M390&amp;"|DAR")),(IF(ISBLANK('Ingest Template'!M390),"", 'Ingest Template'!M390&amp;"|Operations - Core Title")))</f>
        <v/>
      </c>
      <c r="AA390" s="5"/>
      <c r="AB390" s="5" t="str">
        <f>'Ingest Template'!F390</f>
        <v/>
      </c>
      <c r="AC390" s="5"/>
      <c r="AD390" s="5"/>
      <c r="AE390" s="5"/>
      <c r="AF390" s="8"/>
      <c r="AG390" s="5" t="str">
        <f t="array" ref="AG390">IF('Ingest Template'!A390="Standard",(CONCATENATE(IF(ISBLANK('Ingest Template'!N390),"", 'Ingest Template'!N390&amp;"|DAR"),CHAR(10), IF(ISBLANK('Ingest Template'!O390),"", 'Ingest Template'!O390&amp;"|DAR"),CHAR(10), IF(ISBLANK('Ingest Template'!P390),"", 'Ingest Template'!P390&amp;"|DAR"))),(CONCATENATE(IF(ISBLANK('Ingest Template'!N390),"", 'Ingest Template'!N390&amp;"|Operations - Core Title"),CHAR(10), IF(ISBLANK('Ingest Template'!O390),"", 'Ingest Template'!O390&amp;"|Operations - Core Title"),CHAR(10), IF(ISBLANK('Ingest Template'!P390),"", 'Ingest Template'!P390&amp;"|Operations - Core Title"))))</f>
        <v>#|Operations - Core Title
</v>
      </c>
      <c r="AH390" s="5"/>
      <c r="AI390" s="5"/>
      <c r="AJ390" s="5"/>
      <c r="AK390" s="5"/>
      <c r="AL390" s="5"/>
    </row>
    <row r="391">
      <c r="A391" s="5"/>
      <c r="B391" s="5" t="str">
        <f>'Ingest Template'!B391&amp;IF('Ingest Template'!A391 = "Standard", " - DAR","")</f>
        <v/>
      </c>
      <c r="C391" s="6" t="str">
        <f>'Ingest Template'!C391</f>
        <v/>
      </c>
      <c r="D391" s="7" t="str">
        <f>'Ingest Template'!E391</f>
        <v/>
      </c>
      <c r="E391" s="5"/>
      <c r="F391" s="5"/>
      <c r="G391" s="5"/>
      <c r="H391" s="7"/>
      <c r="I391" s="5"/>
      <c r="J391" s="7" t="str">
        <f>'Ingest Template'!Q391</f>
        <v/>
      </c>
      <c r="K391" s="5" t="str">
        <f>'Ingest Template'!R391</f>
        <v/>
      </c>
      <c r="L391" s="8" t="s">
        <v>38</v>
      </c>
      <c r="M391" s="9"/>
      <c r="N391" s="5"/>
      <c r="O391" s="5"/>
      <c r="P391" s="5"/>
      <c r="Q391" s="5"/>
      <c r="R391" s="5" t="str">
        <f>'Ingest Template'!D391</f>
        <v/>
      </c>
      <c r="S391" s="5" t="str">
        <f>'Ingest Template'!G391</f>
        <v/>
      </c>
      <c r="T391" s="5" t="str">
        <f>'Ingest Template'!H391</f>
        <v/>
      </c>
      <c r="U391" s="5" t="str">
        <f>LOWER(SUBSTITUTE(SUBSTITUTE(SUBSTITUTE(SUBSTITUTE(SUBSTITUTE('Ingest Template'!I391,"https:",""),"www.",""),"/",""),"?hl=en",""),"instagram.com",""))</f>
        <v/>
      </c>
      <c r="V391" s="10" t="str">
        <f>'Ingest Template'!J391</f>
        <v/>
      </c>
      <c r="W391" s="10" t="str">
        <f>'Ingest Template'!K391</f>
        <v/>
      </c>
      <c r="X391" s="5"/>
      <c r="Y391" s="5" t="str">
        <f>SUBSTITUTE(SUBSTITUTE(SUBSTITUTE('Ingest Template'!L391,"http:",""),"https:",""),"/","")</f>
        <v/>
      </c>
      <c r="Z391" s="5" t="str">
        <f t="array" ref="Z391">IF('Ingest Template'!A391="Standard",(IF(ISBLANK('Ingest Template'!M391),"", 'Ingest Template'!M391&amp;"|DAR")),(IF(ISBLANK('Ingest Template'!M391),"", 'Ingest Template'!M391&amp;"|Operations - Core Title")))</f>
        <v/>
      </c>
      <c r="AA391" s="5"/>
      <c r="AB391" s="5" t="str">
        <f>'Ingest Template'!F391</f>
        <v/>
      </c>
      <c r="AC391" s="5"/>
      <c r="AD391" s="5"/>
      <c r="AE391" s="5"/>
      <c r="AF391" s="8"/>
      <c r="AG391" s="5" t="str">
        <f t="array" ref="AG391">IF('Ingest Template'!A391="Standard",(CONCATENATE(IF(ISBLANK('Ingest Template'!N391),"", 'Ingest Template'!N391&amp;"|DAR"),CHAR(10), IF(ISBLANK('Ingest Template'!O391),"", 'Ingest Template'!O391&amp;"|DAR"),CHAR(10), IF(ISBLANK('Ingest Template'!P391),"", 'Ingest Template'!P391&amp;"|DAR"))),(CONCATENATE(IF(ISBLANK('Ingest Template'!N391),"", 'Ingest Template'!N391&amp;"|Operations - Core Title"),CHAR(10), IF(ISBLANK('Ingest Template'!O391),"", 'Ingest Template'!O391&amp;"|Operations - Core Title"),CHAR(10), IF(ISBLANK('Ingest Template'!P391),"", 'Ingest Template'!P391&amp;"|Operations - Core Title"))))</f>
        <v>#|Operations - Core Title
</v>
      </c>
      <c r="AH391" s="5"/>
      <c r="AI391" s="5"/>
      <c r="AJ391" s="5"/>
      <c r="AK391" s="5"/>
      <c r="AL391" s="5"/>
    </row>
    <row r="392">
      <c r="A392" s="5"/>
      <c r="B392" s="5" t="str">
        <f>'Ingest Template'!B392&amp;IF('Ingest Template'!A392 = "Standard", " - DAR","")</f>
        <v/>
      </c>
      <c r="C392" s="6" t="str">
        <f>'Ingest Template'!C392</f>
        <v/>
      </c>
      <c r="D392" s="7" t="str">
        <f>'Ingest Template'!E392</f>
        <v/>
      </c>
      <c r="E392" s="5"/>
      <c r="F392" s="5"/>
      <c r="G392" s="5"/>
      <c r="H392" s="7"/>
      <c r="I392" s="5"/>
      <c r="J392" s="7" t="str">
        <f>'Ingest Template'!Q392</f>
        <v/>
      </c>
      <c r="K392" s="5" t="str">
        <f>'Ingest Template'!R392</f>
        <v/>
      </c>
      <c r="L392" s="8" t="s">
        <v>38</v>
      </c>
      <c r="M392" s="9"/>
      <c r="N392" s="5"/>
      <c r="O392" s="5"/>
      <c r="P392" s="5"/>
      <c r="Q392" s="5"/>
      <c r="R392" s="5" t="str">
        <f>'Ingest Template'!D392</f>
        <v/>
      </c>
      <c r="S392" s="5" t="str">
        <f>'Ingest Template'!G392</f>
        <v/>
      </c>
      <c r="T392" s="5" t="str">
        <f>'Ingest Template'!H392</f>
        <v/>
      </c>
      <c r="U392" s="5" t="str">
        <f>LOWER(SUBSTITUTE(SUBSTITUTE(SUBSTITUTE(SUBSTITUTE(SUBSTITUTE('Ingest Template'!I392,"https:",""),"www.",""),"/",""),"?hl=en",""),"instagram.com",""))</f>
        <v/>
      </c>
      <c r="V392" s="10" t="str">
        <f>'Ingest Template'!J392</f>
        <v/>
      </c>
      <c r="W392" s="10" t="str">
        <f>'Ingest Template'!K392</f>
        <v/>
      </c>
      <c r="X392" s="5"/>
      <c r="Y392" s="5" t="str">
        <f>SUBSTITUTE(SUBSTITUTE(SUBSTITUTE('Ingest Template'!L392,"http:",""),"https:",""),"/","")</f>
        <v/>
      </c>
      <c r="Z392" s="5" t="str">
        <f t="array" ref="Z392">IF('Ingest Template'!A392="Standard",(IF(ISBLANK('Ingest Template'!M392),"", 'Ingest Template'!M392&amp;"|DAR")),(IF(ISBLANK('Ingest Template'!M392),"", 'Ingest Template'!M392&amp;"|Operations - Core Title")))</f>
        <v/>
      </c>
      <c r="AA392" s="5"/>
      <c r="AB392" s="5" t="str">
        <f>'Ingest Template'!F392</f>
        <v/>
      </c>
      <c r="AC392" s="5"/>
      <c r="AD392" s="5"/>
      <c r="AE392" s="5"/>
      <c r="AF392" s="8"/>
      <c r="AG392" s="5" t="str">
        <f t="array" ref="AG392">IF('Ingest Template'!A392="Standard",(CONCATENATE(IF(ISBLANK('Ingest Template'!N392),"", 'Ingest Template'!N392&amp;"|DAR"),CHAR(10), IF(ISBLANK('Ingest Template'!O392),"", 'Ingest Template'!O392&amp;"|DAR"),CHAR(10), IF(ISBLANK('Ingest Template'!P392),"", 'Ingest Template'!P392&amp;"|DAR"))),(CONCATENATE(IF(ISBLANK('Ingest Template'!N392),"", 'Ingest Template'!N392&amp;"|Operations - Core Title"),CHAR(10), IF(ISBLANK('Ingest Template'!O392),"", 'Ingest Template'!O392&amp;"|Operations - Core Title"),CHAR(10), IF(ISBLANK('Ingest Template'!P392),"", 'Ingest Template'!P392&amp;"|Operations - Core Title"))))</f>
        <v>#|Operations - Core Title
</v>
      </c>
      <c r="AH392" s="5"/>
      <c r="AI392" s="5"/>
      <c r="AJ392" s="5"/>
      <c r="AK392" s="5"/>
      <c r="AL392" s="5"/>
    </row>
    <row r="393">
      <c r="A393" s="5"/>
      <c r="B393" s="5" t="str">
        <f>'Ingest Template'!B393&amp;IF('Ingest Template'!A393 = "Standard", " - DAR","")</f>
        <v/>
      </c>
      <c r="C393" s="6" t="str">
        <f>'Ingest Template'!C393</f>
        <v/>
      </c>
      <c r="D393" s="7" t="str">
        <f>'Ingest Template'!E393</f>
        <v/>
      </c>
      <c r="E393" s="5"/>
      <c r="F393" s="5"/>
      <c r="G393" s="5"/>
      <c r="H393" s="7"/>
      <c r="I393" s="5"/>
      <c r="J393" s="7" t="str">
        <f>'Ingest Template'!Q393</f>
        <v/>
      </c>
      <c r="K393" s="5" t="str">
        <f>'Ingest Template'!R393</f>
        <v/>
      </c>
      <c r="L393" s="8" t="s">
        <v>38</v>
      </c>
      <c r="M393" s="9"/>
      <c r="N393" s="5"/>
      <c r="O393" s="5"/>
      <c r="P393" s="5"/>
      <c r="Q393" s="5"/>
      <c r="R393" s="5" t="str">
        <f>'Ingest Template'!D393</f>
        <v/>
      </c>
      <c r="S393" s="5" t="str">
        <f>'Ingest Template'!G393</f>
        <v/>
      </c>
      <c r="T393" s="5" t="str">
        <f>'Ingest Template'!H393</f>
        <v/>
      </c>
      <c r="U393" s="5" t="str">
        <f>LOWER(SUBSTITUTE(SUBSTITUTE(SUBSTITUTE(SUBSTITUTE(SUBSTITUTE('Ingest Template'!I393,"https:",""),"www.",""),"/",""),"?hl=en",""),"instagram.com",""))</f>
        <v/>
      </c>
      <c r="V393" s="10" t="str">
        <f>'Ingest Template'!J393</f>
        <v/>
      </c>
      <c r="W393" s="10" t="str">
        <f>'Ingest Template'!K393</f>
        <v/>
      </c>
      <c r="X393" s="5"/>
      <c r="Y393" s="5" t="str">
        <f>SUBSTITUTE(SUBSTITUTE(SUBSTITUTE('Ingest Template'!L393,"http:",""),"https:",""),"/","")</f>
        <v/>
      </c>
      <c r="Z393" s="5" t="str">
        <f t="array" ref="Z393">IF('Ingest Template'!A393="Standard",(IF(ISBLANK('Ingest Template'!M393),"", 'Ingest Template'!M393&amp;"|DAR")),(IF(ISBLANK('Ingest Template'!M393),"", 'Ingest Template'!M393&amp;"|Operations - Core Title")))</f>
        <v/>
      </c>
      <c r="AA393" s="5"/>
      <c r="AB393" s="5" t="str">
        <f>'Ingest Template'!F393</f>
        <v/>
      </c>
      <c r="AC393" s="5"/>
      <c r="AD393" s="5"/>
      <c r="AE393" s="5"/>
      <c r="AF393" s="8"/>
      <c r="AG393" s="5" t="str">
        <f t="array" ref="AG393">IF('Ingest Template'!A393="Standard",(CONCATENATE(IF(ISBLANK('Ingest Template'!N393),"", 'Ingest Template'!N393&amp;"|DAR"),CHAR(10), IF(ISBLANK('Ingest Template'!O393),"", 'Ingest Template'!O393&amp;"|DAR"),CHAR(10), IF(ISBLANK('Ingest Template'!P393),"", 'Ingest Template'!P393&amp;"|DAR"))),(CONCATENATE(IF(ISBLANK('Ingest Template'!N393),"", 'Ingest Template'!N393&amp;"|Operations - Core Title"),CHAR(10), IF(ISBLANK('Ingest Template'!O393),"", 'Ingest Template'!O393&amp;"|Operations - Core Title"),CHAR(10), IF(ISBLANK('Ingest Template'!P393),"", 'Ingest Template'!P393&amp;"|Operations - Core Title"))))</f>
        <v>#|Operations - Core Title
</v>
      </c>
      <c r="AH393" s="5"/>
      <c r="AI393" s="5"/>
      <c r="AJ393" s="5"/>
      <c r="AK393" s="5"/>
      <c r="AL393" s="5"/>
    </row>
    <row r="394">
      <c r="A394" s="5"/>
      <c r="B394" s="5" t="str">
        <f>'Ingest Template'!B394&amp;IF('Ingest Template'!A394 = "Standard", " - DAR","")</f>
        <v/>
      </c>
      <c r="C394" s="6" t="str">
        <f>'Ingest Template'!C394</f>
        <v/>
      </c>
      <c r="D394" s="7" t="str">
        <f>'Ingest Template'!E394</f>
        <v/>
      </c>
      <c r="E394" s="5"/>
      <c r="F394" s="5"/>
      <c r="G394" s="5"/>
      <c r="H394" s="7"/>
      <c r="I394" s="5"/>
      <c r="J394" s="7" t="str">
        <f>'Ingest Template'!Q394</f>
        <v/>
      </c>
      <c r="K394" s="5" t="str">
        <f>'Ingest Template'!R394</f>
        <v/>
      </c>
      <c r="L394" s="8" t="s">
        <v>38</v>
      </c>
      <c r="M394" s="9"/>
      <c r="N394" s="5"/>
      <c r="O394" s="5"/>
      <c r="P394" s="5"/>
      <c r="Q394" s="5"/>
      <c r="R394" s="5" t="str">
        <f>'Ingest Template'!D394</f>
        <v/>
      </c>
      <c r="S394" s="5" t="str">
        <f>'Ingest Template'!G394</f>
        <v/>
      </c>
      <c r="T394" s="5" t="str">
        <f>'Ingest Template'!H394</f>
        <v/>
      </c>
      <c r="U394" s="5" t="str">
        <f>LOWER(SUBSTITUTE(SUBSTITUTE(SUBSTITUTE(SUBSTITUTE(SUBSTITUTE('Ingest Template'!I394,"https:",""),"www.",""),"/",""),"?hl=en",""),"instagram.com",""))</f>
        <v/>
      </c>
      <c r="V394" s="10" t="str">
        <f>'Ingest Template'!J394</f>
        <v/>
      </c>
      <c r="W394" s="10" t="str">
        <f>'Ingest Template'!K394</f>
        <v/>
      </c>
      <c r="X394" s="5"/>
      <c r="Y394" s="5" t="str">
        <f>SUBSTITUTE(SUBSTITUTE(SUBSTITUTE('Ingest Template'!L394,"http:",""),"https:",""),"/","")</f>
        <v/>
      </c>
      <c r="Z394" s="5" t="str">
        <f t="array" ref="Z394">IF('Ingest Template'!A394="Standard",(IF(ISBLANK('Ingest Template'!M394),"", 'Ingest Template'!M394&amp;"|DAR")),(IF(ISBLANK('Ingest Template'!M394),"", 'Ingest Template'!M394&amp;"|Operations - Core Title")))</f>
        <v/>
      </c>
      <c r="AA394" s="5"/>
      <c r="AB394" s="5" t="str">
        <f>'Ingest Template'!F394</f>
        <v/>
      </c>
      <c r="AC394" s="5"/>
      <c r="AD394" s="5"/>
      <c r="AE394" s="5"/>
      <c r="AF394" s="8"/>
      <c r="AG394" s="5" t="str">
        <f t="array" ref="AG394">IF('Ingest Template'!A394="Standard",(CONCATENATE(IF(ISBLANK('Ingest Template'!N394),"", 'Ingest Template'!N394&amp;"|DAR"),CHAR(10), IF(ISBLANK('Ingest Template'!O394),"", 'Ingest Template'!O394&amp;"|DAR"),CHAR(10), IF(ISBLANK('Ingest Template'!P394),"", 'Ingest Template'!P394&amp;"|DAR"))),(CONCATENATE(IF(ISBLANK('Ingest Template'!N394),"", 'Ingest Template'!N394&amp;"|Operations - Core Title"),CHAR(10), IF(ISBLANK('Ingest Template'!O394),"", 'Ingest Template'!O394&amp;"|Operations - Core Title"),CHAR(10), IF(ISBLANK('Ingest Template'!P394),"", 'Ingest Template'!P394&amp;"|Operations - Core Title"))))</f>
        <v>#|Operations - Core Title
</v>
      </c>
      <c r="AH394" s="5"/>
      <c r="AI394" s="5"/>
      <c r="AJ394" s="5"/>
      <c r="AK394" s="5"/>
      <c r="AL394" s="5"/>
    </row>
    <row r="395">
      <c r="A395" s="5"/>
      <c r="B395" s="5" t="str">
        <f>'Ingest Template'!B395&amp;IF('Ingest Template'!A395 = "Standard", " - DAR","")</f>
        <v/>
      </c>
      <c r="C395" s="6" t="str">
        <f>'Ingest Template'!C395</f>
        <v/>
      </c>
      <c r="D395" s="7" t="str">
        <f>'Ingest Template'!E395</f>
        <v/>
      </c>
      <c r="E395" s="5"/>
      <c r="F395" s="5"/>
      <c r="G395" s="5"/>
      <c r="H395" s="7"/>
      <c r="I395" s="5"/>
      <c r="J395" s="7" t="str">
        <f>'Ingest Template'!Q395</f>
        <v/>
      </c>
      <c r="K395" s="5" t="str">
        <f>'Ingest Template'!R395</f>
        <v/>
      </c>
      <c r="L395" s="8" t="s">
        <v>38</v>
      </c>
      <c r="M395" s="9"/>
      <c r="N395" s="5"/>
      <c r="O395" s="5"/>
      <c r="P395" s="5"/>
      <c r="Q395" s="5"/>
      <c r="R395" s="5" t="str">
        <f>'Ingest Template'!D395</f>
        <v/>
      </c>
      <c r="S395" s="5" t="str">
        <f>'Ingest Template'!G395</f>
        <v/>
      </c>
      <c r="T395" s="5" t="str">
        <f>'Ingest Template'!H395</f>
        <v/>
      </c>
      <c r="U395" s="5" t="str">
        <f>LOWER(SUBSTITUTE(SUBSTITUTE(SUBSTITUTE(SUBSTITUTE(SUBSTITUTE('Ingest Template'!I395,"https:",""),"www.",""),"/",""),"?hl=en",""),"instagram.com",""))</f>
        <v/>
      </c>
      <c r="V395" s="10" t="str">
        <f>'Ingest Template'!J395</f>
        <v/>
      </c>
      <c r="W395" s="10" t="str">
        <f>'Ingest Template'!K395</f>
        <v/>
      </c>
      <c r="X395" s="5"/>
      <c r="Y395" s="5" t="str">
        <f>SUBSTITUTE(SUBSTITUTE(SUBSTITUTE('Ingest Template'!L395,"http:",""),"https:",""),"/","")</f>
        <v/>
      </c>
      <c r="Z395" s="5" t="str">
        <f t="array" ref="Z395">IF('Ingest Template'!A395="Standard",(IF(ISBLANK('Ingest Template'!M395),"", 'Ingest Template'!M395&amp;"|DAR")),(IF(ISBLANK('Ingest Template'!M395),"", 'Ingest Template'!M395&amp;"|Operations - Core Title")))</f>
        <v/>
      </c>
      <c r="AA395" s="5"/>
      <c r="AB395" s="5" t="str">
        <f>'Ingest Template'!F395</f>
        <v/>
      </c>
      <c r="AC395" s="5"/>
      <c r="AD395" s="5"/>
      <c r="AE395" s="5"/>
      <c r="AF395" s="8"/>
      <c r="AG395" s="5" t="str">
        <f t="array" ref="AG395">IF('Ingest Template'!A395="Standard",(CONCATENATE(IF(ISBLANK('Ingest Template'!N395),"", 'Ingest Template'!N395&amp;"|DAR"),CHAR(10), IF(ISBLANK('Ingest Template'!O395),"", 'Ingest Template'!O395&amp;"|DAR"),CHAR(10), IF(ISBLANK('Ingest Template'!P395),"", 'Ingest Template'!P395&amp;"|DAR"))),(CONCATENATE(IF(ISBLANK('Ingest Template'!N395),"", 'Ingest Template'!N395&amp;"|Operations - Core Title"),CHAR(10), IF(ISBLANK('Ingest Template'!O395),"", 'Ingest Template'!O395&amp;"|Operations - Core Title"),CHAR(10), IF(ISBLANK('Ingest Template'!P395),"", 'Ingest Template'!P395&amp;"|Operations - Core Title"))))</f>
        <v>#|Operations - Core Title
</v>
      </c>
      <c r="AH395" s="5"/>
      <c r="AI395" s="5"/>
      <c r="AJ395" s="5"/>
      <c r="AK395" s="5"/>
      <c r="AL395" s="5"/>
    </row>
    <row r="396">
      <c r="A396" s="5"/>
      <c r="B396" s="5" t="str">
        <f>'Ingest Template'!B396&amp;IF('Ingest Template'!A396 = "Standard", " - DAR","")</f>
        <v/>
      </c>
      <c r="C396" s="6" t="str">
        <f>'Ingest Template'!C396</f>
        <v/>
      </c>
      <c r="D396" s="7" t="str">
        <f>'Ingest Template'!E396</f>
        <v/>
      </c>
      <c r="E396" s="5"/>
      <c r="F396" s="5"/>
      <c r="G396" s="5"/>
      <c r="H396" s="7"/>
      <c r="I396" s="5"/>
      <c r="J396" s="7" t="str">
        <f>'Ingest Template'!Q396</f>
        <v/>
      </c>
      <c r="K396" s="5" t="str">
        <f>'Ingest Template'!R396</f>
        <v/>
      </c>
      <c r="L396" s="8" t="s">
        <v>38</v>
      </c>
      <c r="M396" s="9"/>
      <c r="N396" s="5"/>
      <c r="O396" s="5"/>
      <c r="P396" s="5"/>
      <c r="Q396" s="5"/>
      <c r="R396" s="5" t="str">
        <f>'Ingest Template'!D396</f>
        <v/>
      </c>
      <c r="S396" s="5" t="str">
        <f>'Ingest Template'!G396</f>
        <v/>
      </c>
      <c r="T396" s="5" t="str">
        <f>'Ingest Template'!H396</f>
        <v/>
      </c>
      <c r="U396" s="5" t="str">
        <f>LOWER(SUBSTITUTE(SUBSTITUTE(SUBSTITUTE(SUBSTITUTE(SUBSTITUTE('Ingest Template'!I396,"https:",""),"www.",""),"/",""),"?hl=en",""),"instagram.com",""))</f>
        <v/>
      </c>
      <c r="V396" s="10" t="str">
        <f>'Ingest Template'!J396</f>
        <v/>
      </c>
      <c r="W396" s="10" t="str">
        <f>'Ingest Template'!K396</f>
        <v/>
      </c>
      <c r="X396" s="5"/>
      <c r="Y396" s="5" t="str">
        <f>SUBSTITUTE(SUBSTITUTE(SUBSTITUTE('Ingest Template'!L396,"http:",""),"https:",""),"/","")</f>
        <v/>
      </c>
      <c r="Z396" s="5" t="str">
        <f t="array" ref="Z396">IF('Ingest Template'!A396="Standard",(IF(ISBLANK('Ingest Template'!M396),"", 'Ingest Template'!M396&amp;"|DAR")),(IF(ISBLANK('Ingest Template'!M396),"", 'Ingest Template'!M396&amp;"|Operations - Core Title")))</f>
        <v/>
      </c>
      <c r="AA396" s="5"/>
      <c r="AB396" s="5" t="str">
        <f>'Ingest Template'!F396</f>
        <v/>
      </c>
      <c r="AC396" s="5"/>
      <c r="AD396" s="5"/>
      <c r="AE396" s="5"/>
      <c r="AF396" s="8"/>
      <c r="AG396" s="5" t="str">
        <f t="array" ref="AG396">IF('Ingest Template'!A396="Standard",(CONCATENATE(IF(ISBLANK('Ingest Template'!N396),"", 'Ingest Template'!N396&amp;"|DAR"),CHAR(10), IF(ISBLANK('Ingest Template'!O396),"", 'Ingest Template'!O396&amp;"|DAR"),CHAR(10), IF(ISBLANK('Ingest Template'!P396),"", 'Ingest Template'!P396&amp;"|DAR"))),(CONCATENATE(IF(ISBLANK('Ingest Template'!N396),"", 'Ingest Template'!N396&amp;"|Operations - Core Title"),CHAR(10), IF(ISBLANK('Ingest Template'!O396),"", 'Ingest Template'!O396&amp;"|Operations - Core Title"),CHAR(10), IF(ISBLANK('Ingest Template'!P396),"", 'Ingest Template'!P396&amp;"|Operations - Core Title"))))</f>
        <v>#|Operations - Core Title
</v>
      </c>
      <c r="AH396" s="5"/>
      <c r="AI396" s="5"/>
      <c r="AJ396" s="5"/>
      <c r="AK396" s="5"/>
      <c r="AL396" s="5"/>
    </row>
    <row r="397">
      <c r="A397" s="5"/>
      <c r="B397" s="5" t="str">
        <f>'Ingest Template'!B397&amp;IF('Ingest Template'!A397 = "Standard", " - DAR","")</f>
        <v/>
      </c>
      <c r="C397" s="6" t="str">
        <f>'Ingest Template'!C397</f>
        <v/>
      </c>
      <c r="D397" s="7" t="str">
        <f>'Ingest Template'!E397</f>
        <v/>
      </c>
      <c r="E397" s="5"/>
      <c r="F397" s="5"/>
      <c r="G397" s="5"/>
      <c r="H397" s="7"/>
      <c r="I397" s="5"/>
      <c r="J397" s="7" t="str">
        <f>'Ingest Template'!Q397</f>
        <v/>
      </c>
      <c r="K397" s="5" t="str">
        <f>'Ingest Template'!R397</f>
        <v/>
      </c>
      <c r="L397" s="8" t="s">
        <v>38</v>
      </c>
      <c r="M397" s="9"/>
      <c r="N397" s="5"/>
      <c r="O397" s="5"/>
      <c r="P397" s="5"/>
      <c r="Q397" s="5"/>
      <c r="R397" s="5" t="str">
        <f>'Ingest Template'!D397</f>
        <v/>
      </c>
      <c r="S397" s="5" t="str">
        <f>'Ingest Template'!G397</f>
        <v/>
      </c>
      <c r="T397" s="5" t="str">
        <f>'Ingest Template'!H397</f>
        <v/>
      </c>
      <c r="U397" s="5" t="str">
        <f>LOWER(SUBSTITUTE(SUBSTITUTE(SUBSTITUTE(SUBSTITUTE(SUBSTITUTE('Ingest Template'!I397,"https:",""),"www.",""),"/",""),"?hl=en",""),"instagram.com",""))</f>
        <v/>
      </c>
      <c r="V397" s="10" t="str">
        <f>'Ingest Template'!J397</f>
        <v/>
      </c>
      <c r="W397" s="10" t="str">
        <f>'Ingest Template'!K397</f>
        <v/>
      </c>
      <c r="X397" s="5"/>
      <c r="Y397" s="5" t="str">
        <f>SUBSTITUTE(SUBSTITUTE(SUBSTITUTE('Ingest Template'!L397,"http:",""),"https:",""),"/","")</f>
        <v/>
      </c>
      <c r="Z397" s="5" t="str">
        <f t="array" ref="Z397">IF('Ingest Template'!A397="Standard",(IF(ISBLANK('Ingest Template'!M397),"", 'Ingest Template'!M397&amp;"|DAR")),(IF(ISBLANK('Ingest Template'!M397),"", 'Ingest Template'!M397&amp;"|Operations - Core Title")))</f>
        <v/>
      </c>
      <c r="AA397" s="5"/>
      <c r="AB397" s="5" t="str">
        <f>'Ingest Template'!F397</f>
        <v/>
      </c>
      <c r="AC397" s="5"/>
      <c r="AD397" s="5"/>
      <c r="AE397" s="5"/>
      <c r="AF397" s="8"/>
      <c r="AG397" s="5" t="str">
        <f t="array" ref="AG397">IF('Ingest Template'!A397="Standard",(CONCATENATE(IF(ISBLANK('Ingest Template'!N397),"", 'Ingest Template'!N397&amp;"|DAR"),CHAR(10), IF(ISBLANK('Ingest Template'!O397),"", 'Ingest Template'!O397&amp;"|DAR"),CHAR(10), IF(ISBLANK('Ingest Template'!P397),"", 'Ingest Template'!P397&amp;"|DAR"))),(CONCATENATE(IF(ISBLANK('Ingest Template'!N397),"", 'Ingest Template'!N397&amp;"|Operations - Core Title"),CHAR(10), IF(ISBLANK('Ingest Template'!O397),"", 'Ingest Template'!O397&amp;"|Operations - Core Title"),CHAR(10), IF(ISBLANK('Ingest Template'!P397),"", 'Ingest Template'!P397&amp;"|Operations - Core Title"))))</f>
        <v>#|Operations - Core Title
</v>
      </c>
      <c r="AH397" s="5"/>
      <c r="AI397" s="5"/>
      <c r="AJ397" s="5"/>
      <c r="AK397" s="5"/>
      <c r="AL397" s="5"/>
    </row>
    <row r="398">
      <c r="A398" s="5"/>
      <c r="B398" s="5" t="str">
        <f>'Ingest Template'!B398&amp;IF('Ingest Template'!A398 = "Standard", " - DAR","")</f>
        <v/>
      </c>
      <c r="C398" s="6" t="str">
        <f>'Ingest Template'!C398</f>
        <v/>
      </c>
      <c r="D398" s="7" t="str">
        <f>'Ingest Template'!E398</f>
        <v/>
      </c>
      <c r="E398" s="5"/>
      <c r="F398" s="5"/>
      <c r="G398" s="5"/>
      <c r="H398" s="7"/>
      <c r="I398" s="5"/>
      <c r="J398" s="7" t="str">
        <f>'Ingest Template'!Q398</f>
        <v/>
      </c>
      <c r="K398" s="5" t="str">
        <f>'Ingest Template'!R398</f>
        <v/>
      </c>
      <c r="L398" s="8" t="s">
        <v>38</v>
      </c>
      <c r="M398" s="9"/>
      <c r="N398" s="5"/>
      <c r="O398" s="5"/>
      <c r="P398" s="5"/>
      <c r="Q398" s="5"/>
      <c r="R398" s="5" t="str">
        <f>'Ingest Template'!D398</f>
        <v/>
      </c>
      <c r="S398" s="5" t="str">
        <f>'Ingest Template'!G398</f>
        <v/>
      </c>
      <c r="T398" s="5" t="str">
        <f>'Ingest Template'!H398</f>
        <v/>
      </c>
      <c r="U398" s="5" t="str">
        <f>LOWER(SUBSTITUTE(SUBSTITUTE(SUBSTITUTE(SUBSTITUTE(SUBSTITUTE('Ingest Template'!I398,"https:",""),"www.",""),"/",""),"?hl=en",""),"instagram.com",""))</f>
        <v/>
      </c>
      <c r="V398" s="10" t="str">
        <f>'Ingest Template'!J398</f>
        <v/>
      </c>
      <c r="W398" s="10" t="str">
        <f>'Ingest Template'!K398</f>
        <v/>
      </c>
      <c r="X398" s="5"/>
      <c r="Y398" s="5" t="str">
        <f>SUBSTITUTE(SUBSTITUTE(SUBSTITUTE('Ingest Template'!L398,"http:",""),"https:",""),"/","")</f>
        <v/>
      </c>
      <c r="Z398" s="5" t="str">
        <f t="array" ref="Z398">IF('Ingest Template'!A398="Standard",(IF(ISBLANK('Ingest Template'!M398),"", 'Ingest Template'!M398&amp;"|DAR")),(IF(ISBLANK('Ingest Template'!M398),"", 'Ingest Template'!M398&amp;"|Operations - Core Title")))</f>
        <v/>
      </c>
      <c r="AA398" s="5"/>
      <c r="AB398" s="5" t="str">
        <f>'Ingest Template'!F398</f>
        <v/>
      </c>
      <c r="AC398" s="5"/>
      <c r="AD398" s="5"/>
      <c r="AE398" s="5"/>
      <c r="AF398" s="8"/>
      <c r="AG398" s="5" t="str">
        <f t="array" ref="AG398">IF('Ingest Template'!A398="Standard",(CONCATENATE(IF(ISBLANK('Ingest Template'!N398),"", 'Ingest Template'!N398&amp;"|DAR"),CHAR(10), IF(ISBLANK('Ingest Template'!O398),"", 'Ingest Template'!O398&amp;"|DAR"),CHAR(10), IF(ISBLANK('Ingest Template'!P398),"", 'Ingest Template'!P398&amp;"|DAR"))),(CONCATENATE(IF(ISBLANK('Ingest Template'!N398),"", 'Ingest Template'!N398&amp;"|Operations - Core Title"),CHAR(10), IF(ISBLANK('Ingest Template'!O398),"", 'Ingest Template'!O398&amp;"|Operations - Core Title"),CHAR(10), IF(ISBLANK('Ingest Template'!P398),"", 'Ingest Template'!P398&amp;"|Operations - Core Title"))))</f>
        <v>#|Operations - Core Title
</v>
      </c>
      <c r="AH398" s="5"/>
      <c r="AI398" s="5"/>
      <c r="AJ398" s="5"/>
      <c r="AK398" s="5"/>
      <c r="AL398" s="5"/>
    </row>
    <row r="399">
      <c r="A399" s="5"/>
      <c r="B399" s="5" t="str">
        <f>'Ingest Template'!B399&amp;IF('Ingest Template'!A399 = "Standard", " - DAR","")</f>
        <v/>
      </c>
      <c r="C399" s="6" t="str">
        <f>'Ingest Template'!C399</f>
        <v/>
      </c>
      <c r="D399" s="7" t="str">
        <f>'Ingest Template'!E399</f>
        <v/>
      </c>
      <c r="E399" s="5"/>
      <c r="F399" s="5"/>
      <c r="G399" s="5"/>
      <c r="H399" s="7"/>
      <c r="I399" s="5"/>
      <c r="J399" s="7" t="str">
        <f>'Ingest Template'!Q399</f>
        <v/>
      </c>
      <c r="K399" s="5" t="str">
        <f>'Ingest Template'!R399</f>
        <v/>
      </c>
      <c r="L399" s="8" t="s">
        <v>38</v>
      </c>
      <c r="M399" s="9"/>
      <c r="N399" s="5"/>
      <c r="O399" s="5"/>
      <c r="P399" s="5"/>
      <c r="Q399" s="5"/>
      <c r="R399" s="5" t="str">
        <f>'Ingest Template'!D399</f>
        <v/>
      </c>
      <c r="S399" s="5" t="str">
        <f>'Ingest Template'!G399</f>
        <v/>
      </c>
      <c r="T399" s="5" t="str">
        <f>'Ingest Template'!H399</f>
        <v/>
      </c>
      <c r="U399" s="5" t="str">
        <f>LOWER(SUBSTITUTE(SUBSTITUTE(SUBSTITUTE(SUBSTITUTE(SUBSTITUTE('Ingest Template'!I399,"https:",""),"www.",""),"/",""),"?hl=en",""),"instagram.com",""))</f>
        <v/>
      </c>
      <c r="V399" s="10" t="str">
        <f>'Ingest Template'!J399</f>
        <v/>
      </c>
      <c r="W399" s="10" t="str">
        <f>'Ingest Template'!K399</f>
        <v/>
      </c>
      <c r="X399" s="5"/>
      <c r="Y399" s="5" t="str">
        <f>SUBSTITUTE(SUBSTITUTE(SUBSTITUTE('Ingest Template'!L399,"http:",""),"https:",""),"/","")</f>
        <v/>
      </c>
      <c r="Z399" s="5" t="str">
        <f t="array" ref="Z399">IF('Ingest Template'!A399="Standard",(IF(ISBLANK('Ingest Template'!M399),"", 'Ingest Template'!M399&amp;"|DAR")),(IF(ISBLANK('Ingest Template'!M399),"", 'Ingest Template'!M399&amp;"|Operations - Core Title")))</f>
        <v/>
      </c>
      <c r="AA399" s="5"/>
      <c r="AB399" s="5" t="str">
        <f>'Ingest Template'!F399</f>
        <v/>
      </c>
      <c r="AC399" s="5"/>
      <c r="AD399" s="5"/>
      <c r="AE399" s="5"/>
      <c r="AF399" s="8"/>
      <c r="AG399" s="5" t="str">
        <f t="array" ref="AG399">IF('Ingest Template'!A399="Standard",(CONCATENATE(IF(ISBLANK('Ingest Template'!N399),"", 'Ingest Template'!N399&amp;"|DAR"),CHAR(10), IF(ISBLANK('Ingest Template'!O399),"", 'Ingest Template'!O399&amp;"|DAR"),CHAR(10), IF(ISBLANK('Ingest Template'!P399),"", 'Ingest Template'!P399&amp;"|DAR"))),(CONCATENATE(IF(ISBLANK('Ingest Template'!N399),"", 'Ingest Template'!N399&amp;"|Operations - Core Title"),CHAR(10), IF(ISBLANK('Ingest Template'!O399),"", 'Ingest Template'!O399&amp;"|Operations - Core Title"),CHAR(10), IF(ISBLANK('Ingest Template'!P399),"", 'Ingest Template'!P399&amp;"|Operations - Core Title"))))</f>
        <v>#|Operations - Core Title
</v>
      </c>
      <c r="AH399" s="5"/>
      <c r="AI399" s="5"/>
      <c r="AJ399" s="5"/>
      <c r="AK399" s="5"/>
      <c r="AL399" s="5"/>
    </row>
    <row r="400">
      <c r="A400" s="5"/>
      <c r="B400" s="5" t="str">
        <f>'Ingest Template'!B400&amp;IF('Ingest Template'!A400 = "Standard", " - DAR","")</f>
        <v/>
      </c>
      <c r="C400" s="6" t="str">
        <f>'Ingest Template'!C400</f>
        <v/>
      </c>
      <c r="D400" s="7" t="str">
        <f>'Ingest Template'!E400</f>
        <v/>
      </c>
      <c r="E400" s="5"/>
      <c r="F400" s="5"/>
      <c r="G400" s="5"/>
      <c r="H400" s="7"/>
      <c r="I400" s="5"/>
      <c r="J400" s="7" t="str">
        <f>'Ingest Template'!Q400</f>
        <v/>
      </c>
      <c r="K400" s="5" t="str">
        <f>'Ingest Template'!R400</f>
        <v/>
      </c>
      <c r="L400" s="8" t="s">
        <v>38</v>
      </c>
      <c r="M400" s="9"/>
      <c r="N400" s="5"/>
      <c r="O400" s="5"/>
      <c r="P400" s="5"/>
      <c r="Q400" s="5"/>
      <c r="R400" s="5" t="str">
        <f>'Ingest Template'!D400</f>
        <v/>
      </c>
      <c r="S400" s="5" t="str">
        <f>'Ingest Template'!G400</f>
        <v/>
      </c>
      <c r="T400" s="5" t="str">
        <f>'Ingest Template'!H400</f>
        <v/>
      </c>
      <c r="U400" s="5" t="str">
        <f>LOWER(SUBSTITUTE(SUBSTITUTE(SUBSTITUTE(SUBSTITUTE(SUBSTITUTE('Ingest Template'!I400,"https:",""),"www.",""),"/",""),"?hl=en",""),"instagram.com",""))</f>
        <v/>
      </c>
      <c r="V400" s="10" t="str">
        <f>'Ingest Template'!J400</f>
        <v/>
      </c>
      <c r="W400" s="10" t="str">
        <f>'Ingest Template'!K400</f>
        <v/>
      </c>
      <c r="X400" s="5"/>
      <c r="Y400" s="5" t="str">
        <f>SUBSTITUTE(SUBSTITUTE(SUBSTITUTE('Ingest Template'!L400,"http:",""),"https:",""),"/","")</f>
        <v/>
      </c>
      <c r="Z400" s="5" t="str">
        <f t="array" ref="Z400">IF('Ingest Template'!A400="Standard",(IF(ISBLANK('Ingest Template'!M400),"", 'Ingest Template'!M400&amp;"|DAR")),(IF(ISBLANK('Ingest Template'!M400),"", 'Ingest Template'!M400&amp;"|Operations - Core Title")))</f>
        <v/>
      </c>
      <c r="AA400" s="5"/>
      <c r="AB400" s="5" t="str">
        <f>'Ingest Template'!F400</f>
        <v/>
      </c>
      <c r="AC400" s="5"/>
      <c r="AD400" s="5"/>
      <c r="AE400" s="5"/>
      <c r="AF400" s="8"/>
      <c r="AG400" s="5" t="str">
        <f t="array" ref="AG400">IF('Ingest Template'!A400="Standard",(CONCATENATE(IF(ISBLANK('Ingest Template'!N400),"", 'Ingest Template'!N400&amp;"|DAR"),CHAR(10), IF(ISBLANK('Ingest Template'!O400),"", 'Ingest Template'!O400&amp;"|DAR"),CHAR(10), IF(ISBLANK('Ingest Template'!P400),"", 'Ingest Template'!P400&amp;"|DAR"))),(CONCATENATE(IF(ISBLANK('Ingest Template'!N400),"", 'Ingest Template'!N400&amp;"|Operations - Core Title"),CHAR(10), IF(ISBLANK('Ingest Template'!O400),"", 'Ingest Template'!O400&amp;"|Operations - Core Title"),CHAR(10), IF(ISBLANK('Ingest Template'!P400),"", 'Ingest Template'!P400&amp;"|Operations - Core Title"))))</f>
        <v>#|Operations - Core Title
</v>
      </c>
      <c r="AH400" s="5"/>
      <c r="AI400" s="5"/>
      <c r="AJ400" s="5"/>
      <c r="AK400" s="5"/>
      <c r="AL400" s="5"/>
    </row>
    <row r="401">
      <c r="A401" s="5"/>
      <c r="B401" s="5" t="str">
        <f>'Ingest Template'!B401&amp;IF('Ingest Template'!A401 = "Standard", " - DAR","")</f>
        <v/>
      </c>
      <c r="C401" s="6" t="str">
        <f>'Ingest Template'!C401</f>
        <v/>
      </c>
      <c r="D401" s="7" t="str">
        <f>'Ingest Template'!E401</f>
        <v/>
      </c>
      <c r="E401" s="5"/>
      <c r="F401" s="5"/>
      <c r="G401" s="5"/>
      <c r="H401" s="7"/>
      <c r="I401" s="5"/>
      <c r="J401" s="7" t="str">
        <f>'Ingest Template'!Q401</f>
        <v/>
      </c>
      <c r="K401" s="5" t="str">
        <f>'Ingest Template'!R401</f>
        <v/>
      </c>
      <c r="L401" s="8" t="s">
        <v>38</v>
      </c>
      <c r="M401" s="9"/>
      <c r="N401" s="5"/>
      <c r="O401" s="5"/>
      <c r="P401" s="5"/>
      <c r="Q401" s="5"/>
      <c r="R401" s="5" t="str">
        <f>'Ingest Template'!D401</f>
        <v/>
      </c>
      <c r="S401" s="5" t="str">
        <f>'Ingest Template'!G401</f>
        <v/>
      </c>
      <c r="T401" s="5" t="str">
        <f>'Ingest Template'!H401</f>
        <v/>
      </c>
      <c r="U401" s="5" t="str">
        <f>LOWER(SUBSTITUTE(SUBSTITUTE(SUBSTITUTE(SUBSTITUTE(SUBSTITUTE('Ingest Template'!I401,"https:",""),"www.",""),"/",""),"?hl=en",""),"instagram.com",""))</f>
        <v/>
      </c>
      <c r="V401" s="10" t="str">
        <f>'Ingest Template'!J401</f>
        <v/>
      </c>
      <c r="W401" s="10" t="str">
        <f>'Ingest Template'!K401</f>
        <v/>
      </c>
      <c r="X401" s="5"/>
      <c r="Y401" s="5" t="str">
        <f>SUBSTITUTE(SUBSTITUTE(SUBSTITUTE('Ingest Template'!L401,"http:",""),"https:",""),"/","")</f>
        <v/>
      </c>
      <c r="Z401" s="5" t="str">
        <f t="array" ref="Z401">IF('Ingest Template'!A401="Standard",(IF(ISBLANK('Ingest Template'!M401),"", 'Ingest Template'!M401&amp;"|DAR")),(IF(ISBLANK('Ingest Template'!M401),"", 'Ingest Template'!M401&amp;"|Operations - Core Title")))</f>
        <v/>
      </c>
      <c r="AA401" s="5"/>
      <c r="AB401" s="5" t="str">
        <f>'Ingest Template'!F401</f>
        <v/>
      </c>
      <c r="AC401" s="5"/>
      <c r="AD401" s="5"/>
      <c r="AE401" s="5"/>
      <c r="AF401" s="8"/>
      <c r="AG401" s="5" t="str">
        <f t="array" ref="AG401">IF('Ingest Template'!A401="Standard",(CONCATENATE(IF(ISBLANK('Ingest Template'!N401),"", 'Ingest Template'!N401&amp;"|DAR"),CHAR(10), IF(ISBLANK('Ingest Template'!O401),"", 'Ingest Template'!O401&amp;"|DAR"),CHAR(10), IF(ISBLANK('Ingest Template'!P401),"", 'Ingest Template'!P401&amp;"|DAR"))),(CONCATENATE(IF(ISBLANK('Ingest Template'!N401),"", 'Ingest Template'!N401&amp;"|Operations - Core Title"),CHAR(10), IF(ISBLANK('Ingest Template'!O401),"", 'Ingest Template'!O401&amp;"|Operations - Core Title"),CHAR(10), IF(ISBLANK('Ingest Template'!P401),"", 'Ingest Template'!P401&amp;"|Operations - Core Title"))))</f>
        <v>#|Operations - Core Title
</v>
      </c>
      <c r="AH401" s="5"/>
      <c r="AI401" s="5"/>
      <c r="AJ401" s="5"/>
      <c r="AK401" s="5"/>
      <c r="AL401" s="5"/>
    </row>
    <row r="402">
      <c r="A402" s="5"/>
      <c r="B402" s="5" t="str">
        <f>'Ingest Template'!B402&amp;IF('Ingest Template'!A402 = "Standard", " - DAR","")</f>
        <v/>
      </c>
      <c r="C402" s="6" t="str">
        <f>'Ingest Template'!C402</f>
        <v/>
      </c>
      <c r="D402" s="7" t="str">
        <f>'Ingest Template'!E402</f>
        <v/>
      </c>
      <c r="E402" s="5"/>
      <c r="F402" s="5"/>
      <c r="G402" s="5"/>
      <c r="H402" s="7"/>
      <c r="I402" s="5"/>
      <c r="J402" s="7" t="str">
        <f>'Ingest Template'!Q402</f>
        <v/>
      </c>
      <c r="K402" s="5" t="str">
        <f>'Ingest Template'!R402</f>
        <v/>
      </c>
      <c r="L402" s="8" t="s">
        <v>38</v>
      </c>
      <c r="M402" s="9"/>
      <c r="N402" s="5"/>
      <c r="O402" s="5"/>
      <c r="P402" s="5"/>
      <c r="Q402" s="5"/>
      <c r="R402" s="5" t="str">
        <f>'Ingest Template'!D402</f>
        <v/>
      </c>
      <c r="S402" s="5" t="str">
        <f>'Ingest Template'!G402</f>
        <v/>
      </c>
      <c r="T402" s="5" t="str">
        <f>'Ingest Template'!H402</f>
        <v/>
      </c>
      <c r="U402" s="5" t="str">
        <f>LOWER(SUBSTITUTE(SUBSTITUTE(SUBSTITUTE(SUBSTITUTE(SUBSTITUTE('Ingest Template'!I402,"https:",""),"www.",""),"/",""),"?hl=en",""),"instagram.com",""))</f>
        <v/>
      </c>
      <c r="V402" s="10" t="str">
        <f>'Ingest Template'!J402</f>
        <v/>
      </c>
      <c r="W402" s="10" t="str">
        <f>'Ingest Template'!K402</f>
        <v/>
      </c>
      <c r="X402" s="5"/>
      <c r="Y402" s="5" t="str">
        <f>SUBSTITUTE(SUBSTITUTE(SUBSTITUTE('Ingest Template'!L402,"http:",""),"https:",""),"/","")</f>
        <v/>
      </c>
      <c r="Z402" s="5" t="str">
        <f t="array" ref="Z402">IF('Ingest Template'!A402="Standard",(IF(ISBLANK('Ingest Template'!M402),"", 'Ingest Template'!M402&amp;"|DAR")),(IF(ISBLANK('Ingest Template'!M402),"", 'Ingest Template'!M402&amp;"|Operations - Core Title")))</f>
        <v/>
      </c>
      <c r="AA402" s="5"/>
      <c r="AB402" s="5" t="str">
        <f>'Ingest Template'!F402</f>
        <v/>
      </c>
      <c r="AC402" s="5"/>
      <c r="AD402" s="5"/>
      <c r="AE402" s="5"/>
      <c r="AF402" s="8"/>
      <c r="AG402" s="5" t="str">
        <f t="array" ref="AG402">IF('Ingest Template'!A402="Standard",(CONCATENATE(IF(ISBLANK('Ingest Template'!N402),"", 'Ingest Template'!N402&amp;"|DAR"),CHAR(10), IF(ISBLANK('Ingest Template'!O402),"", 'Ingest Template'!O402&amp;"|DAR"),CHAR(10), IF(ISBLANK('Ingest Template'!P402),"", 'Ingest Template'!P402&amp;"|DAR"))),(CONCATENATE(IF(ISBLANK('Ingest Template'!N402),"", 'Ingest Template'!N402&amp;"|Operations - Core Title"),CHAR(10), IF(ISBLANK('Ingest Template'!O402),"", 'Ingest Template'!O402&amp;"|Operations - Core Title"),CHAR(10), IF(ISBLANK('Ingest Template'!P402),"", 'Ingest Template'!P402&amp;"|Operations - Core Title"))))</f>
        <v>#|Operations - Core Title
</v>
      </c>
      <c r="AH402" s="5"/>
      <c r="AI402" s="5"/>
      <c r="AJ402" s="5"/>
      <c r="AK402" s="5"/>
      <c r="AL402" s="5"/>
    </row>
    <row r="403">
      <c r="A403" s="5"/>
      <c r="B403" s="5" t="str">
        <f>'Ingest Template'!B403&amp;IF('Ingest Template'!A403 = "Standard", " - DAR","")</f>
        <v/>
      </c>
      <c r="C403" s="6" t="str">
        <f>'Ingest Template'!C403</f>
        <v/>
      </c>
      <c r="D403" s="7" t="str">
        <f>'Ingest Template'!E403</f>
        <v/>
      </c>
      <c r="E403" s="5"/>
      <c r="F403" s="5"/>
      <c r="G403" s="5"/>
      <c r="H403" s="7"/>
      <c r="I403" s="5"/>
      <c r="J403" s="7" t="str">
        <f>'Ingest Template'!Q403</f>
        <v/>
      </c>
      <c r="K403" s="5" t="str">
        <f>'Ingest Template'!R403</f>
        <v/>
      </c>
      <c r="L403" s="8" t="s">
        <v>38</v>
      </c>
      <c r="M403" s="9"/>
      <c r="N403" s="5"/>
      <c r="O403" s="5"/>
      <c r="P403" s="5"/>
      <c r="Q403" s="5"/>
      <c r="R403" s="5" t="str">
        <f>'Ingest Template'!D403</f>
        <v/>
      </c>
      <c r="S403" s="5" t="str">
        <f>'Ingest Template'!G403</f>
        <v/>
      </c>
      <c r="T403" s="5" t="str">
        <f>'Ingest Template'!H403</f>
        <v/>
      </c>
      <c r="U403" s="5" t="str">
        <f>LOWER(SUBSTITUTE(SUBSTITUTE(SUBSTITUTE(SUBSTITUTE(SUBSTITUTE('Ingest Template'!I403,"https:",""),"www.",""),"/",""),"?hl=en",""),"instagram.com",""))</f>
        <v/>
      </c>
      <c r="V403" s="10" t="str">
        <f>'Ingest Template'!J403</f>
        <v/>
      </c>
      <c r="W403" s="10" t="str">
        <f>'Ingest Template'!K403</f>
        <v/>
      </c>
      <c r="X403" s="5"/>
      <c r="Y403" s="5" t="str">
        <f>SUBSTITUTE(SUBSTITUTE(SUBSTITUTE('Ingest Template'!L403,"http:",""),"https:",""),"/","")</f>
        <v/>
      </c>
      <c r="Z403" s="5" t="str">
        <f t="array" ref="Z403">IF('Ingest Template'!A403="Standard",(IF(ISBLANK('Ingest Template'!M403),"", 'Ingest Template'!M403&amp;"|DAR")),(IF(ISBLANK('Ingest Template'!M403),"", 'Ingest Template'!M403&amp;"|Operations - Core Title")))</f>
        <v/>
      </c>
      <c r="AA403" s="5"/>
      <c r="AB403" s="5" t="str">
        <f>'Ingest Template'!F403</f>
        <v/>
      </c>
      <c r="AC403" s="5"/>
      <c r="AD403" s="5"/>
      <c r="AE403" s="5"/>
      <c r="AF403" s="8"/>
      <c r="AG403" s="5" t="str">
        <f t="array" ref="AG403">IF('Ingest Template'!A403="Standard",(CONCATENATE(IF(ISBLANK('Ingest Template'!N403),"", 'Ingest Template'!N403&amp;"|DAR"),CHAR(10), IF(ISBLANK('Ingest Template'!O403),"", 'Ingest Template'!O403&amp;"|DAR"),CHAR(10), IF(ISBLANK('Ingest Template'!P403),"", 'Ingest Template'!P403&amp;"|DAR"))),(CONCATENATE(IF(ISBLANK('Ingest Template'!N403),"", 'Ingest Template'!N403&amp;"|Operations - Core Title"),CHAR(10), IF(ISBLANK('Ingest Template'!O403),"", 'Ingest Template'!O403&amp;"|Operations - Core Title"),CHAR(10), IF(ISBLANK('Ingest Template'!P403),"", 'Ingest Template'!P403&amp;"|Operations - Core Title"))))</f>
        <v>#|Operations - Core Title
</v>
      </c>
      <c r="AH403" s="5"/>
      <c r="AI403" s="5"/>
      <c r="AJ403" s="5"/>
      <c r="AK403" s="5"/>
      <c r="AL403" s="5"/>
    </row>
    <row r="404">
      <c r="A404" s="5"/>
      <c r="B404" s="5" t="str">
        <f>'Ingest Template'!B404&amp;IF('Ingest Template'!A404 = "Standard", " - DAR","")</f>
        <v/>
      </c>
      <c r="C404" s="6" t="str">
        <f>'Ingest Template'!C404</f>
        <v/>
      </c>
      <c r="D404" s="7" t="str">
        <f>'Ingest Template'!E404</f>
        <v/>
      </c>
      <c r="E404" s="5"/>
      <c r="F404" s="5"/>
      <c r="G404" s="5"/>
      <c r="H404" s="7"/>
      <c r="I404" s="5"/>
      <c r="J404" s="7" t="str">
        <f>'Ingest Template'!Q404</f>
        <v/>
      </c>
      <c r="K404" s="5" t="str">
        <f>'Ingest Template'!R404</f>
        <v/>
      </c>
      <c r="L404" s="8" t="s">
        <v>38</v>
      </c>
      <c r="M404" s="9"/>
      <c r="N404" s="5"/>
      <c r="O404" s="5"/>
      <c r="P404" s="5"/>
      <c r="Q404" s="5"/>
      <c r="R404" s="5" t="str">
        <f>'Ingest Template'!D404</f>
        <v/>
      </c>
      <c r="S404" s="5" t="str">
        <f>'Ingest Template'!G404</f>
        <v/>
      </c>
      <c r="T404" s="5" t="str">
        <f>'Ingest Template'!H404</f>
        <v/>
      </c>
      <c r="U404" s="5" t="str">
        <f>LOWER(SUBSTITUTE(SUBSTITUTE(SUBSTITUTE(SUBSTITUTE(SUBSTITUTE('Ingest Template'!I404,"https:",""),"www.",""),"/",""),"?hl=en",""),"instagram.com",""))</f>
        <v/>
      </c>
      <c r="V404" s="10" t="str">
        <f>'Ingest Template'!J404</f>
        <v/>
      </c>
      <c r="W404" s="10" t="str">
        <f>'Ingest Template'!K404</f>
        <v/>
      </c>
      <c r="X404" s="5"/>
      <c r="Y404" s="5" t="str">
        <f>SUBSTITUTE(SUBSTITUTE(SUBSTITUTE('Ingest Template'!L404,"http:",""),"https:",""),"/","")</f>
        <v/>
      </c>
      <c r="Z404" s="5" t="str">
        <f t="array" ref="Z404">IF('Ingest Template'!A404="Standard",(IF(ISBLANK('Ingest Template'!M404),"", 'Ingest Template'!M404&amp;"|DAR")),(IF(ISBLANK('Ingest Template'!M404),"", 'Ingest Template'!M404&amp;"|Operations - Core Title")))</f>
        <v/>
      </c>
      <c r="AA404" s="5"/>
      <c r="AB404" s="5" t="str">
        <f>'Ingest Template'!F404</f>
        <v/>
      </c>
      <c r="AC404" s="5"/>
      <c r="AD404" s="5"/>
      <c r="AE404" s="5"/>
      <c r="AF404" s="8"/>
      <c r="AG404" s="5" t="str">
        <f t="array" ref="AG404">IF('Ingest Template'!A404="Standard",(CONCATENATE(IF(ISBLANK('Ingest Template'!N404),"", 'Ingest Template'!N404&amp;"|DAR"),CHAR(10), IF(ISBLANK('Ingest Template'!O404),"", 'Ingest Template'!O404&amp;"|DAR"),CHAR(10), IF(ISBLANK('Ingest Template'!P404),"", 'Ingest Template'!P404&amp;"|DAR"))),(CONCATENATE(IF(ISBLANK('Ingest Template'!N404),"", 'Ingest Template'!N404&amp;"|Operations - Core Title"),CHAR(10), IF(ISBLANK('Ingest Template'!O404),"", 'Ingest Template'!O404&amp;"|Operations - Core Title"),CHAR(10), IF(ISBLANK('Ingest Template'!P404),"", 'Ingest Template'!P404&amp;"|Operations - Core Title"))))</f>
        <v>#|Operations - Core Title
</v>
      </c>
      <c r="AH404" s="5"/>
      <c r="AI404" s="5"/>
      <c r="AJ404" s="5"/>
      <c r="AK404" s="5"/>
      <c r="AL404" s="5"/>
    </row>
    <row r="405">
      <c r="A405" s="5"/>
      <c r="B405" s="5" t="str">
        <f>'Ingest Template'!B405&amp;IF('Ingest Template'!A405 = "Standard", " - DAR","")</f>
        <v/>
      </c>
      <c r="C405" s="6" t="str">
        <f>'Ingest Template'!C405</f>
        <v/>
      </c>
      <c r="D405" s="7" t="str">
        <f>'Ingest Template'!E405</f>
        <v/>
      </c>
      <c r="E405" s="5"/>
      <c r="F405" s="5"/>
      <c r="G405" s="5"/>
      <c r="H405" s="7"/>
      <c r="I405" s="5"/>
      <c r="J405" s="7" t="str">
        <f>'Ingest Template'!Q405</f>
        <v/>
      </c>
      <c r="K405" s="5" t="str">
        <f>'Ingest Template'!R405</f>
        <v/>
      </c>
      <c r="L405" s="8" t="s">
        <v>38</v>
      </c>
      <c r="M405" s="9"/>
      <c r="N405" s="5"/>
      <c r="O405" s="5"/>
      <c r="P405" s="5"/>
      <c r="Q405" s="5"/>
      <c r="R405" s="5" t="str">
        <f>'Ingest Template'!D405</f>
        <v/>
      </c>
      <c r="S405" s="5" t="str">
        <f>'Ingest Template'!G405</f>
        <v/>
      </c>
      <c r="T405" s="5" t="str">
        <f>'Ingest Template'!H405</f>
        <v/>
      </c>
      <c r="U405" s="5" t="str">
        <f>LOWER(SUBSTITUTE(SUBSTITUTE(SUBSTITUTE(SUBSTITUTE(SUBSTITUTE('Ingest Template'!I405,"https:",""),"www.",""),"/",""),"?hl=en",""),"instagram.com",""))</f>
        <v/>
      </c>
      <c r="V405" s="10" t="str">
        <f>'Ingest Template'!J405</f>
        <v/>
      </c>
      <c r="W405" s="10" t="str">
        <f>'Ingest Template'!K405</f>
        <v/>
      </c>
      <c r="X405" s="5"/>
      <c r="Y405" s="5" t="str">
        <f>SUBSTITUTE(SUBSTITUTE(SUBSTITUTE('Ingest Template'!L405,"http:",""),"https:",""),"/","")</f>
        <v/>
      </c>
      <c r="Z405" s="5" t="str">
        <f t="array" ref="Z405">IF('Ingest Template'!A405="Standard",(IF(ISBLANK('Ingest Template'!M405),"", 'Ingest Template'!M405&amp;"|DAR")),(IF(ISBLANK('Ingest Template'!M405),"", 'Ingest Template'!M405&amp;"|Operations - Core Title")))</f>
        <v/>
      </c>
      <c r="AA405" s="5"/>
      <c r="AB405" s="5" t="str">
        <f>'Ingest Template'!F405</f>
        <v/>
      </c>
      <c r="AC405" s="5"/>
      <c r="AD405" s="5"/>
      <c r="AE405" s="5"/>
      <c r="AF405" s="8"/>
      <c r="AG405" s="5" t="str">
        <f t="array" ref="AG405">IF('Ingest Template'!A405="Standard",(CONCATENATE(IF(ISBLANK('Ingest Template'!N405),"", 'Ingest Template'!N405&amp;"|DAR"),CHAR(10), IF(ISBLANK('Ingest Template'!O405),"", 'Ingest Template'!O405&amp;"|DAR"),CHAR(10), IF(ISBLANK('Ingest Template'!P405),"", 'Ingest Template'!P405&amp;"|DAR"))),(CONCATENATE(IF(ISBLANK('Ingest Template'!N405),"", 'Ingest Template'!N405&amp;"|Operations - Core Title"),CHAR(10), IF(ISBLANK('Ingest Template'!O405),"", 'Ingest Template'!O405&amp;"|Operations - Core Title"),CHAR(10), IF(ISBLANK('Ingest Template'!P405),"", 'Ingest Template'!P405&amp;"|Operations - Core Title"))))</f>
        <v>#|Operations - Core Title
</v>
      </c>
      <c r="AH405" s="5"/>
      <c r="AI405" s="5"/>
      <c r="AJ405" s="5"/>
      <c r="AK405" s="5"/>
      <c r="AL405" s="5"/>
    </row>
    <row r="406">
      <c r="A406" s="5"/>
      <c r="B406" s="5" t="str">
        <f>'Ingest Template'!B406&amp;IF('Ingest Template'!A406 = "Standard", " - DAR","")</f>
        <v/>
      </c>
      <c r="C406" s="6" t="str">
        <f>'Ingest Template'!C406</f>
        <v/>
      </c>
      <c r="D406" s="7" t="str">
        <f>'Ingest Template'!E406</f>
        <v/>
      </c>
      <c r="E406" s="5"/>
      <c r="F406" s="5"/>
      <c r="G406" s="5"/>
      <c r="H406" s="7"/>
      <c r="I406" s="5"/>
      <c r="J406" s="7" t="str">
        <f>'Ingest Template'!Q406</f>
        <v/>
      </c>
      <c r="K406" s="5" t="str">
        <f>'Ingest Template'!R406</f>
        <v/>
      </c>
      <c r="L406" s="8" t="s">
        <v>38</v>
      </c>
      <c r="M406" s="9"/>
      <c r="N406" s="5"/>
      <c r="O406" s="5"/>
      <c r="P406" s="5"/>
      <c r="Q406" s="5"/>
      <c r="R406" s="5" t="str">
        <f>'Ingest Template'!D406</f>
        <v/>
      </c>
      <c r="S406" s="5" t="str">
        <f>'Ingest Template'!G406</f>
        <v/>
      </c>
      <c r="T406" s="5" t="str">
        <f>'Ingest Template'!H406</f>
        <v/>
      </c>
      <c r="U406" s="5" t="str">
        <f>LOWER(SUBSTITUTE(SUBSTITUTE(SUBSTITUTE(SUBSTITUTE(SUBSTITUTE('Ingest Template'!I406,"https:",""),"www.",""),"/",""),"?hl=en",""),"instagram.com",""))</f>
        <v/>
      </c>
      <c r="V406" s="10" t="str">
        <f>'Ingest Template'!J406</f>
        <v/>
      </c>
      <c r="W406" s="10" t="str">
        <f>'Ingest Template'!K406</f>
        <v/>
      </c>
      <c r="X406" s="5"/>
      <c r="Y406" s="5" t="str">
        <f>SUBSTITUTE(SUBSTITUTE(SUBSTITUTE('Ingest Template'!L406,"http:",""),"https:",""),"/","")</f>
        <v/>
      </c>
      <c r="Z406" s="5" t="str">
        <f t="array" ref="Z406">IF('Ingest Template'!A406="Standard",(IF(ISBLANK('Ingest Template'!M406),"", 'Ingest Template'!M406&amp;"|DAR")),(IF(ISBLANK('Ingest Template'!M406),"", 'Ingest Template'!M406&amp;"|Operations - Core Title")))</f>
        <v/>
      </c>
      <c r="AA406" s="5"/>
      <c r="AB406" s="5" t="str">
        <f>'Ingest Template'!F406</f>
        <v/>
      </c>
      <c r="AC406" s="5"/>
      <c r="AD406" s="5"/>
      <c r="AE406" s="5"/>
      <c r="AF406" s="8"/>
      <c r="AG406" s="5" t="str">
        <f t="array" ref="AG406">IF('Ingest Template'!A406="Standard",(CONCATENATE(IF(ISBLANK('Ingest Template'!N406),"", 'Ingest Template'!N406&amp;"|DAR"),CHAR(10), IF(ISBLANK('Ingest Template'!O406),"", 'Ingest Template'!O406&amp;"|DAR"),CHAR(10), IF(ISBLANK('Ingest Template'!P406),"", 'Ingest Template'!P406&amp;"|DAR"))),(CONCATENATE(IF(ISBLANK('Ingest Template'!N406),"", 'Ingest Template'!N406&amp;"|Operations - Core Title"),CHAR(10), IF(ISBLANK('Ingest Template'!O406),"", 'Ingest Template'!O406&amp;"|Operations - Core Title"),CHAR(10), IF(ISBLANK('Ingest Template'!P406),"", 'Ingest Template'!P406&amp;"|Operations - Core Title"))))</f>
        <v>#|Operations - Core Title
</v>
      </c>
      <c r="AH406" s="5"/>
      <c r="AI406" s="5"/>
      <c r="AJ406" s="5"/>
      <c r="AK406" s="5"/>
      <c r="AL406" s="5"/>
    </row>
    <row r="407">
      <c r="A407" s="5"/>
      <c r="B407" s="5" t="str">
        <f>'Ingest Template'!B407&amp;IF('Ingest Template'!A407 = "Standard", " - DAR","")</f>
        <v/>
      </c>
      <c r="C407" s="6" t="str">
        <f>'Ingest Template'!C407</f>
        <v/>
      </c>
      <c r="D407" s="7" t="str">
        <f>'Ingest Template'!E407</f>
        <v/>
      </c>
      <c r="E407" s="5"/>
      <c r="F407" s="5"/>
      <c r="G407" s="5"/>
      <c r="H407" s="7"/>
      <c r="I407" s="5"/>
      <c r="J407" s="7" t="str">
        <f>'Ingest Template'!Q407</f>
        <v/>
      </c>
      <c r="K407" s="5" t="str">
        <f>'Ingest Template'!R407</f>
        <v/>
      </c>
      <c r="L407" s="8" t="s">
        <v>38</v>
      </c>
      <c r="M407" s="9"/>
      <c r="N407" s="5"/>
      <c r="O407" s="5"/>
      <c r="P407" s="5"/>
      <c r="Q407" s="5"/>
      <c r="R407" s="5" t="str">
        <f>'Ingest Template'!D407</f>
        <v/>
      </c>
      <c r="S407" s="5" t="str">
        <f>'Ingest Template'!G407</f>
        <v/>
      </c>
      <c r="T407" s="5" t="str">
        <f>'Ingest Template'!H407</f>
        <v/>
      </c>
      <c r="U407" s="5" t="str">
        <f>LOWER(SUBSTITUTE(SUBSTITUTE(SUBSTITUTE(SUBSTITUTE(SUBSTITUTE('Ingest Template'!I407,"https:",""),"www.",""),"/",""),"?hl=en",""),"instagram.com",""))</f>
        <v/>
      </c>
      <c r="V407" s="10" t="str">
        <f>'Ingest Template'!J407</f>
        <v/>
      </c>
      <c r="W407" s="10" t="str">
        <f>'Ingest Template'!K407</f>
        <v/>
      </c>
      <c r="X407" s="5"/>
      <c r="Y407" s="5" t="str">
        <f>SUBSTITUTE(SUBSTITUTE(SUBSTITUTE('Ingest Template'!L407,"http:",""),"https:",""),"/","")</f>
        <v/>
      </c>
      <c r="Z407" s="5" t="str">
        <f t="array" ref="Z407">IF('Ingest Template'!A407="Standard",(IF(ISBLANK('Ingest Template'!M407),"", 'Ingest Template'!M407&amp;"|DAR")),(IF(ISBLANK('Ingest Template'!M407),"", 'Ingest Template'!M407&amp;"|Operations - Core Title")))</f>
        <v/>
      </c>
      <c r="AA407" s="5"/>
      <c r="AB407" s="5" t="str">
        <f>'Ingest Template'!F407</f>
        <v/>
      </c>
      <c r="AC407" s="5"/>
      <c r="AD407" s="5"/>
      <c r="AE407" s="5"/>
      <c r="AF407" s="8"/>
      <c r="AG407" s="5" t="str">
        <f t="array" ref="AG407">IF('Ingest Template'!A407="Standard",(CONCATENATE(IF(ISBLANK('Ingest Template'!N407),"", 'Ingest Template'!N407&amp;"|DAR"),CHAR(10), IF(ISBLANK('Ingest Template'!O407),"", 'Ingest Template'!O407&amp;"|DAR"),CHAR(10), IF(ISBLANK('Ingest Template'!P407),"", 'Ingest Template'!P407&amp;"|DAR"))),(CONCATENATE(IF(ISBLANK('Ingest Template'!N407),"", 'Ingest Template'!N407&amp;"|Operations - Core Title"),CHAR(10), IF(ISBLANK('Ingest Template'!O407),"", 'Ingest Template'!O407&amp;"|Operations - Core Title"),CHAR(10), IF(ISBLANK('Ingest Template'!P407),"", 'Ingest Template'!P407&amp;"|Operations - Core Title"))))</f>
        <v>#|Operations - Core Title
</v>
      </c>
      <c r="AH407" s="5"/>
      <c r="AI407" s="5"/>
      <c r="AJ407" s="5"/>
      <c r="AK407" s="5"/>
      <c r="AL407" s="5"/>
    </row>
    <row r="408">
      <c r="A408" s="5"/>
      <c r="B408" s="5" t="str">
        <f>'Ingest Template'!B408&amp;IF('Ingest Template'!A408 = "Standard", " - DAR","")</f>
        <v/>
      </c>
      <c r="C408" s="6" t="str">
        <f>'Ingest Template'!C408</f>
        <v/>
      </c>
      <c r="D408" s="7" t="str">
        <f>'Ingest Template'!E408</f>
        <v/>
      </c>
      <c r="E408" s="5"/>
      <c r="F408" s="5"/>
      <c r="G408" s="5"/>
      <c r="H408" s="7"/>
      <c r="I408" s="5"/>
      <c r="J408" s="7" t="str">
        <f>'Ingest Template'!Q408</f>
        <v/>
      </c>
      <c r="K408" s="5" t="str">
        <f>'Ingest Template'!R408</f>
        <v/>
      </c>
      <c r="L408" s="8" t="s">
        <v>38</v>
      </c>
      <c r="M408" s="9"/>
      <c r="N408" s="5"/>
      <c r="O408" s="5"/>
      <c r="P408" s="5"/>
      <c r="Q408" s="5"/>
      <c r="R408" s="5" t="str">
        <f>'Ingest Template'!D408</f>
        <v/>
      </c>
      <c r="S408" s="5" t="str">
        <f>'Ingest Template'!G408</f>
        <v/>
      </c>
      <c r="T408" s="5" t="str">
        <f>'Ingest Template'!H408</f>
        <v/>
      </c>
      <c r="U408" s="5" t="str">
        <f>LOWER(SUBSTITUTE(SUBSTITUTE(SUBSTITUTE(SUBSTITUTE(SUBSTITUTE('Ingest Template'!I408,"https:",""),"www.",""),"/",""),"?hl=en",""),"instagram.com",""))</f>
        <v/>
      </c>
      <c r="V408" s="10" t="str">
        <f>'Ingest Template'!J408</f>
        <v/>
      </c>
      <c r="W408" s="10" t="str">
        <f>'Ingest Template'!K408</f>
        <v/>
      </c>
      <c r="X408" s="5"/>
      <c r="Y408" s="5" t="str">
        <f>SUBSTITUTE(SUBSTITUTE(SUBSTITUTE('Ingest Template'!L408,"http:",""),"https:",""),"/","")</f>
        <v/>
      </c>
      <c r="Z408" s="5" t="str">
        <f t="array" ref="Z408">IF('Ingest Template'!A408="Standard",(IF(ISBLANK('Ingest Template'!M408),"", 'Ingest Template'!M408&amp;"|DAR")),(IF(ISBLANK('Ingest Template'!M408),"", 'Ingest Template'!M408&amp;"|Operations - Core Title")))</f>
        <v/>
      </c>
      <c r="AA408" s="5"/>
      <c r="AB408" s="5" t="str">
        <f>'Ingest Template'!F408</f>
        <v/>
      </c>
      <c r="AC408" s="5"/>
      <c r="AD408" s="5"/>
      <c r="AE408" s="5"/>
      <c r="AF408" s="8"/>
      <c r="AG408" s="5" t="str">
        <f t="array" ref="AG408">IF('Ingest Template'!A408="Standard",(CONCATENATE(IF(ISBLANK('Ingest Template'!N408),"", 'Ingest Template'!N408&amp;"|DAR"),CHAR(10), IF(ISBLANK('Ingest Template'!O408),"", 'Ingest Template'!O408&amp;"|DAR"),CHAR(10), IF(ISBLANK('Ingest Template'!P408),"", 'Ingest Template'!P408&amp;"|DAR"))),(CONCATENATE(IF(ISBLANK('Ingest Template'!N408),"", 'Ingest Template'!N408&amp;"|Operations - Core Title"),CHAR(10), IF(ISBLANK('Ingest Template'!O408),"", 'Ingest Template'!O408&amp;"|Operations - Core Title"),CHAR(10), IF(ISBLANK('Ingest Template'!P408),"", 'Ingest Template'!P408&amp;"|Operations - Core Title"))))</f>
        <v>#|Operations - Core Title
</v>
      </c>
      <c r="AH408" s="5"/>
      <c r="AI408" s="5"/>
      <c r="AJ408" s="5"/>
      <c r="AK408" s="5"/>
      <c r="AL408" s="5"/>
    </row>
    <row r="409">
      <c r="A409" s="5"/>
      <c r="B409" s="5" t="str">
        <f>'Ingest Template'!B409&amp;IF('Ingest Template'!A409 = "Standard", " - DAR","")</f>
        <v/>
      </c>
      <c r="C409" s="6" t="str">
        <f>'Ingest Template'!C409</f>
        <v/>
      </c>
      <c r="D409" s="7" t="str">
        <f>'Ingest Template'!E409</f>
        <v/>
      </c>
      <c r="E409" s="5"/>
      <c r="F409" s="5"/>
      <c r="G409" s="5"/>
      <c r="H409" s="7"/>
      <c r="I409" s="5"/>
      <c r="J409" s="7" t="str">
        <f>'Ingest Template'!Q409</f>
        <v/>
      </c>
      <c r="K409" s="5" t="str">
        <f>'Ingest Template'!R409</f>
        <v/>
      </c>
      <c r="L409" s="8" t="s">
        <v>38</v>
      </c>
      <c r="M409" s="9"/>
      <c r="N409" s="5"/>
      <c r="O409" s="5"/>
      <c r="P409" s="5"/>
      <c r="Q409" s="5"/>
      <c r="R409" s="5" t="str">
        <f>'Ingest Template'!D409</f>
        <v/>
      </c>
      <c r="S409" s="5" t="str">
        <f>'Ingest Template'!G409</f>
        <v/>
      </c>
      <c r="T409" s="5" t="str">
        <f>'Ingest Template'!H409</f>
        <v/>
      </c>
      <c r="U409" s="5" t="str">
        <f>LOWER(SUBSTITUTE(SUBSTITUTE(SUBSTITUTE(SUBSTITUTE(SUBSTITUTE('Ingest Template'!I409,"https:",""),"www.",""),"/",""),"?hl=en",""),"instagram.com",""))</f>
        <v/>
      </c>
      <c r="V409" s="10" t="str">
        <f>'Ingest Template'!J409</f>
        <v/>
      </c>
      <c r="W409" s="10" t="str">
        <f>'Ingest Template'!K409</f>
        <v/>
      </c>
      <c r="X409" s="5"/>
      <c r="Y409" s="5" t="str">
        <f>SUBSTITUTE(SUBSTITUTE(SUBSTITUTE('Ingest Template'!L409,"http:",""),"https:",""),"/","")</f>
        <v/>
      </c>
      <c r="Z409" s="5" t="str">
        <f t="array" ref="Z409">IF('Ingest Template'!A409="Standard",(IF(ISBLANK('Ingest Template'!M409),"", 'Ingest Template'!M409&amp;"|DAR")),(IF(ISBLANK('Ingest Template'!M409),"", 'Ingest Template'!M409&amp;"|Operations - Core Title")))</f>
        <v/>
      </c>
      <c r="AA409" s="5"/>
      <c r="AB409" s="5" t="str">
        <f>'Ingest Template'!F409</f>
        <v/>
      </c>
      <c r="AC409" s="5"/>
      <c r="AD409" s="5"/>
      <c r="AE409" s="5"/>
      <c r="AF409" s="8"/>
      <c r="AG409" s="5" t="str">
        <f t="array" ref="AG409">IF('Ingest Template'!A409="Standard",(CONCATENATE(IF(ISBLANK('Ingest Template'!N409),"", 'Ingest Template'!N409&amp;"|DAR"),CHAR(10), IF(ISBLANK('Ingest Template'!O409),"", 'Ingest Template'!O409&amp;"|DAR"),CHAR(10), IF(ISBLANK('Ingest Template'!P409),"", 'Ingest Template'!P409&amp;"|DAR"))),(CONCATENATE(IF(ISBLANK('Ingest Template'!N409),"", 'Ingest Template'!N409&amp;"|Operations - Core Title"),CHAR(10), IF(ISBLANK('Ingest Template'!O409),"", 'Ingest Template'!O409&amp;"|Operations - Core Title"),CHAR(10), IF(ISBLANK('Ingest Template'!P409),"", 'Ingest Template'!P409&amp;"|Operations - Core Title"))))</f>
        <v>#|Operations - Core Title
</v>
      </c>
      <c r="AH409" s="5"/>
      <c r="AI409" s="5"/>
      <c r="AJ409" s="5"/>
      <c r="AK409" s="5"/>
      <c r="AL409" s="5"/>
    </row>
    <row r="410">
      <c r="A410" s="5"/>
      <c r="B410" s="5" t="str">
        <f>'Ingest Template'!B410&amp;IF('Ingest Template'!A410 = "Standard", " - DAR","")</f>
        <v/>
      </c>
      <c r="C410" s="6" t="str">
        <f>'Ingest Template'!C410</f>
        <v/>
      </c>
      <c r="D410" s="7" t="str">
        <f>'Ingest Template'!E410</f>
        <v/>
      </c>
      <c r="E410" s="5"/>
      <c r="F410" s="5"/>
      <c r="G410" s="5"/>
      <c r="H410" s="7"/>
      <c r="I410" s="5"/>
      <c r="J410" s="7" t="str">
        <f>'Ingest Template'!Q410</f>
        <v/>
      </c>
      <c r="K410" s="5" t="str">
        <f>'Ingest Template'!R410</f>
        <v/>
      </c>
      <c r="L410" s="8" t="s">
        <v>38</v>
      </c>
      <c r="M410" s="9"/>
      <c r="N410" s="5"/>
      <c r="O410" s="5"/>
      <c r="P410" s="5"/>
      <c r="Q410" s="5"/>
      <c r="R410" s="5" t="str">
        <f>'Ingest Template'!D410</f>
        <v/>
      </c>
      <c r="S410" s="5" t="str">
        <f>'Ingest Template'!G410</f>
        <v/>
      </c>
      <c r="T410" s="5" t="str">
        <f>'Ingest Template'!H410</f>
        <v/>
      </c>
      <c r="U410" s="5" t="str">
        <f>LOWER(SUBSTITUTE(SUBSTITUTE(SUBSTITUTE(SUBSTITUTE(SUBSTITUTE('Ingest Template'!I410,"https:",""),"www.",""),"/",""),"?hl=en",""),"instagram.com",""))</f>
        <v/>
      </c>
      <c r="V410" s="10" t="str">
        <f>'Ingest Template'!J410</f>
        <v/>
      </c>
      <c r="W410" s="10" t="str">
        <f>'Ingest Template'!K410</f>
        <v/>
      </c>
      <c r="X410" s="5"/>
      <c r="Y410" s="5" t="str">
        <f>SUBSTITUTE(SUBSTITUTE(SUBSTITUTE('Ingest Template'!L410,"http:",""),"https:",""),"/","")</f>
        <v/>
      </c>
      <c r="Z410" s="5" t="str">
        <f t="array" ref="Z410">IF('Ingest Template'!A410="Standard",(IF(ISBLANK('Ingest Template'!M410),"", 'Ingest Template'!M410&amp;"|DAR")),(IF(ISBLANK('Ingest Template'!M410),"", 'Ingest Template'!M410&amp;"|Operations - Core Title")))</f>
        <v/>
      </c>
      <c r="AA410" s="5"/>
      <c r="AB410" s="5" t="str">
        <f>'Ingest Template'!F410</f>
        <v/>
      </c>
      <c r="AC410" s="5"/>
      <c r="AD410" s="5"/>
      <c r="AE410" s="5"/>
      <c r="AF410" s="8"/>
      <c r="AG410" s="5" t="str">
        <f t="array" ref="AG410">IF('Ingest Template'!A410="Standard",(CONCATENATE(IF(ISBLANK('Ingest Template'!N410),"", 'Ingest Template'!N410&amp;"|DAR"),CHAR(10), IF(ISBLANK('Ingest Template'!O410),"", 'Ingest Template'!O410&amp;"|DAR"),CHAR(10), IF(ISBLANK('Ingest Template'!P410),"", 'Ingest Template'!P410&amp;"|DAR"))),(CONCATENATE(IF(ISBLANK('Ingest Template'!N410),"", 'Ingest Template'!N410&amp;"|Operations - Core Title"),CHAR(10), IF(ISBLANK('Ingest Template'!O410),"", 'Ingest Template'!O410&amp;"|Operations - Core Title"),CHAR(10), IF(ISBLANK('Ingest Template'!P410),"", 'Ingest Template'!P410&amp;"|Operations - Core Title"))))</f>
        <v>#|Operations - Core Title
</v>
      </c>
      <c r="AH410" s="5"/>
      <c r="AI410" s="5"/>
      <c r="AJ410" s="5"/>
      <c r="AK410" s="5"/>
      <c r="AL410" s="5"/>
    </row>
    <row r="411">
      <c r="A411" s="5"/>
      <c r="B411" s="5" t="str">
        <f>'Ingest Template'!B411&amp;IF('Ingest Template'!A411 = "Standard", " - DAR","")</f>
        <v/>
      </c>
      <c r="C411" s="6" t="str">
        <f>'Ingest Template'!C411</f>
        <v/>
      </c>
      <c r="D411" s="7" t="str">
        <f>'Ingest Template'!E411</f>
        <v/>
      </c>
      <c r="E411" s="5"/>
      <c r="F411" s="5"/>
      <c r="G411" s="5"/>
      <c r="H411" s="7"/>
      <c r="I411" s="5"/>
      <c r="J411" s="7" t="str">
        <f>'Ingest Template'!Q411</f>
        <v/>
      </c>
      <c r="K411" s="5" t="str">
        <f>'Ingest Template'!R411</f>
        <v/>
      </c>
      <c r="L411" s="8" t="s">
        <v>38</v>
      </c>
      <c r="M411" s="9"/>
      <c r="N411" s="5"/>
      <c r="O411" s="5"/>
      <c r="P411" s="5"/>
      <c r="Q411" s="5"/>
      <c r="R411" s="5" t="str">
        <f>'Ingest Template'!D411</f>
        <v/>
      </c>
      <c r="S411" s="5" t="str">
        <f>'Ingest Template'!G411</f>
        <v/>
      </c>
      <c r="T411" s="5" t="str">
        <f>'Ingest Template'!H411</f>
        <v/>
      </c>
      <c r="U411" s="5" t="str">
        <f>LOWER(SUBSTITUTE(SUBSTITUTE(SUBSTITUTE(SUBSTITUTE(SUBSTITUTE('Ingest Template'!I411,"https:",""),"www.",""),"/",""),"?hl=en",""),"instagram.com",""))</f>
        <v/>
      </c>
      <c r="V411" s="10" t="str">
        <f>'Ingest Template'!J411</f>
        <v/>
      </c>
      <c r="W411" s="10" t="str">
        <f>'Ingest Template'!K411</f>
        <v/>
      </c>
      <c r="X411" s="5"/>
      <c r="Y411" s="5" t="str">
        <f>SUBSTITUTE(SUBSTITUTE(SUBSTITUTE('Ingest Template'!L411,"http:",""),"https:",""),"/","")</f>
        <v/>
      </c>
      <c r="Z411" s="5" t="str">
        <f t="array" ref="Z411">IF('Ingest Template'!A411="Standard",(IF(ISBLANK('Ingest Template'!M411),"", 'Ingest Template'!M411&amp;"|DAR")),(IF(ISBLANK('Ingest Template'!M411),"", 'Ingest Template'!M411&amp;"|Operations - Core Title")))</f>
        <v/>
      </c>
      <c r="AA411" s="5"/>
      <c r="AB411" s="5" t="str">
        <f>'Ingest Template'!F411</f>
        <v/>
      </c>
      <c r="AC411" s="5"/>
      <c r="AD411" s="5"/>
      <c r="AE411" s="5"/>
      <c r="AF411" s="8"/>
      <c r="AG411" s="5" t="str">
        <f t="array" ref="AG411">IF('Ingest Template'!A411="Standard",(CONCATENATE(IF(ISBLANK('Ingest Template'!N411),"", 'Ingest Template'!N411&amp;"|DAR"),CHAR(10), IF(ISBLANK('Ingest Template'!O411),"", 'Ingest Template'!O411&amp;"|DAR"),CHAR(10), IF(ISBLANK('Ingest Template'!P411),"", 'Ingest Template'!P411&amp;"|DAR"))),(CONCATENATE(IF(ISBLANK('Ingest Template'!N411),"", 'Ingest Template'!N411&amp;"|Operations - Core Title"),CHAR(10), IF(ISBLANK('Ingest Template'!O411),"", 'Ingest Template'!O411&amp;"|Operations - Core Title"),CHAR(10), IF(ISBLANK('Ingest Template'!P411),"", 'Ingest Template'!P411&amp;"|Operations - Core Title"))))</f>
        <v>#|Operations - Core Title
</v>
      </c>
      <c r="AH411" s="5"/>
      <c r="AI411" s="5"/>
      <c r="AJ411" s="5"/>
      <c r="AK411" s="5"/>
      <c r="AL411" s="5"/>
    </row>
    <row r="412">
      <c r="A412" s="5"/>
      <c r="B412" s="5" t="str">
        <f>'Ingest Template'!B412&amp;IF('Ingest Template'!A412 = "Standard", " - DAR","")</f>
        <v/>
      </c>
      <c r="C412" s="6" t="str">
        <f>'Ingest Template'!C412</f>
        <v/>
      </c>
      <c r="D412" s="7" t="str">
        <f>'Ingest Template'!E412</f>
        <v/>
      </c>
      <c r="E412" s="5"/>
      <c r="F412" s="5"/>
      <c r="G412" s="5"/>
      <c r="H412" s="7"/>
      <c r="I412" s="5"/>
      <c r="J412" s="7" t="str">
        <f>'Ingest Template'!Q412</f>
        <v/>
      </c>
      <c r="K412" s="5" t="str">
        <f>'Ingest Template'!R412</f>
        <v/>
      </c>
      <c r="L412" s="8" t="s">
        <v>38</v>
      </c>
      <c r="M412" s="9"/>
      <c r="N412" s="5"/>
      <c r="O412" s="5"/>
      <c r="P412" s="5"/>
      <c r="Q412" s="5"/>
      <c r="R412" s="5" t="str">
        <f>'Ingest Template'!D412</f>
        <v/>
      </c>
      <c r="S412" s="5" t="str">
        <f>'Ingest Template'!G412</f>
        <v/>
      </c>
      <c r="T412" s="5" t="str">
        <f>'Ingest Template'!H412</f>
        <v/>
      </c>
      <c r="U412" s="5" t="str">
        <f>LOWER(SUBSTITUTE(SUBSTITUTE(SUBSTITUTE(SUBSTITUTE(SUBSTITUTE('Ingest Template'!I412,"https:",""),"www.",""),"/",""),"?hl=en",""),"instagram.com",""))</f>
        <v/>
      </c>
      <c r="V412" s="10" t="str">
        <f>'Ingest Template'!J412</f>
        <v/>
      </c>
      <c r="W412" s="10" t="str">
        <f>'Ingest Template'!K412</f>
        <v/>
      </c>
      <c r="X412" s="5"/>
      <c r="Y412" s="5" t="str">
        <f>SUBSTITUTE(SUBSTITUTE(SUBSTITUTE('Ingest Template'!L412,"http:",""),"https:",""),"/","")</f>
        <v/>
      </c>
      <c r="Z412" s="5" t="str">
        <f t="array" ref="Z412">IF('Ingest Template'!A412="Standard",(IF(ISBLANK('Ingest Template'!M412),"", 'Ingest Template'!M412&amp;"|DAR")),(IF(ISBLANK('Ingest Template'!M412),"", 'Ingest Template'!M412&amp;"|Operations - Core Title")))</f>
        <v/>
      </c>
      <c r="AA412" s="5"/>
      <c r="AB412" s="5" t="str">
        <f>'Ingest Template'!F412</f>
        <v/>
      </c>
      <c r="AC412" s="5"/>
      <c r="AD412" s="5"/>
      <c r="AE412" s="5"/>
      <c r="AF412" s="8"/>
      <c r="AG412" s="5" t="str">
        <f t="array" ref="AG412">IF('Ingest Template'!A412="Standard",(CONCATENATE(IF(ISBLANK('Ingest Template'!N412),"", 'Ingest Template'!N412&amp;"|DAR"),CHAR(10), IF(ISBLANK('Ingest Template'!O412),"", 'Ingest Template'!O412&amp;"|DAR"),CHAR(10), IF(ISBLANK('Ingest Template'!P412),"", 'Ingest Template'!P412&amp;"|DAR"))),(CONCATENATE(IF(ISBLANK('Ingest Template'!N412),"", 'Ingest Template'!N412&amp;"|Operations - Core Title"),CHAR(10), IF(ISBLANK('Ingest Template'!O412),"", 'Ingest Template'!O412&amp;"|Operations - Core Title"),CHAR(10), IF(ISBLANK('Ingest Template'!P412),"", 'Ingest Template'!P412&amp;"|Operations - Core Title"))))</f>
        <v>#|Operations - Core Title
</v>
      </c>
      <c r="AH412" s="5"/>
      <c r="AI412" s="5"/>
      <c r="AJ412" s="5"/>
      <c r="AK412" s="5"/>
      <c r="AL412" s="5"/>
    </row>
    <row r="413">
      <c r="A413" s="5"/>
      <c r="B413" s="5" t="str">
        <f>'Ingest Template'!B413&amp;IF('Ingest Template'!A413 = "Standard", " - DAR","")</f>
        <v/>
      </c>
      <c r="C413" s="6" t="str">
        <f>'Ingest Template'!C413</f>
        <v/>
      </c>
      <c r="D413" s="7" t="str">
        <f>'Ingest Template'!E413</f>
        <v/>
      </c>
      <c r="E413" s="5"/>
      <c r="F413" s="5"/>
      <c r="G413" s="5"/>
      <c r="H413" s="7"/>
      <c r="I413" s="5"/>
      <c r="J413" s="7" t="str">
        <f>'Ingest Template'!Q413</f>
        <v/>
      </c>
      <c r="K413" s="5" t="str">
        <f>'Ingest Template'!R413</f>
        <v/>
      </c>
      <c r="L413" s="8" t="s">
        <v>38</v>
      </c>
      <c r="M413" s="9"/>
      <c r="N413" s="5"/>
      <c r="O413" s="5"/>
      <c r="P413" s="5"/>
      <c r="Q413" s="5"/>
      <c r="R413" s="5" t="str">
        <f>'Ingest Template'!D413</f>
        <v/>
      </c>
      <c r="S413" s="5" t="str">
        <f>'Ingest Template'!G413</f>
        <v/>
      </c>
      <c r="T413" s="5" t="str">
        <f>'Ingest Template'!H413</f>
        <v/>
      </c>
      <c r="U413" s="5" t="str">
        <f>LOWER(SUBSTITUTE(SUBSTITUTE(SUBSTITUTE(SUBSTITUTE(SUBSTITUTE('Ingest Template'!I413,"https:",""),"www.",""),"/",""),"?hl=en",""),"instagram.com",""))</f>
        <v/>
      </c>
      <c r="V413" s="10" t="str">
        <f>'Ingest Template'!J413</f>
        <v/>
      </c>
      <c r="W413" s="10" t="str">
        <f>'Ingest Template'!K413</f>
        <v/>
      </c>
      <c r="X413" s="5"/>
      <c r="Y413" s="5" t="str">
        <f>SUBSTITUTE(SUBSTITUTE(SUBSTITUTE('Ingest Template'!L413,"http:",""),"https:",""),"/","")</f>
        <v/>
      </c>
      <c r="Z413" s="5" t="str">
        <f t="array" ref="Z413">IF('Ingest Template'!A413="Standard",(IF(ISBLANK('Ingest Template'!M413),"", 'Ingest Template'!M413&amp;"|DAR")),(IF(ISBLANK('Ingest Template'!M413),"", 'Ingest Template'!M413&amp;"|Operations - Core Title")))</f>
        <v/>
      </c>
      <c r="AA413" s="5"/>
      <c r="AB413" s="5" t="str">
        <f>'Ingest Template'!F413</f>
        <v/>
      </c>
      <c r="AC413" s="5"/>
      <c r="AD413" s="5"/>
      <c r="AE413" s="5"/>
      <c r="AF413" s="8"/>
      <c r="AG413" s="5" t="str">
        <f t="array" ref="AG413">IF('Ingest Template'!A413="Standard",(CONCATENATE(IF(ISBLANK('Ingest Template'!N413),"", 'Ingest Template'!N413&amp;"|DAR"),CHAR(10), IF(ISBLANK('Ingest Template'!O413),"", 'Ingest Template'!O413&amp;"|DAR"),CHAR(10), IF(ISBLANK('Ingest Template'!P413),"", 'Ingest Template'!P413&amp;"|DAR"))),(CONCATENATE(IF(ISBLANK('Ingest Template'!N413),"", 'Ingest Template'!N413&amp;"|Operations - Core Title"),CHAR(10), IF(ISBLANK('Ingest Template'!O413),"", 'Ingest Template'!O413&amp;"|Operations - Core Title"),CHAR(10), IF(ISBLANK('Ingest Template'!P413),"", 'Ingest Template'!P413&amp;"|Operations - Core Title"))))</f>
        <v>#|Operations - Core Title
</v>
      </c>
      <c r="AH413" s="5"/>
      <c r="AI413" s="5"/>
      <c r="AJ413" s="5"/>
      <c r="AK413" s="5"/>
      <c r="AL413" s="5"/>
    </row>
    <row r="414">
      <c r="A414" s="5"/>
      <c r="B414" s="5" t="str">
        <f>'Ingest Template'!B414&amp;IF('Ingest Template'!A414 = "Standard", " - DAR","")</f>
        <v/>
      </c>
      <c r="C414" s="6" t="str">
        <f>'Ingest Template'!C414</f>
        <v/>
      </c>
      <c r="D414" s="7" t="str">
        <f>'Ingest Template'!E414</f>
        <v/>
      </c>
      <c r="E414" s="5"/>
      <c r="F414" s="5"/>
      <c r="G414" s="5"/>
      <c r="H414" s="7"/>
      <c r="I414" s="5"/>
      <c r="J414" s="7" t="str">
        <f>'Ingest Template'!Q414</f>
        <v/>
      </c>
      <c r="K414" s="5" t="str">
        <f>'Ingest Template'!R414</f>
        <v/>
      </c>
      <c r="L414" s="8" t="s">
        <v>38</v>
      </c>
      <c r="M414" s="9"/>
      <c r="N414" s="5"/>
      <c r="O414" s="5"/>
      <c r="P414" s="5"/>
      <c r="Q414" s="5"/>
      <c r="R414" s="5" t="str">
        <f>'Ingest Template'!D414</f>
        <v/>
      </c>
      <c r="S414" s="5" t="str">
        <f>'Ingest Template'!G414</f>
        <v/>
      </c>
      <c r="T414" s="5" t="str">
        <f>'Ingest Template'!H414</f>
        <v/>
      </c>
      <c r="U414" s="5" t="str">
        <f>LOWER(SUBSTITUTE(SUBSTITUTE(SUBSTITUTE(SUBSTITUTE(SUBSTITUTE('Ingest Template'!I414,"https:",""),"www.",""),"/",""),"?hl=en",""),"instagram.com",""))</f>
        <v/>
      </c>
      <c r="V414" s="10" t="str">
        <f>'Ingest Template'!J414</f>
        <v/>
      </c>
      <c r="W414" s="10" t="str">
        <f>'Ingest Template'!K414</f>
        <v/>
      </c>
      <c r="X414" s="5"/>
      <c r="Y414" s="5" t="str">
        <f>SUBSTITUTE(SUBSTITUTE(SUBSTITUTE('Ingest Template'!L414,"http:",""),"https:",""),"/","")</f>
        <v/>
      </c>
      <c r="Z414" s="5" t="str">
        <f t="array" ref="Z414">IF('Ingest Template'!A414="Standard",(IF(ISBLANK('Ingest Template'!M414),"", 'Ingest Template'!M414&amp;"|DAR")),(IF(ISBLANK('Ingest Template'!M414),"", 'Ingest Template'!M414&amp;"|Operations - Core Title")))</f>
        <v/>
      </c>
      <c r="AA414" s="5"/>
      <c r="AB414" s="5" t="str">
        <f>'Ingest Template'!F414</f>
        <v/>
      </c>
      <c r="AC414" s="5"/>
      <c r="AD414" s="5"/>
      <c r="AE414" s="5"/>
      <c r="AF414" s="8"/>
      <c r="AG414" s="5" t="str">
        <f t="array" ref="AG414">IF('Ingest Template'!A414="Standard",(CONCATENATE(IF(ISBLANK('Ingest Template'!N414),"", 'Ingest Template'!N414&amp;"|DAR"),CHAR(10), IF(ISBLANK('Ingest Template'!O414),"", 'Ingest Template'!O414&amp;"|DAR"),CHAR(10), IF(ISBLANK('Ingest Template'!P414),"", 'Ingest Template'!P414&amp;"|DAR"))),(CONCATENATE(IF(ISBLANK('Ingest Template'!N414),"", 'Ingest Template'!N414&amp;"|Operations - Core Title"),CHAR(10), IF(ISBLANK('Ingest Template'!O414),"", 'Ingest Template'!O414&amp;"|Operations - Core Title"),CHAR(10), IF(ISBLANK('Ingest Template'!P414),"", 'Ingest Template'!P414&amp;"|Operations - Core Title"))))</f>
        <v>#|Operations - Core Title
</v>
      </c>
      <c r="AH414" s="5"/>
      <c r="AI414" s="5"/>
      <c r="AJ414" s="5"/>
      <c r="AK414" s="5"/>
      <c r="AL414" s="5"/>
    </row>
    <row r="415">
      <c r="A415" s="5"/>
      <c r="B415" s="5" t="str">
        <f>'Ingest Template'!B415&amp;IF('Ingest Template'!A415 = "Standard", " - DAR","")</f>
        <v/>
      </c>
      <c r="C415" s="6" t="str">
        <f>'Ingest Template'!C415</f>
        <v/>
      </c>
      <c r="D415" s="7" t="str">
        <f>'Ingest Template'!E415</f>
        <v/>
      </c>
      <c r="E415" s="5"/>
      <c r="F415" s="5"/>
      <c r="G415" s="5"/>
      <c r="H415" s="7"/>
      <c r="I415" s="5"/>
      <c r="J415" s="7" t="str">
        <f>'Ingest Template'!Q415</f>
        <v/>
      </c>
      <c r="K415" s="5" t="str">
        <f>'Ingest Template'!R415</f>
        <v/>
      </c>
      <c r="L415" s="8" t="s">
        <v>38</v>
      </c>
      <c r="M415" s="9"/>
      <c r="N415" s="5"/>
      <c r="O415" s="5"/>
      <c r="P415" s="5"/>
      <c r="Q415" s="5"/>
      <c r="R415" s="5" t="str">
        <f>'Ingest Template'!D415</f>
        <v/>
      </c>
      <c r="S415" s="5" t="str">
        <f>'Ingest Template'!G415</f>
        <v/>
      </c>
      <c r="T415" s="5" t="str">
        <f>'Ingest Template'!H415</f>
        <v/>
      </c>
      <c r="U415" s="5" t="str">
        <f>LOWER(SUBSTITUTE(SUBSTITUTE(SUBSTITUTE(SUBSTITUTE(SUBSTITUTE('Ingest Template'!I415,"https:",""),"www.",""),"/",""),"?hl=en",""),"instagram.com",""))</f>
        <v/>
      </c>
      <c r="V415" s="10" t="str">
        <f>'Ingest Template'!J415</f>
        <v/>
      </c>
      <c r="W415" s="10" t="str">
        <f>'Ingest Template'!K415</f>
        <v/>
      </c>
      <c r="X415" s="5"/>
      <c r="Y415" s="5" t="str">
        <f>SUBSTITUTE(SUBSTITUTE(SUBSTITUTE('Ingest Template'!L415,"http:",""),"https:",""),"/","")</f>
        <v/>
      </c>
      <c r="Z415" s="5" t="str">
        <f t="array" ref="Z415">IF('Ingest Template'!A415="Standard",(IF(ISBLANK('Ingest Template'!M415),"", 'Ingest Template'!M415&amp;"|DAR")),(IF(ISBLANK('Ingest Template'!M415),"", 'Ingest Template'!M415&amp;"|Operations - Core Title")))</f>
        <v/>
      </c>
      <c r="AA415" s="5"/>
      <c r="AB415" s="5" t="str">
        <f>'Ingest Template'!F415</f>
        <v/>
      </c>
      <c r="AC415" s="5"/>
      <c r="AD415" s="5"/>
      <c r="AE415" s="5"/>
      <c r="AF415" s="8"/>
      <c r="AG415" s="5" t="str">
        <f t="array" ref="AG415">IF('Ingest Template'!A415="Standard",(CONCATENATE(IF(ISBLANK('Ingest Template'!N415),"", 'Ingest Template'!N415&amp;"|DAR"),CHAR(10), IF(ISBLANK('Ingest Template'!O415),"", 'Ingest Template'!O415&amp;"|DAR"),CHAR(10), IF(ISBLANK('Ingest Template'!P415),"", 'Ingest Template'!P415&amp;"|DAR"))),(CONCATENATE(IF(ISBLANK('Ingest Template'!N415),"", 'Ingest Template'!N415&amp;"|Operations - Core Title"),CHAR(10), IF(ISBLANK('Ingest Template'!O415),"", 'Ingest Template'!O415&amp;"|Operations - Core Title"),CHAR(10), IF(ISBLANK('Ingest Template'!P415),"", 'Ingest Template'!P415&amp;"|Operations - Core Title"))))</f>
        <v>#|Operations - Core Title
</v>
      </c>
      <c r="AH415" s="5"/>
      <c r="AI415" s="5"/>
      <c r="AJ415" s="5"/>
      <c r="AK415" s="5"/>
      <c r="AL415" s="5"/>
    </row>
    <row r="416">
      <c r="A416" s="5"/>
      <c r="B416" s="5" t="str">
        <f>'Ingest Template'!B416&amp;IF('Ingest Template'!A416 = "Standard", " - DAR","")</f>
        <v/>
      </c>
      <c r="C416" s="6" t="str">
        <f>'Ingest Template'!C416</f>
        <v/>
      </c>
      <c r="D416" s="7" t="str">
        <f>'Ingest Template'!E416</f>
        <v/>
      </c>
      <c r="E416" s="5"/>
      <c r="F416" s="5"/>
      <c r="G416" s="5"/>
      <c r="H416" s="7"/>
      <c r="I416" s="5"/>
      <c r="J416" s="7" t="str">
        <f>'Ingest Template'!Q416</f>
        <v/>
      </c>
      <c r="K416" s="5" t="str">
        <f>'Ingest Template'!R416</f>
        <v/>
      </c>
      <c r="L416" s="8" t="s">
        <v>38</v>
      </c>
      <c r="M416" s="9"/>
      <c r="N416" s="5"/>
      <c r="O416" s="5"/>
      <c r="P416" s="5"/>
      <c r="Q416" s="5"/>
      <c r="R416" s="5" t="str">
        <f>'Ingest Template'!D416</f>
        <v/>
      </c>
      <c r="S416" s="5" t="str">
        <f>'Ingest Template'!G416</f>
        <v/>
      </c>
      <c r="T416" s="5" t="str">
        <f>'Ingest Template'!H416</f>
        <v/>
      </c>
      <c r="U416" s="5" t="str">
        <f>LOWER(SUBSTITUTE(SUBSTITUTE(SUBSTITUTE(SUBSTITUTE(SUBSTITUTE('Ingest Template'!I416,"https:",""),"www.",""),"/",""),"?hl=en",""),"instagram.com",""))</f>
        <v/>
      </c>
      <c r="V416" s="10" t="str">
        <f>'Ingest Template'!J416</f>
        <v/>
      </c>
      <c r="W416" s="10" t="str">
        <f>'Ingest Template'!K416</f>
        <v/>
      </c>
      <c r="X416" s="5"/>
      <c r="Y416" s="5" t="str">
        <f>SUBSTITUTE(SUBSTITUTE(SUBSTITUTE('Ingest Template'!L416,"http:",""),"https:",""),"/","")</f>
        <v/>
      </c>
      <c r="Z416" s="5" t="str">
        <f t="array" ref="Z416">IF('Ingest Template'!A416="Standard",(IF(ISBLANK('Ingest Template'!M416),"", 'Ingest Template'!M416&amp;"|DAR")),(IF(ISBLANK('Ingest Template'!M416),"", 'Ingest Template'!M416&amp;"|Operations - Core Title")))</f>
        <v/>
      </c>
      <c r="AA416" s="5"/>
      <c r="AB416" s="5" t="str">
        <f>'Ingest Template'!F416</f>
        <v/>
      </c>
      <c r="AC416" s="5"/>
      <c r="AD416" s="5"/>
      <c r="AE416" s="5"/>
      <c r="AF416" s="8"/>
      <c r="AG416" s="5" t="str">
        <f t="array" ref="AG416">IF('Ingest Template'!A416="Standard",(CONCATENATE(IF(ISBLANK('Ingest Template'!N416),"", 'Ingest Template'!N416&amp;"|DAR"),CHAR(10), IF(ISBLANK('Ingest Template'!O416),"", 'Ingest Template'!O416&amp;"|DAR"),CHAR(10), IF(ISBLANK('Ingest Template'!P416),"", 'Ingest Template'!P416&amp;"|DAR"))),(CONCATENATE(IF(ISBLANK('Ingest Template'!N416),"", 'Ingest Template'!N416&amp;"|Operations - Core Title"),CHAR(10), IF(ISBLANK('Ingest Template'!O416),"", 'Ingest Template'!O416&amp;"|Operations - Core Title"),CHAR(10), IF(ISBLANK('Ingest Template'!P416),"", 'Ingest Template'!P416&amp;"|Operations - Core Title"))))</f>
        <v>#|Operations - Core Title
</v>
      </c>
      <c r="AH416" s="5"/>
      <c r="AI416" s="5"/>
      <c r="AJ416" s="5"/>
      <c r="AK416" s="5"/>
      <c r="AL416" s="5"/>
    </row>
    <row r="417">
      <c r="A417" s="5"/>
      <c r="B417" s="5" t="str">
        <f>'Ingest Template'!B417&amp;IF('Ingest Template'!A417 = "Standard", " - DAR","")</f>
        <v/>
      </c>
      <c r="C417" s="6" t="str">
        <f>'Ingest Template'!C417</f>
        <v/>
      </c>
      <c r="D417" s="7" t="str">
        <f>'Ingest Template'!E417</f>
        <v/>
      </c>
      <c r="E417" s="5"/>
      <c r="F417" s="5"/>
      <c r="G417" s="5"/>
      <c r="H417" s="7"/>
      <c r="I417" s="5"/>
      <c r="J417" s="7" t="str">
        <f>'Ingest Template'!Q417</f>
        <v/>
      </c>
      <c r="K417" s="5" t="str">
        <f>'Ingest Template'!R417</f>
        <v/>
      </c>
      <c r="L417" s="8" t="s">
        <v>38</v>
      </c>
      <c r="M417" s="9"/>
      <c r="N417" s="5"/>
      <c r="O417" s="5"/>
      <c r="P417" s="5"/>
      <c r="Q417" s="5"/>
      <c r="R417" s="5" t="str">
        <f>'Ingest Template'!D417</f>
        <v/>
      </c>
      <c r="S417" s="5" t="str">
        <f>'Ingest Template'!G417</f>
        <v/>
      </c>
      <c r="T417" s="5" t="str">
        <f>'Ingest Template'!H417</f>
        <v/>
      </c>
      <c r="U417" s="5" t="str">
        <f>LOWER(SUBSTITUTE(SUBSTITUTE(SUBSTITUTE(SUBSTITUTE(SUBSTITUTE('Ingest Template'!I417,"https:",""),"www.",""),"/",""),"?hl=en",""),"instagram.com",""))</f>
        <v/>
      </c>
      <c r="V417" s="10" t="str">
        <f>'Ingest Template'!J417</f>
        <v/>
      </c>
      <c r="W417" s="10" t="str">
        <f>'Ingest Template'!K417</f>
        <v/>
      </c>
      <c r="X417" s="5"/>
      <c r="Y417" s="5" t="str">
        <f>SUBSTITUTE(SUBSTITUTE(SUBSTITUTE('Ingest Template'!L417,"http:",""),"https:",""),"/","")</f>
        <v/>
      </c>
      <c r="Z417" s="5" t="str">
        <f t="array" ref="Z417">IF('Ingest Template'!A417="Standard",(IF(ISBLANK('Ingest Template'!M417),"", 'Ingest Template'!M417&amp;"|DAR")),(IF(ISBLANK('Ingest Template'!M417),"", 'Ingest Template'!M417&amp;"|Operations - Core Title")))</f>
        <v/>
      </c>
      <c r="AA417" s="5"/>
      <c r="AB417" s="5" t="str">
        <f>'Ingest Template'!F417</f>
        <v/>
      </c>
      <c r="AC417" s="5"/>
      <c r="AD417" s="5"/>
      <c r="AE417" s="5"/>
      <c r="AF417" s="8"/>
      <c r="AG417" s="5" t="str">
        <f t="array" ref="AG417">IF('Ingest Template'!A417="Standard",(CONCATENATE(IF(ISBLANK('Ingest Template'!N417),"", 'Ingest Template'!N417&amp;"|DAR"),CHAR(10), IF(ISBLANK('Ingest Template'!O417),"", 'Ingest Template'!O417&amp;"|DAR"),CHAR(10), IF(ISBLANK('Ingest Template'!P417),"", 'Ingest Template'!P417&amp;"|DAR"))),(CONCATENATE(IF(ISBLANK('Ingest Template'!N417),"", 'Ingest Template'!N417&amp;"|Operations - Core Title"),CHAR(10), IF(ISBLANK('Ingest Template'!O417),"", 'Ingest Template'!O417&amp;"|Operations - Core Title"),CHAR(10), IF(ISBLANK('Ingest Template'!P417),"", 'Ingest Template'!P417&amp;"|Operations - Core Title"))))</f>
        <v>#|Operations - Core Title
</v>
      </c>
      <c r="AH417" s="5"/>
      <c r="AI417" s="5"/>
      <c r="AJ417" s="5"/>
      <c r="AK417" s="5"/>
      <c r="AL417" s="5"/>
    </row>
    <row r="418">
      <c r="A418" s="5"/>
      <c r="B418" s="5" t="str">
        <f>'Ingest Template'!B418&amp;IF('Ingest Template'!A418 = "Standard", " - DAR","")</f>
        <v/>
      </c>
      <c r="C418" s="6" t="str">
        <f>'Ingest Template'!C418</f>
        <v/>
      </c>
      <c r="D418" s="7" t="str">
        <f>'Ingest Template'!E418</f>
        <v/>
      </c>
      <c r="E418" s="5"/>
      <c r="F418" s="5"/>
      <c r="G418" s="5"/>
      <c r="H418" s="7"/>
      <c r="I418" s="5"/>
      <c r="J418" s="7" t="str">
        <f>'Ingest Template'!Q418</f>
        <v/>
      </c>
      <c r="K418" s="5" t="str">
        <f>'Ingest Template'!R418</f>
        <v/>
      </c>
      <c r="L418" s="8" t="s">
        <v>38</v>
      </c>
      <c r="M418" s="9"/>
      <c r="N418" s="5"/>
      <c r="O418" s="5"/>
      <c r="P418" s="5"/>
      <c r="Q418" s="5"/>
      <c r="R418" s="5" t="str">
        <f>'Ingest Template'!D418</f>
        <v/>
      </c>
      <c r="S418" s="5" t="str">
        <f>'Ingest Template'!G418</f>
        <v/>
      </c>
      <c r="T418" s="5" t="str">
        <f>'Ingest Template'!H418</f>
        <v/>
      </c>
      <c r="U418" s="5" t="str">
        <f>LOWER(SUBSTITUTE(SUBSTITUTE(SUBSTITUTE(SUBSTITUTE(SUBSTITUTE('Ingest Template'!I418,"https:",""),"www.",""),"/",""),"?hl=en",""),"instagram.com",""))</f>
        <v/>
      </c>
      <c r="V418" s="10" t="str">
        <f>'Ingest Template'!J418</f>
        <v/>
      </c>
      <c r="W418" s="10" t="str">
        <f>'Ingest Template'!K418</f>
        <v/>
      </c>
      <c r="X418" s="5"/>
      <c r="Y418" s="5" t="str">
        <f>SUBSTITUTE(SUBSTITUTE(SUBSTITUTE('Ingest Template'!L418,"http:",""),"https:",""),"/","")</f>
        <v/>
      </c>
      <c r="Z418" s="5" t="str">
        <f t="array" ref="Z418">IF('Ingest Template'!A418="Standard",(IF(ISBLANK('Ingest Template'!M418),"", 'Ingest Template'!M418&amp;"|DAR")),(IF(ISBLANK('Ingest Template'!M418),"", 'Ingest Template'!M418&amp;"|Operations - Core Title")))</f>
        <v/>
      </c>
      <c r="AA418" s="5"/>
      <c r="AB418" s="5" t="str">
        <f>'Ingest Template'!F418</f>
        <v/>
      </c>
      <c r="AC418" s="5"/>
      <c r="AD418" s="5"/>
      <c r="AE418" s="5"/>
      <c r="AF418" s="8"/>
      <c r="AG418" s="5" t="str">
        <f t="array" ref="AG418">IF('Ingest Template'!A418="Standard",(CONCATENATE(IF(ISBLANK('Ingest Template'!N418),"", 'Ingest Template'!N418&amp;"|DAR"),CHAR(10), IF(ISBLANK('Ingest Template'!O418),"", 'Ingest Template'!O418&amp;"|DAR"),CHAR(10), IF(ISBLANK('Ingest Template'!P418),"", 'Ingest Template'!P418&amp;"|DAR"))),(CONCATENATE(IF(ISBLANK('Ingest Template'!N418),"", 'Ingest Template'!N418&amp;"|Operations - Core Title"),CHAR(10), IF(ISBLANK('Ingest Template'!O418),"", 'Ingest Template'!O418&amp;"|Operations - Core Title"),CHAR(10), IF(ISBLANK('Ingest Template'!P418),"", 'Ingest Template'!P418&amp;"|Operations - Core Title"))))</f>
        <v>#|Operations - Core Title
</v>
      </c>
      <c r="AH418" s="5"/>
      <c r="AI418" s="5"/>
      <c r="AJ418" s="5"/>
      <c r="AK418" s="5"/>
      <c r="AL418" s="5"/>
    </row>
    <row r="419">
      <c r="A419" s="5"/>
      <c r="B419" s="5" t="str">
        <f>'Ingest Template'!B419&amp;IF('Ingest Template'!A419 = "Standard", " - DAR","")</f>
        <v/>
      </c>
      <c r="C419" s="6" t="str">
        <f>'Ingest Template'!C419</f>
        <v/>
      </c>
      <c r="D419" s="7" t="str">
        <f>'Ingest Template'!E419</f>
        <v/>
      </c>
      <c r="E419" s="5"/>
      <c r="F419" s="5"/>
      <c r="G419" s="5"/>
      <c r="H419" s="7"/>
      <c r="I419" s="5"/>
      <c r="J419" s="7" t="str">
        <f>'Ingest Template'!Q419</f>
        <v/>
      </c>
      <c r="K419" s="5" t="str">
        <f>'Ingest Template'!R419</f>
        <v/>
      </c>
      <c r="L419" s="8" t="s">
        <v>38</v>
      </c>
      <c r="M419" s="9"/>
      <c r="N419" s="5"/>
      <c r="O419" s="5"/>
      <c r="P419" s="5"/>
      <c r="Q419" s="5"/>
      <c r="R419" s="5" t="str">
        <f>'Ingest Template'!D419</f>
        <v/>
      </c>
      <c r="S419" s="5" t="str">
        <f>'Ingest Template'!G419</f>
        <v/>
      </c>
      <c r="T419" s="5" t="str">
        <f>'Ingest Template'!H419</f>
        <v/>
      </c>
      <c r="U419" s="5" t="str">
        <f>LOWER(SUBSTITUTE(SUBSTITUTE(SUBSTITUTE(SUBSTITUTE(SUBSTITUTE('Ingest Template'!I419,"https:",""),"www.",""),"/",""),"?hl=en",""),"instagram.com",""))</f>
        <v/>
      </c>
      <c r="V419" s="10" t="str">
        <f>'Ingest Template'!J419</f>
        <v/>
      </c>
      <c r="W419" s="10" t="str">
        <f>'Ingest Template'!K419</f>
        <v/>
      </c>
      <c r="X419" s="5"/>
      <c r="Y419" s="5" t="str">
        <f>SUBSTITUTE(SUBSTITUTE(SUBSTITUTE('Ingest Template'!L419,"http:",""),"https:",""),"/","")</f>
        <v/>
      </c>
      <c r="Z419" s="5" t="str">
        <f t="array" ref="Z419">IF('Ingest Template'!A419="Standard",(IF(ISBLANK('Ingest Template'!M419),"", 'Ingest Template'!M419&amp;"|DAR")),(IF(ISBLANK('Ingest Template'!M419),"", 'Ingest Template'!M419&amp;"|Operations - Core Title")))</f>
        <v/>
      </c>
      <c r="AA419" s="5"/>
      <c r="AB419" s="5" t="str">
        <f>'Ingest Template'!F419</f>
        <v/>
      </c>
      <c r="AC419" s="5"/>
      <c r="AD419" s="5"/>
      <c r="AE419" s="5"/>
      <c r="AF419" s="8"/>
      <c r="AG419" s="5" t="str">
        <f t="array" ref="AG419">IF('Ingest Template'!A419="Standard",(CONCATENATE(IF(ISBLANK('Ingest Template'!N419),"", 'Ingest Template'!N419&amp;"|DAR"),CHAR(10), IF(ISBLANK('Ingest Template'!O419),"", 'Ingest Template'!O419&amp;"|DAR"),CHAR(10), IF(ISBLANK('Ingest Template'!P419),"", 'Ingest Template'!P419&amp;"|DAR"))),(CONCATENATE(IF(ISBLANK('Ingest Template'!N419),"", 'Ingest Template'!N419&amp;"|Operations - Core Title"),CHAR(10), IF(ISBLANK('Ingest Template'!O419),"", 'Ingest Template'!O419&amp;"|Operations - Core Title"),CHAR(10), IF(ISBLANK('Ingest Template'!P419),"", 'Ingest Template'!P419&amp;"|Operations - Core Title"))))</f>
        <v>#|Operations - Core Title
</v>
      </c>
      <c r="AH419" s="5"/>
      <c r="AI419" s="5"/>
      <c r="AJ419" s="5"/>
      <c r="AK419" s="5"/>
      <c r="AL419" s="5"/>
    </row>
    <row r="420">
      <c r="A420" s="5"/>
      <c r="B420" s="5" t="str">
        <f>'Ingest Template'!B420&amp;IF('Ingest Template'!A420 = "Standard", " - DAR","")</f>
        <v/>
      </c>
      <c r="C420" s="6" t="str">
        <f>'Ingest Template'!C420</f>
        <v/>
      </c>
      <c r="D420" s="7" t="str">
        <f>'Ingest Template'!E420</f>
        <v/>
      </c>
      <c r="E420" s="5"/>
      <c r="F420" s="5"/>
      <c r="G420" s="5"/>
      <c r="H420" s="7"/>
      <c r="I420" s="5"/>
      <c r="J420" s="7" t="str">
        <f>'Ingest Template'!Q420</f>
        <v/>
      </c>
      <c r="K420" s="5" t="str">
        <f>'Ingest Template'!R420</f>
        <v/>
      </c>
      <c r="L420" s="8" t="s">
        <v>38</v>
      </c>
      <c r="M420" s="9"/>
      <c r="N420" s="5"/>
      <c r="O420" s="5"/>
      <c r="P420" s="5"/>
      <c r="Q420" s="5"/>
      <c r="R420" s="5" t="str">
        <f>'Ingest Template'!D420</f>
        <v/>
      </c>
      <c r="S420" s="5" t="str">
        <f>'Ingest Template'!G420</f>
        <v/>
      </c>
      <c r="T420" s="5" t="str">
        <f>'Ingest Template'!H420</f>
        <v/>
      </c>
      <c r="U420" s="5" t="str">
        <f>LOWER(SUBSTITUTE(SUBSTITUTE(SUBSTITUTE(SUBSTITUTE(SUBSTITUTE('Ingest Template'!I420,"https:",""),"www.",""),"/",""),"?hl=en",""),"instagram.com",""))</f>
        <v/>
      </c>
      <c r="V420" s="10" t="str">
        <f>'Ingest Template'!J420</f>
        <v/>
      </c>
      <c r="W420" s="10" t="str">
        <f>'Ingest Template'!K420</f>
        <v/>
      </c>
      <c r="X420" s="5"/>
      <c r="Y420" s="5" t="str">
        <f>SUBSTITUTE(SUBSTITUTE(SUBSTITUTE('Ingest Template'!L420,"http:",""),"https:",""),"/","")</f>
        <v/>
      </c>
      <c r="Z420" s="5" t="str">
        <f t="array" ref="Z420">IF('Ingest Template'!A420="Standard",(IF(ISBLANK('Ingest Template'!M420),"", 'Ingest Template'!M420&amp;"|DAR")),(IF(ISBLANK('Ingest Template'!M420),"", 'Ingest Template'!M420&amp;"|Operations - Core Title")))</f>
        <v/>
      </c>
      <c r="AA420" s="5"/>
      <c r="AB420" s="5" t="str">
        <f>'Ingest Template'!F420</f>
        <v/>
      </c>
      <c r="AC420" s="5"/>
      <c r="AD420" s="5"/>
      <c r="AE420" s="5"/>
      <c r="AF420" s="8"/>
      <c r="AG420" s="5" t="str">
        <f t="array" ref="AG420">IF('Ingest Template'!A420="Standard",(CONCATENATE(IF(ISBLANK('Ingest Template'!N420),"", 'Ingest Template'!N420&amp;"|DAR"),CHAR(10), IF(ISBLANK('Ingest Template'!O420),"", 'Ingest Template'!O420&amp;"|DAR"),CHAR(10), IF(ISBLANK('Ingest Template'!P420),"", 'Ingest Template'!P420&amp;"|DAR"))),(CONCATENATE(IF(ISBLANK('Ingest Template'!N420),"", 'Ingest Template'!N420&amp;"|Operations - Core Title"),CHAR(10), IF(ISBLANK('Ingest Template'!O420),"", 'Ingest Template'!O420&amp;"|Operations - Core Title"),CHAR(10), IF(ISBLANK('Ingest Template'!P420),"", 'Ingest Template'!P420&amp;"|Operations - Core Title"))))</f>
        <v>#|Operations - Core Title
</v>
      </c>
      <c r="AH420" s="5"/>
      <c r="AI420" s="5"/>
      <c r="AJ420" s="5"/>
      <c r="AK420" s="5"/>
      <c r="AL420" s="5"/>
    </row>
    <row r="421">
      <c r="A421" s="5"/>
      <c r="B421" s="5" t="str">
        <f>'Ingest Template'!B421&amp;IF('Ingest Template'!A421 = "Standard", " - DAR","")</f>
        <v/>
      </c>
      <c r="C421" s="6" t="str">
        <f>'Ingest Template'!C421</f>
        <v/>
      </c>
      <c r="D421" s="7" t="str">
        <f>'Ingest Template'!E421</f>
        <v/>
      </c>
      <c r="E421" s="5"/>
      <c r="F421" s="5"/>
      <c r="G421" s="5"/>
      <c r="H421" s="7"/>
      <c r="I421" s="5"/>
      <c r="J421" s="7" t="str">
        <f>'Ingest Template'!Q421</f>
        <v/>
      </c>
      <c r="K421" s="5" t="str">
        <f>'Ingest Template'!R421</f>
        <v/>
      </c>
      <c r="L421" s="8" t="s">
        <v>38</v>
      </c>
      <c r="M421" s="9"/>
      <c r="N421" s="5"/>
      <c r="O421" s="5"/>
      <c r="P421" s="5"/>
      <c r="Q421" s="5"/>
      <c r="R421" s="5" t="str">
        <f>'Ingest Template'!D421</f>
        <v/>
      </c>
      <c r="S421" s="5" t="str">
        <f>'Ingest Template'!G421</f>
        <v/>
      </c>
      <c r="T421" s="5" t="str">
        <f>'Ingest Template'!H421</f>
        <v/>
      </c>
      <c r="U421" s="5" t="str">
        <f>LOWER(SUBSTITUTE(SUBSTITUTE(SUBSTITUTE(SUBSTITUTE(SUBSTITUTE('Ingest Template'!I421,"https:",""),"www.",""),"/",""),"?hl=en",""),"instagram.com",""))</f>
        <v/>
      </c>
      <c r="V421" s="10" t="str">
        <f>'Ingest Template'!J421</f>
        <v/>
      </c>
      <c r="W421" s="10" t="str">
        <f>'Ingest Template'!K421</f>
        <v/>
      </c>
      <c r="X421" s="5"/>
      <c r="Y421" s="5" t="str">
        <f>SUBSTITUTE(SUBSTITUTE(SUBSTITUTE('Ingest Template'!L421,"http:",""),"https:",""),"/","")</f>
        <v/>
      </c>
      <c r="Z421" s="5" t="str">
        <f t="array" ref="Z421">IF('Ingest Template'!A421="Standard",(IF(ISBLANK('Ingest Template'!M421),"", 'Ingest Template'!M421&amp;"|DAR")),(IF(ISBLANK('Ingest Template'!M421),"", 'Ingest Template'!M421&amp;"|Operations - Core Title")))</f>
        <v/>
      </c>
      <c r="AA421" s="5"/>
      <c r="AB421" s="5" t="str">
        <f>'Ingest Template'!F421</f>
        <v/>
      </c>
      <c r="AC421" s="5"/>
      <c r="AD421" s="5"/>
      <c r="AE421" s="5"/>
      <c r="AF421" s="8"/>
      <c r="AG421" s="5" t="str">
        <f t="array" ref="AG421">IF('Ingest Template'!A421="Standard",(CONCATENATE(IF(ISBLANK('Ingest Template'!N421),"", 'Ingest Template'!N421&amp;"|DAR"),CHAR(10), IF(ISBLANK('Ingest Template'!O421),"", 'Ingest Template'!O421&amp;"|DAR"),CHAR(10), IF(ISBLANK('Ingest Template'!P421),"", 'Ingest Template'!P421&amp;"|DAR"))),(CONCATENATE(IF(ISBLANK('Ingest Template'!N421),"", 'Ingest Template'!N421&amp;"|Operations - Core Title"),CHAR(10), IF(ISBLANK('Ingest Template'!O421),"", 'Ingest Template'!O421&amp;"|Operations - Core Title"),CHAR(10), IF(ISBLANK('Ingest Template'!P421),"", 'Ingest Template'!P421&amp;"|Operations - Core Title"))))</f>
        <v>#|Operations - Core Title
</v>
      </c>
      <c r="AH421" s="5"/>
      <c r="AI421" s="5"/>
      <c r="AJ421" s="5"/>
      <c r="AK421" s="5"/>
      <c r="AL421" s="5"/>
    </row>
    <row r="422">
      <c r="A422" s="5"/>
      <c r="B422" s="5" t="str">
        <f>'Ingest Template'!B422&amp;IF('Ingest Template'!A422 = "Standard", " - DAR","")</f>
        <v/>
      </c>
      <c r="C422" s="6" t="str">
        <f>'Ingest Template'!C422</f>
        <v/>
      </c>
      <c r="D422" s="7" t="str">
        <f>'Ingest Template'!E422</f>
        <v/>
      </c>
      <c r="E422" s="5"/>
      <c r="F422" s="5"/>
      <c r="G422" s="5"/>
      <c r="H422" s="7"/>
      <c r="I422" s="5"/>
      <c r="J422" s="7" t="str">
        <f>'Ingest Template'!Q422</f>
        <v/>
      </c>
      <c r="K422" s="5" t="str">
        <f>'Ingest Template'!R422</f>
        <v/>
      </c>
      <c r="L422" s="8" t="s">
        <v>38</v>
      </c>
      <c r="M422" s="9"/>
      <c r="N422" s="5"/>
      <c r="O422" s="5"/>
      <c r="P422" s="5"/>
      <c r="Q422" s="5"/>
      <c r="R422" s="5" t="str">
        <f>'Ingest Template'!D422</f>
        <v/>
      </c>
      <c r="S422" s="5" t="str">
        <f>'Ingest Template'!G422</f>
        <v/>
      </c>
      <c r="T422" s="5" t="str">
        <f>'Ingest Template'!H422</f>
        <v/>
      </c>
      <c r="U422" s="5" t="str">
        <f>LOWER(SUBSTITUTE(SUBSTITUTE(SUBSTITUTE(SUBSTITUTE(SUBSTITUTE('Ingest Template'!I422,"https:",""),"www.",""),"/",""),"?hl=en",""),"instagram.com",""))</f>
        <v/>
      </c>
      <c r="V422" s="10" t="str">
        <f>'Ingest Template'!J422</f>
        <v/>
      </c>
      <c r="W422" s="10" t="str">
        <f>'Ingest Template'!K422</f>
        <v/>
      </c>
      <c r="X422" s="5"/>
      <c r="Y422" s="5" t="str">
        <f>SUBSTITUTE(SUBSTITUTE(SUBSTITUTE('Ingest Template'!L422,"http:",""),"https:",""),"/","")</f>
        <v/>
      </c>
      <c r="Z422" s="5" t="str">
        <f t="array" ref="Z422">IF('Ingest Template'!A422="Standard",(IF(ISBLANK('Ingest Template'!M422),"", 'Ingest Template'!M422&amp;"|DAR")),(IF(ISBLANK('Ingest Template'!M422),"", 'Ingest Template'!M422&amp;"|Operations - Core Title")))</f>
        <v/>
      </c>
      <c r="AA422" s="5"/>
      <c r="AB422" s="5" t="str">
        <f>'Ingest Template'!F422</f>
        <v/>
      </c>
      <c r="AC422" s="5"/>
      <c r="AD422" s="5"/>
      <c r="AE422" s="5"/>
      <c r="AF422" s="8"/>
      <c r="AG422" s="5" t="str">
        <f t="array" ref="AG422">IF('Ingest Template'!A422="Standard",(CONCATENATE(IF(ISBLANK('Ingest Template'!N422),"", 'Ingest Template'!N422&amp;"|DAR"),CHAR(10), IF(ISBLANK('Ingest Template'!O422),"", 'Ingest Template'!O422&amp;"|DAR"),CHAR(10), IF(ISBLANK('Ingest Template'!P422),"", 'Ingest Template'!P422&amp;"|DAR"))),(CONCATENATE(IF(ISBLANK('Ingest Template'!N422),"", 'Ingest Template'!N422&amp;"|Operations - Core Title"),CHAR(10), IF(ISBLANK('Ingest Template'!O422),"", 'Ingest Template'!O422&amp;"|Operations - Core Title"),CHAR(10), IF(ISBLANK('Ingest Template'!P422),"", 'Ingest Template'!P422&amp;"|Operations - Core Title"))))</f>
        <v>#|Operations - Core Title
</v>
      </c>
      <c r="AH422" s="5"/>
      <c r="AI422" s="5"/>
      <c r="AJ422" s="5"/>
      <c r="AK422" s="5"/>
      <c r="AL422" s="5"/>
    </row>
    <row r="423">
      <c r="A423" s="5"/>
      <c r="B423" s="5" t="str">
        <f>'Ingest Template'!B423&amp;IF('Ingest Template'!A423 = "Standard", " - DAR","")</f>
        <v/>
      </c>
      <c r="C423" s="6" t="str">
        <f>'Ingest Template'!C423</f>
        <v/>
      </c>
      <c r="D423" s="7" t="str">
        <f>'Ingest Template'!E423</f>
        <v/>
      </c>
      <c r="E423" s="5"/>
      <c r="F423" s="5"/>
      <c r="G423" s="5"/>
      <c r="H423" s="7"/>
      <c r="I423" s="5"/>
      <c r="J423" s="7" t="str">
        <f>'Ingest Template'!Q423</f>
        <v/>
      </c>
      <c r="K423" s="5" t="str">
        <f>'Ingest Template'!R423</f>
        <v/>
      </c>
      <c r="L423" s="8" t="s">
        <v>38</v>
      </c>
      <c r="M423" s="9"/>
      <c r="N423" s="5"/>
      <c r="O423" s="5"/>
      <c r="P423" s="5"/>
      <c r="Q423" s="5"/>
      <c r="R423" s="5" t="str">
        <f>'Ingest Template'!D423</f>
        <v/>
      </c>
      <c r="S423" s="5" t="str">
        <f>'Ingest Template'!G423</f>
        <v/>
      </c>
      <c r="T423" s="5" t="str">
        <f>'Ingest Template'!H423</f>
        <v/>
      </c>
      <c r="U423" s="5" t="str">
        <f>LOWER(SUBSTITUTE(SUBSTITUTE(SUBSTITUTE(SUBSTITUTE(SUBSTITUTE('Ingest Template'!I423,"https:",""),"www.",""),"/",""),"?hl=en",""),"instagram.com",""))</f>
        <v/>
      </c>
      <c r="V423" s="10" t="str">
        <f>'Ingest Template'!J423</f>
        <v/>
      </c>
      <c r="W423" s="10" t="str">
        <f>'Ingest Template'!K423</f>
        <v/>
      </c>
      <c r="X423" s="5"/>
      <c r="Y423" s="5" t="str">
        <f>SUBSTITUTE(SUBSTITUTE(SUBSTITUTE('Ingest Template'!L423,"http:",""),"https:",""),"/","")</f>
        <v/>
      </c>
      <c r="Z423" s="5" t="str">
        <f t="array" ref="Z423">IF('Ingest Template'!A423="Standard",(IF(ISBLANK('Ingest Template'!M423),"", 'Ingest Template'!M423&amp;"|DAR")),(IF(ISBLANK('Ingest Template'!M423),"", 'Ingest Template'!M423&amp;"|Operations - Core Title")))</f>
        <v/>
      </c>
      <c r="AA423" s="5"/>
      <c r="AB423" s="5" t="str">
        <f>'Ingest Template'!F423</f>
        <v/>
      </c>
      <c r="AC423" s="5"/>
      <c r="AD423" s="5"/>
      <c r="AE423" s="5"/>
      <c r="AF423" s="8"/>
      <c r="AG423" s="5" t="str">
        <f t="array" ref="AG423">IF('Ingest Template'!A423="Standard",(CONCATENATE(IF(ISBLANK('Ingest Template'!N423),"", 'Ingest Template'!N423&amp;"|DAR"),CHAR(10), IF(ISBLANK('Ingest Template'!O423),"", 'Ingest Template'!O423&amp;"|DAR"),CHAR(10), IF(ISBLANK('Ingest Template'!P423),"", 'Ingest Template'!P423&amp;"|DAR"))),(CONCATENATE(IF(ISBLANK('Ingest Template'!N423),"", 'Ingest Template'!N423&amp;"|Operations - Core Title"),CHAR(10), IF(ISBLANK('Ingest Template'!O423),"", 'Ingest Template'!O423&amp;"|Operations - Core Title"),CHAR(10), IF(ISBLANK('Ingest Template'!P423),"", 'Ingest Template'!P423&amp;"|Operations - Core Title"))))</f>
        <v>#|Operations - Core Title
</v>
      </c>
      <c r="AH423" s="5"/>
      <c r="AI423" s="5"/>
      <c r="AJ423" s="5"/>
      <c r="AK423" s="5"/>
      <c r="AL423" s="5"/>
    </row>
    <row r="424">
      <c r="A424" s="5"/>
      <c r="B424" s="5" t="str">
        <f>'Ingest Template'!B424&amp;IF('Ingest Template'!A424 = "Standard", " - DAR","")</f>
        <v/>
      </c>
      <c r="C424" s="6" t="str">
        <f>'Ingest Template'!C424</f>
        <v/>
      </c>
      <c r="D424" s="7" t="str">
        <f>'Ingest Template'!E424</f>
        <v/>
      </c>
      <c r="E424" s="5"/>
      <c r="F424" s="5"/>
      <c r="G424" s="5"/>
      <c r="H424" s="7"/>
      <c r="I424" s="5"/>
      <c r="J424" s="7" t="str">
        <f>'Ingest Template'!Q424</f>
        <v/>
      </c>
      <c r="K424" s="5" t="str">
        <f>'Ingest Template'!R424</f>
        <v/>
      </c>
      <c r="L424" s="8" t="s">
        <v>38</v>
      </c>
      <c r="M424" s="9"/>
      <c r="N424" s="5"/>
      <c r="O424" s="5"/>
      <c r="P424" s="5"/>
      <c r="Q424" s="5"/>
      <c r="R424" s="5" t="str">
        <f>'Ingest Template'!D424</f>
        <v/>
      </c>
      <c r="S424" s="5" t="str">
        <f>'Ingest Template'!G424</f>
        <v/>
      </c>
      <c r="T424" s="5" t="str">
        <f>'Ingest Template'!H424</f>
        <v/>
      </c>
      <c r="U424" s="5" t="str">
        <f>LOWER(SUBSTITUTE(SUBSTITUTE(SUBSTITUTE(SUBSTITUTE(SUBSTITUTE('Ingest Template'!I424,"https:",""),"www.",""),"/",""),"?hl=en",""),"instagram.com",""))</f>
        <v/>
      </c>
      <c r="V424" s="10" t="str">
        <f>'Ingest Template'!J424</f>
        <v/>
      </c>
      <c r="W424" s="10" t="str">
        <f>'Ingest Template'!K424</f>
        <v/>
      </c>
      <c r="X424" s="5"/>
      <c r="Y424" s="5" t="str">
        <f>SUBSTITUTE(SUBSTITUTE(SUBSTITUTE('Ingest Template'!L424,"http:",""),"https:",""),"/","")</f>
        <v/>
      </c>
      <c r="Z424" s="5" t="str">
        <f t="array" ref="Z424">IF('Ingest Template'!A424="Standard",(IF(ISBLANK('Ingest Template'!M424),"", 'Ingest Template'!M424&amp;"|DAR")),(IF(ISBLANK('Ingest Template'!M424),"", 'Ingest Template'!M424&amp;"|Operations - Core Title")))</f>
        <v/>
      </c>
      <c r="AA424" s="5"/>
      <c r="AB424" s="5" t="str">
        <f>'Ingest Template'!F424</f>
        <v/>
      </c>
      <c r="AC424" s="5"/>
      <c r="AD424" s="5"/>
      <c r="AE424" s="5"/>
      <c r="AF424" s="8"/>
      <c r="AG424" s="5" t="str">
        <f t="array" ref="AG424">IF('Ingest Template'!A424="Standard",(CONCATENATE(IF(ISBLANK('Ingest Template'!N424),"", 'Ingest Template'!N424&amp;"|DAR"),CHAR(10), IF(ISBLANK('Ingest Template'!O424),"", 'Ingest Template'!O424&amp;"|DAR"),CHAR(10), IF(ISBLANK('Ingest Template'!P424),"", 'Ingest Template'!P424&amp;"|DAR"))),(CONCATENATE(IF(ISBLANK('Ingest Template'!N424),"", 'Ingest Template'!N424&amp;"|Operations - Core Title"),CHAR(10), IF(ISBLANK('Ingest Template'!O424),"", 'Ingest Template'!O424&amp;"|Operations - Core Title"),CHAR(10), IF(ISBLANK('Ingest Template'!P424),"", 'Ingest Template'!P424&amp;"|Operations - Core Title"))))</f>
        <v>#|Operations - Core Title
</v>
      </c>
      <c r="AH424" s="5"/>
      <c r="AI424" s="5"/>
      <c r="AJ424" s="5"/>
      <c r="AK424" s="5"/>
      <c r="AL424" s="5"/>
    </row>
    <row r="425">
      <c r="A425" s="5"/>
      <c r="B425" s="5" t="str">
        <f>'Ingest Template'!B425&amp;IF('Ingest Template'!A425 = "Standard", " - DAR","")</f>
        <v/>
      </c>
      <c r="C425" s="6" t="str">
        <f>'Ingest Template'!C425</f>
        <v/>
      </c>
      <c r="D425" s="7" t="str">
        <f>'Ingest Template'!E425</f>
        <v/>
      </c>
      <c r="E425" s="5"/>
      <c r="F425" s="5"/>
      <c r="G425" s="5"/>
      <c r="H425" s="7"/>
      <c r="I425" s="5"/>
      <c r="J425" s="7" t="str">
        <f>'Ingest Template'!Q425</f>
        <v/>
      </c>
      <c r="K425" s="5" t="str">
        <f>'Ingest Template'!R425</f>
        <v/>
      </c>
      <c r="L425" s="8" t="s">
        <v>38</v>
      </c>
      <c r="M425" s="9"/>
      <c r="N425" s="5"/>
      <c r="O425" s="5"/>
      <c r="P425" s="5"/>
      <c r="Q425" s="5"/>
      <c r="R425" s="5" t="str">
        <f>'Ingest Template'!D425</f>
        <v/>
      </c>
      <c r="S425" s="5" t="str">
        <f>'Ingest Template'!G425</f>
        <v/>
      </c>
      <c r="T425" s="5" t="str">
        <f>'Ingest Template'!H425</f>
        <v/>
      </c>
      <c r="U425" s="5" t="str">
        <f>LOWER(SUBSTITUTE(SUBSTITUTE(SUBSTITUTE(SUBSTITUTE(SUBSTITUTE('Ingest Template'!I425,"https:",""),"www.",""),"/",""),"?hl=en",""),"instagram.com",""))</f>
        <v/>
      </c>
      <c r="V425" s="10" t="str">
        <f>'Ingest Template'!J425</f>
        <v/>
      </c>
      <c r="W425" s="10" t="str">
        <f>'Ingest Template'!K425</f>
        <v/>
      </c>
      <c r="X425" s="5"/>
      <c r="Y425" s="5" t="str">
        <f>SUBSTITUTE(SUBSTITUTE(SUBSTITUTE('Ingest Template'!L425,"http:",""),"https:",""),"/","")</f>
        <v/>
      </c>
      <c r="Z425" s="5" t="str">
        <f t="array" ref="Z425">IF('Ingest Template'!A425="Standard",(IF(ISBLANK('Ingest Template'!M425),"", 'Ingest Template'!M425&amp;"|DAR")),(IF(ISBLANK('Ingest Template'!M425),"", 'Ingest Template'!M425&amp;"|Operations - Core Title")))</f>
        <v/>
      </c>
      <c r="AA425" s="5"/>
      <c r="AB425" s="5" t="str">
        <f>'Ingest Template'!F425</f>
        <v/>
      </c>
      <c r="AC425" s="5"/>
      <c r="AD425" s="5"/>
      <c r="AE425" s="5"/>
      <c r="AF425" s="8"/>
      <c r="AG425" s="5" t="str">
        <f t="array" ref="AG425">IF('Ingest Template'!A425="Standard",(CONCATENATE(IF(ISBLANK('Ingest Template'!N425),"", 'Ingest Template'!N425&amp;"|DAR"),CHAR(10), IF(ISBLANK('Ingest Template'!O425),"", 'Ingest Template'!O425&amp;"|DAR"),CHAR(10), IF(ISBLANK('Ingest Template'!P425),"", 'Ingest Template'!P425&amp;"|DAR"))),(CONCATENATE(IF(ISBLANK('Ingest Template'!N425),"", 'Ingest Template'!N425&amp;"|Operations - Core Title"),CHAR(10), IF(ISBLANK('Ingest Template'!O425),"", 'Ingest Template'!O425&amp;"|Operations - Core Title"),CHAR(10), IF(ISBLANK('Ingest Template'!P425),"", 'Ingest Template'!P425&amp;"|Operations - Core Title"))))</f>
        <v>#|Operations - Core Title
</v>
      </c>
      <c r="AH425" s="5"/>
      <c r="AI425" s="5"/>
      <c r="AJ425" s="5"/>
      <c r="AK425" s="5"/>
      <c r="AL425" s="5"/>
    </row>
    <row r="426">
      <c r="A426" s="5"/>
      <c r="B426" s="5" t="str">
        <f>'Ingest Template'!B426&amp;IF('Ingest Template'!A426 = "Standard", " - DAR","")</f>
        <v/>
      </c>
      <c r="C426" s="6" t="str">
        <f>'Ingest Template'!C426</f>
        <v/>
      </c>
      <c r="D426" s="7" t="str">
        <f>'Ingest Template'!E426</f>
        <v/>
      </c>
      <c r="E426" s="5"/>
      <c r="F426" s="5"/>
      <c r="G426" s="5"/>
      <c r="H426" s="7"/>
      <c r="I426" s="5"/>
      <c r="J426" s="7" t="str">
        <f>'Ingest Template'!Q426</f>
        <v/>
      </c>
      <c r="K426" s="5" t="str">
        <f>'Ingest Template'!R426</f>
        <v/>
      </c>
      <c r="L426" s="8" t="s">
        <v>38</v>
      </c>
      <c r="M426" s="9"/>
      <c r="N426" s="5"/>
      <c r="O426" s="5"/>
      <c r="P426" s="5"/>
      <c r="Q426" s="5"/>
      <c r="R426" s="5" t="str">
        <f>'Ingest Template'!D426</f>
        <v/>
      </c>
      <c r="S426" s="5" t="str">
        <f>'Ingest Template'!G426</f>
        <v/>
      </c>
      <c r="T426" s="5" t="str">
        <f>'Ingest Template'!H426</f>
        <v/>
      </c>
      <c r="U426" s="5" t="str">
        <f>LOWER(SUBSTITUTE(SUBSTITUTE(SUBSTITUTE(SUBSTITUTE(SUBSTITUTE('Ingest Template'!I426,"https:",""),"www.",""),"/",""),"?hl=en",""),"instagram.com",""))</f>
        <v/>
      </c>
      <c r="V426" s="10" t="str">
        <f>'Ingest Template'!J426</f>
        <v/>
      </c>
      <c r="W426" s="10" t="str">
        <f>'Ingest Template'!K426</f>
        <v/>
      </c>
      <c r="X426" s="5"/>
      <c r="Y426" s="5" t="str">
        <f>SUBSTITUTE(SUBSTITUTE(SUBSTITUTE('Ingest Template'!L426,"http:",""),"https:",""),"/","")</f>
        <v/>
      </c>
      <c r="Z426" s="5" t="str">
        <f t="array" ref="Z426">IF('Ingest Template'!A426="Standard",(IF(ISBLANK('Ingest Template'!M426),"", 'Ingest Template'!M426&amp;"|DAR")),(IF(ISBLANK('Ingest Template'!M426),"", 'Ingest Template'!M426&amp;"|Operations - Core Title")))</f>
        <v/>
      </c>
      <c r="AA426" s="5"/>
      <c r="AB426" s="5" t="str">
        <f>'Ingest Template'!F426</f>
        <v/>
      </c>
      <c r="AC426" s="5"/>
      <c r="AD426" s="5"/>
      <c r="AE426" s="5"/>
      <c r="AF426" s="8"/>
      <c r="AG426" s="5" t="str">
        <f t="array" ref="AG426">IF('Ingest Template'!A426="Standard",(CONCATENATE(IF(ISBLANK('Ingest Template'!N426),"", 'Ingest Template'!N426&amp;"|DAR"),CHAR(10), IF(ISBLANK('Ingest Template'!O426),"", 'Ingest Template'!O426&amp;"|DAR"),CHAR(10), IF(ISBLANK('Ingest Template'!P426),"", 'Ingest Template'!P426&amp;"|DAR"))),(CONCATENATE(IF(ISBLANK('Ingest Template'!N426),"", 'Ingest Template'!N426&amp;"|Operations - Core Title"),CHAR(10), IF(ISBLANK('Ingest Template'!O426),"", 'Ingest Template'!O426&amp;"|Operations - Core Title"),CHAR(10), IF(ISBLANK('Ingest Template'!P426),"", 'Ingest Template'!P426&amp;"|Operations - Core Title"))))</f>
        <v>#|Operations - Core Title
</v>
      </c>
      <c r="AH426" s="5"/>
      <c r="AI426" s="5"/>
      <c r="AJ426" s="5"/>
      <c r="AK426" s="5"/>
      <c r="AL426" s="5"/>
    </row>
    <row r="427">
      <c r="A427" s="5"/>
      <c r="B427" s="5" t="str">
        <f>'Ingest Template'!B427&amp;IF('Ingest Template'!A427 = "Standard", " - DAR","")</f>
        <v/>
      </c>
      <c r="C427" s="6" t="str">
        <f>'Ingest Template'!C427</f>
        <v/>
      </c>
      <c r="D427" s="7" t="str">
        <f>'Ingest Template'!E427</f>
        <v/>
      </c>
      <c r="E427" s="5"/>
      <c r="F427" s="5"/>
      <c r="G427" s="5"/>
      <c r="H427" s="7"/>
      <c r="I427" s="5"/>
      <c r="J427" s="7" t="str">
        <f>'Ingest Template'!Q427</f>
        <v/>
      </c>
      <c r="K427" s="5" t="str">
        <f>'Ingest Template'!R427</f>
        <v/>
      </c>
      <c r="L427" s="8" t="s">
        <v>38</v>
      </c>
      <c r="M427" s="9"/>
      <c r="N427" s="5"/>
      <c r="O427" s="5"/>
      <c r="P427" s="5"/>
      <c r="Q427" s="5"/>
      <c r="R427" s="5" t="str">
        <f>'Ingest Template'!D427</f>
        <v/>
      </c>
      <c r="S427" s="5" t="str">
        <f>'Ingest Template'!G427</f>
        <v/>
      </c>
      <c r="T427" s="5" t="str">
        <f>'Ingest Template'!H427</f>
        <v/>
      </c>
      <c r="U427" s="5" t="str">
        <f>LOWER(SUBSTITUTE(SUBSTITUTE(SUBSTITUTE(SUBSTITUTE(SUBSTITUTE('Ingest Template'!I427,"https:",""),"www.",""),"/",""),"?hl=en",""),"instagram.com",""))</f>
        <v/>
      </c>
      <c r="V427" s="10" t="str">
        <f>'Ingest Template'!J427</f>
        <v/>
      </c>
      <c r="W427" s="10" t="str">
        <f>'Ingest Template'!K427</f>
        <v/>
      </c>
      <c r="X427" s="5"/>
      <c r="Y427" s="5" t="str">
        <f>SUBSTITUTE(SUBSTITUTE(SUBSTITUTE('Ingest Template'!L427,"http:",""),"https:",""),"/","")</f>
        <v/>
      </c>
      <c r="Z427" s="5" t="str">
        <f t="array" ref="Z427">IF('Ingest Template'!A427="Standard",(IF(ISBLANK('Ingest Template'!M427),"", 'Ingest Template'!M427&amp;"|DAR")),(IF(ISBLANK('Ingest Template'!M427),"", 'Ingest Template'!M427&amp;"|Operations - Core Title")))</f>
        <v/>
      </c>
      <c r="AA427" s="5"/>
      <c r="AB427" s="5" t="str">
        <f>'Ingest Template'!F427</f>
        <v/>
      </c>
      <c r="AC427" s="5"/>
      <c r="AD427" s="5"/>
      <c r="AE427" s="5"/>
      <c r="AF427" s="8"/>
      <c r="AG427" s="5" t="str">
        <f t="array" ref="AG427">IF('Ingest Template'!A427="Standard",(CONCATENATE(IF(ISBLANK('Ingest Template'!N427),"", 'Ingest Template'!N427&amp;"|DAR"),CHAR(10), IF(ISBLANK('Ingest Template'!O427),"", 'Ingest Template'!O427&amp;"|DAR"),CHAR(10), IF(ISBLANK('Ingest Template'!P427),"", 'Ingest Template'!P427&amp;"|DAR"))),(CONCATENATE(IF(ISBLANK('Ingest Template'!N427),"", 'Ingest Template'!N427&amp;"|Operations - Core Title"),CHAR(10), IF(ISBLANK('Ingest Template'!O427),"", 'Ingest Template'!O427&amp;"|Operations - Core Title"),CHAR(10), IF(ISBLANK('Ingest Template'!P427),"", 'Ingest Template'!P427&amp;"|Operations - Core Title"))))</f>
        <v>#|Operations - Core Title
</v>
      </c>
      <c r="AH427" s="5"/>
      <c r="AI427" s="5"/>
      <c r="AJ427" s="5"/>
      <c r="AK427" s="5"/>
      <c r="AL427" s="5"/>
    </row>
    <row r="428">
      <c r="A428" s="5"/>
      <c r="B428" s="5" t="str">
        <f>'Ingest Template'!B428&amp;IF('Ingest Template'!A428 = "Standard", " - DAR","")</f>
        <v/>
      </c>
      <c r="C428" s="6" t="str">
        <f>'Ingest Template'!C428</f>
        <v/>
      </c>
      <c r="D428" s="7" t="str">
        <f>'Ingest Template'!E428</f>
        <v/>
      </c>
      <c r="E428" s="5"/>
      <c r="F428" s="5"/>
      <c r="G428" s="5"/>
      <c r="H428" s="7"/>
      <c r="I428" s="5"/>
      <c r="J428" s="7" t="str">
        <f>'Ingest Template'!Q428</f>
        <v/>
      </c>
      <c r="K428" s="5" t="str">
        <f>'Ingest Template'!R428</f>
        <v/>
      </c>
      <c r="L428" s="8" t="s">
        <v>38</v>
      </c>
      <c r="M428" s="9"/>
      <c r="N428" s="5"/>
      <c r="O428" s="5"/>
      <c r="P428" s="5"/>
      <c r="Q428" s="5"/>
      <c r="R428" s="5" t="str">
        <f>'Ingest Template'!D428</f>
        <v/>
      </c>
      <c r="S428" s="5" t="str">
        <f>'Ingest Template'!G428</f>
        <v/>
      </c>
      <c r="T428" s="5" t="str">
        <f>'Ingest Template'!H428</f>
        <v/>
      </c>
      <c r="U428" s="5" t="str">
        <f>LOWER(SUBSTITUTE(SUBSTITUTE(SUBSTITUTE(SUBSTITUTE(SUBSTITUTE('Ingest Template'!I428,"https:",""),"www.",""),"/",""),"?hl=en",""),"instagram.com",""))</f>
        <v/>
      </c>
      <c r="V428" s="10" t="str">
        <f>'Ingest Template'!J428</f>
        <v/>
      </c>
      <c r="W428" s="10" t="str">
        <f>'Ingest Template'!K428</f>
        <v/>
      </c>
      <c r="X428" s="5"/>
      <c r="Y428" s="5" t="str">
        <f>SUBSTITUTE(SUBSTITUTE(SUBSTITUTE('Ingest Template'!L428,"http:",""),"https:",""),"/","")</f>
        <v/>
      </c>
      <c r="Z428" s="5" t="str">
        <f t="array" ref="Z428">IF('Ingest Template'!A428="Standard",(IF(ISBLANK('Ingest Template'!M428),"", 'Ingest Template'!M428&amp;"|DAR")),(IF(ISBLANK('Ingest Template'!M428),"", 'Ingest Template'!M428&amp;"|Operations - Core Title")))</f>
        <v/>
      </c>
      <c r="AA428" s="5"/>
      <c r="AB428" s="5" t="str">
        <f>'Ingest Template'!F428</f>
        <v/>
      </c>
      <c r="AC428" s="5"/>
      <c r="AD428" s="5"/>
      <c r="AE428" s="5"/>
      <c r="AF428" s="8"/>
      <c r="AG428" s="5" t="str">
        <f t="array" ref="AG428">IF('Ingest Template'!A428="Standard",(CONCATENATE(IF(ISBLANK('Ingest Template'!N428),"", 'Ingest Template'!N428&amp;"|DAR"),CHAR(10), IF(ISBLANK('Ingest Template'!O428),"", 'Ingest Template'!O428&amp;"|DAR"),CHAR(10), IF(ISBLANK('Ingest Template'!P428),"", 'Ingest Template'!P428&amp;"|DAR"))),(CONCATENATE(IF(ISBLANK('Ingest Template'!N428),"", 'Ingest Template'!N428&amp;"|Operations - Core Title"),CHAR(10), IF(ISBLANK('Ingest Template'!O428),"", 'Ingest Template'!O428&amp;"|Operations - Core Title"),CHAR(10), IF(ISBLANK('Ingest Template'!P428),"", 'Ingest Template'!P428&amp;"|Operations - Core Title"))))</f>
        <v>#|Operations - Core Title
</v>
      </c>
      <c r="AH428" s="5"/>
      <c r="AI428" s="5"/>
      <c r="AJ428" s="5"/>
      <c r="AK428" s="5"/>
      <c r="AL428" s="5"/>
    </row>
    <row r="429">
      <c r="A429" s="5"/>
      <c r="B429" s="5" t="str">
        <f>'Ingest Template'!B429&amp;IF('Ingest Template'!A429 = "Standard", " - DAR","")</f>
        <v/>
      </c>
      <c r="C429" s="6" t="str">
        <f>'Ingest Template'!C429</f>
        <v/>
      </c>
      <c r="D429" s="7" t="str">
        <f>'Ingest Template'!E429</f>
        <v/>
      </c>
      <c r="E429" s="5"/>
      <c r="F429" s="5"/>
      <c r="G429" s="5"/>
      <c r="H429" s="7"/>
      <c r="I429" s="5"/>
      <c r="J429" s="7" t="str">
        <f>'Ingest Template'!Q429</f>
        <v/>
      </c>
      <c r="K429" s="5" t="str">
        <f>'Ingest Template'!R429</f>
        <v/>
      </c>
      <c r="L429" s="8" t="s">
        <v>38</v>
      </c>
      <c r="M429" s="9"/>
      <c r="N429" s="5"/>
      <c r="O429" s="5"/>
      <c r="P429" s="5"/>
      <c r="Q429" s="5"/>
      <c r="R429" s="5" t="str">
        <f>'Ingest Template'!D429</f>
        <v/>
      </c>
      <c r="S429" s="5" t="str">
        <f>'Ingest Template'!G429</f>
        <v/>
      </c>
      <c r="T429" s="5" t="str">
        <f>'Ingest Template'!H429</f>
        <v/>
      </c>
      <c r="U429" s="5" t="str">
        <f>LOWER(SUBSTITUTE(SUBSTITUTE(SUBSTITUTE(SUBSTITUTE(SUBSTITUTE('Ingest Template'!I429,"https:",""),"www.",""),"/",""),"?hl=en",""),"instagram.com",""))</f>
        <v/>
      </c>
      <c r="V429" s="10" t="str">
        <f>'Ingest Template'!J429</f>
        <v/>
      </c>
      <c r="W429" s="10" t="str">
        <f>'Ingest Template'!K429</f>
        <v/>
      </c>
      <c r="X429" s="5"/>
      <c r="Y429" s="5" t="str">
        <f>SUBSTITUTE(SUBSTITUTE(SUBSTITUTE('Ingest Template'!L429,"http:",""),"https:",""),"/","")</f>
        <v/>
      </c>
      <c r="Z429" s="5" t="str">
        <f t="array" ref="Z429">IF('Ingest Template'!A429="Standard",(IF(ISBLANK('Ingest Template'!M429),"", 'Ingest Template'!M429&amp;"|DAR")),(IF(ISBLANK('Ingest Template'!M429),"", 'Ingest Template'!M429&amp;"|Operations - Core Title")))</f>
        <v/>
      </c>
      <c r="AA429" s="5"/>
      <c r="AB429" s="5" t="str">
        <f>'Ingest Template'!F429</f>
        <v/>
      </c>
      <c r="AC429" s="5"/>
      <c r="AD429" s="5"/>
      <c r="AE429" s="5"/>
      <c r="AF429" s="8"/>
      <c r="AG429" s="5" t="str">
        <f t="array" ref="AG429">IF('Ingest Template'!A429="Standard",(CONCATENATE(IF(ISBLANK('Ingest Template'!N429),"", 'Ingest Template'!N429&amp;"|DAR"),CHAR(10), IF(ISBLANK('Ingest Template'!O429),"", 'Ingest Template'!O429&amp;"|DAR"),CHAR(10), IF(ISBLANK('Ingest Template'!P429),"", 'Ingest Template'!P429&amp;"|DAR"))),(CONCATENATE(IF(ISBLANK('Ingest Template'!N429),"", 'Ingest Template'!N429&amp;"|Operations - Core Title"),CHAR(10), IF(ISBLANK('Ingest Template'!O429),"", 'Ingest Template'!O429&amp;"|Operations - Core Title"),CHAR(10), IF(ISBLANK('Ingest Template'!P429),"", 'Ingest Template'!P429&amp;"|Operations - Core Title"))))</f>
        <v>#|Operations - Core Title
</v>
      </c>
      <c r="AH429" s="5"/>
      <c r="AI429" s="5"/>
      <c r="AJ429" s="5"/>
      <c r="AK429" s="5"/>
      <c r="AL429" s="5"/>
    </row>
    <row r="430">
      <c r="A430" s="5"/>
      <c r="B430" s="5" t="str">
        <f>'Ingest Template'!B430&amp;IF('Ingest Template'!A430 = "Standard", " - DAR","")</f>
        <v/>
      </c>
      <c r="C430" s="6" t="str">
        <f>'Ingest Template'!C430</f>
        <v/>
      </c>
      <c r="D430" s="7" t="str">
        <f>'Ingest Template'!E430</f>
        <v/>
      </c>
      <c r="E430" s="5"/>
      <c r="F430" s="5"/>
      <c r="G430" s="5"/>
      <c r="H430" s="7"/>
      <c r="I430" s="5"/>
      <c r="J430" s="7" t="str">
        <f>'Ingest Template'!Q430</f>
        <v/>
      </c>
      <c r="K430" s="5" t="str">
        <f>'Ingest Template'!R430</f>
        <v/>
      </c>
      <c r="L430" s="8" t="s">
        <v>38</v>
      </c>
      <c r="M430" s="9"/>
      <c r="N430" s="5"/>
      <c r="O430" s="5"/>
      <c r="P430" s="5"/>
      <c r="Q430" s="5"/>
      <c r="R430" s="5" t="str">
        <f>'Ingest Template'!D430</f>
        <v/>
      </c>
      <c r="S430" s="5" t="str">
        <f>'Ingest Template'!G430</f>
        <v/>
      </c>
      <c r="T430" s="5" t="str">
        <f>'Ingest Template'!H430</f>
        <v/>
      </c>
      <c r="U430" s="5" t="str">
        <f>LOWER(SUBSTITUTE(SUBSTITUTE(SUBSTITUTE(SUBSTITUTE(SUBSTITUTE('Ingest Template'!I430,"https:",""),"www.",""),"/",""),"?hl=en",""),"instagram.com",""))</f>
        <v/>
      </c>
      <c r="V430" s="10" t="str">
        <f>'Ingest Template'!J430</f>
        <v/>
      </c>
      <c r="W430" s="10" t="str">
        <f>'Ingest Template'!K430</f>
        <v/>
      </c>
      <c r="X430" s="5"/>
      <c r="Y430" s="5" t="str">
        <f>SUBSTITUTE(SUBSTITUTE(SUBSTITUTE('Ingest Template'!L430,"http:",""),"https:",""),"/","")</f>
        <v/>
      </c>
      <c r="Z430" s="5" t="str">
        <f t="array" ref="Z430">IF('Ingest Template'!A430="Standard",(IF(ISBLANK('Ingest Template'!M430),"", 'Ingest Template'!M430&amp;"|DAR")),(IF(ISBLANK('Ingest Template'!M430),"", 'Ingest Template'!M430&amp;"|Operations - Core Title")))</f>
        <v/>
      </c>
      <c r="AA430" s="5"/>
      <c r="AB430" s="5" t="str">
        <f>'Ingest Template'!F430</f>
        <v/>
      </c>
      <c r="AC430" s="5"/>
      <c r="AD430" s="5"/>
      <c r="AE430" s="5"/>
      <c r="AF430" s="8"/>
      <c r="AG430" s="5" t="str">
        <f t="array" ref="AG430">IF('Ingest Template'!A430="Standard",(CONCATENATE(IF(ISBLANK('Ingest Template'!N430),"", 'Ingest Template'!N430&amp;"|DAR"),CHAR(10), IF(ISBLANK('Ingest Template'!O430),"", 'Ingest Template'!O430&amp;"|DAR"),CHAR(10), IF(ISBLANK('Ingest Template'!P430),"", 'Ingest Template'!P430&amp;"|DAR"))),(CONCATENATE(IF(ISBLANK('Ingest Template'!N430),"", 'Ingest Template'!N430&amp;"|Operations - Core Title"),CHAR(10), IF(ISBLANK('Ingest Template'!O430),"", 'Ingest Template'!O430&amp;"|Operations - Core Title"),CHAR(10), IF(ISBLANK('Ingest Template'!P430),"", 'Ingest Template'!P430&amp;"|Operations - Core Title"))))</f>
        <v>#|Operations - Core Title
</v>
      </c>
      <c r="AH430" s="5"/>
      <c r="AI430" s="5"/>
      <c r="AJ430" s="5"/>
      <c r="AK430" s="5"/>
      <c r="AL430" s="5"/>
    </row>
    <row r="431">
      <c r="A431" s="5"/>
      <c r="B431" s="5" t="str">
        <f>'Ingest Template'!B431&amp;IF('Ingest Template'!A431 = "Standard", " - DAR","")</f>
        <v/>
      </c>
      <c r="C431" s="6" t="str">
        <f>'Ingest Template'!C431</f>
        <v/>
      </c>
      <c r="D431" s="7" t="str">
        <f>'Ingest Template'!E431</f>
        <v/>
      </c>
      <c r="E431" s="5"/>
      <c r="F431" s="5"/>
      <c r="G431" s="5"/>
      <c r="H431" s="7"/>
      <c r="I431" s="5"/>
      <c r="J431" s="7" t="str">
        <f>'Ingest Template'!Q431</f>
        <v/>
      </c>
      <c r="K431" s="5" t="str">
        <f>'Ingest Template'!R431</f>
        <v/>
      </c>
      <c r="L431" s="8" t="s">
        <v>38</v>
      </c>
      <c r="M431" s="9"/>
      <c r="N431" s="5"/>
      <c r="O431" s="5"/>
      <c r="P431" s="5"/>
      <c r="Q431" s="5"/>
      <c r="R431" s="5" t="str">
        <f>'Ingest Template'!D431</f>
        <v/>
      </c>
      <c r="S431" s="5" t="str">
        <f>'Ingest Template'!G431</f>
        <v/>
      </c>
      <c r="T431" s="5" t="str">
        <f>'Ingest Template'!H431</f>
        <v/>
      </c>
      <c r="U431" s="5" t="str">
        <f>LOWER(SUBSTITUTE(SUBSTITUTE(SUBSTITUTE(SUBSTITUTE(SUBSTITUTE('Ingest Template'!I431,"https:",""),"www.",""),"/",""),"?hl=en",""),"instagram.com",""))</f>
        <v/>
      </c>
      <c r="V431" s="10" t="str">
        <f>'Ingest Template'!J431</f>
        <v/>
      </c>
      <c r="W431" s="10" t="str">
        <f>'Ingest Template'!K431</f>
        <v/>
      </c>
      <c r="X431" s="5"/>
      <c r="Y431" s="5" t="str">
        <f>SUBSTITUTE(SUBSTITUTE(SUBSTITUTE('Ingest Template'!L431,"http:",""),"https:",""),"/","")</f>
        <v/>
      </c>
      <c r="Z431" s="5" t="str">
        <f t="array" ref="Z431">IF('Ingest Template'!A431="Standard",(IF(ISBLANK('Ingest Template'!M431),"", 'Ingest Template'!M431&amp;"|DAR")),(IF(ISBLANK('Ingest Template'!M431),"", 'Ingest Template'!M431&amp;"|Operations - Core Title")))</f>
        <v/>
      </c>
      <c r="AA431" s="5"/>
      <c r="AB431" s="5" t="str">
        <f>'Ingest Template'!F431</f>
        <v/>
      </c>
      <c r="AC431" s="5"/>
      <c r="AD431" s="5"/>
      <c r="AE431" s="5"/>
      <c r="AF431" s="8"/>
      <c r="AG431" s="5" t="str">
        <f t="array" ref="AG431">IF('Ingest Template'!A431="Standard",(CONCATENATE(IF(ISBLANK('Ingest Template'!N431),"", 'Ingest Template'!N431&amp;"|DAR"),CHAR(10), IF(ISBLANK('Ingest Template'!O431),"", 'Ingest Template'!O431&amp;"|DAR"),CHAR(10), IF(ISBLANK('Ingest Template'!P431),"", 'Ingest Template'!P431&amp;"|DAR"))),(CONCATENATE(IF(ISBLANK('Ingest Template'!N431),"", 'Ingest Template'!N431&amp;"|Operations - Core Title"),CHAR(10), IF(ISBLANK('Ingest Template'!O431),"", 'Ingest Template'!O431&amp;"|Operations - Core Title"),CHAR(10), IF(ISBLANK('Ingest Template'!P431),"", 'Ingest Template'!P431&amp;"|Operations - Core Title"))))</f>
        <v>#|Operations - Core Title
</v>
      </c>
      <c r="AH431" s="5"/>
      <c r="AI431" s="5"/>
      <c r="AJ431" s="5"/>
      <c r="AK431" s="5"/>
      <c r="AL431" s="5"/>
    </row>
    <row r="432">
      <c r="A432" s="5"/>
      <c r="B432" s="5" t="str">
        <f>'Ingest Template'!B432&amp;IF('Ingest Template'!A432 = "Standard", " - DAR","")</f>
        <v/>
      </c>
      <c r="C432" s="6" t="str">
        <f>'Ingest Template'!C432</f>
        <v/>
      </c>
      <c r="D432" s="7" t="str">
        <f>'Ingest Template'!E432</f>
        <v/>
      </c>
      <c r="E432" s="5"/>
      <c r="F432" s="5"/>
      <c r="G432" s="5"/>
      <c r="H432" s="7"/>
      <c r="I432" s="5"/>
      <c r="J432" s="7" t="str">
        <f>'Ingest Template'!Q432</f>
        <v/>
      </c>
      <c r="K432" s="5" t="str">
        <f>'Ingest Template'!R432</f>
        <v/>
      </c>
      <c r="L432" s="8" t="s">
        <v>38</v>
      </c>
      <c r="M432" s="9"/>
      <c r="N432" s="5"/>
      <c r="O432" s="5"/>
      <c r="P432" s="5"/>
      <c r="Q432" s="5"/>
      <c r="R432" s="5" t="str">
        <f>'Ingest Template'!D432</f>
        <v/>
      </c>
      <c r="S432" s="5" t="str">
        <f>'Ingest Template'!G432</f>
        <v/>
      </c>
      <c r="T432" s="5" t="str">
        <f>'Ingest Template'!H432</f>
        <v/>
      </c>
      <c r="U432" s="5" t="str">
        <f>LOWER(SUBSTITUTE(SUBSTITUTE(SUBSTITUTE(SUBSTITUTE(SUBSTITUTE('Ingest Template'!I432,"https:",""),"www.",""),"/",""),"?hl=en",""),"instagram.com",""))</f>
        <v/>
      </c>
      <c r="V432" s="10" t="str">
        <f>'Ingest Template'!J432</f>
        <v/>
      </c>
      <c r="W432" s="10" t="str">
        <f>'Ingest Template'!K432</f>
        <v/>
      </c>
      <c r="X432" s="5"/>
      <c r="Y432" s="5" t="str">
        <f>SUBSTITUTE(SUBSTITUTE(SUBSTITUTE('Ingest Template'!L432,"http:",""),"https:",""),"/","")</f>
        <v/>
      </c>
      <c r="Z432" s="5" t="str">
        <f t="array" ref="Z432">IF('Ingest Template'!A432="Standard",(IF(ISBLANK('Ingest Template'!M432),"", 'Ingest Template'!M432&amp;"|DAR")),(IF(ISBLANK('Ingest Template'!M432),"", 'Ingest Template'!M432&amp;"|Operations - Core Title")))</f>
        <v/>
      </c>
      <c r="AA432" s="5"/>
      <c r="AB432" s="5" t="str">
        <f>'Ingest Template'!F432</f>
        <v/>
      </c>
      <c r="AC432" s="5"/>
      <c r="AD432" s="5"/>
      <c r="AE432" s="5"/>
      <c r="AF432" s="8"/>
      <c r="AG432" s="5" t="str">
        <f t="array" ref="AG432">IF('Ingest Template'!A432="Standard",(CONCATENATE(IF(ISBLANK('Ingest Template'!N432),"", 'Ingest Template'!N432&amp;"|DAR"),CHAR(10), IF(ISBLANK('Ingest Template'!O432),"", 'Ingest Template'!O432&amp;"|DAR"),CHAR(10), IF(ISBLANK('Ingest Template'!P432),"", 'Ingest Template'!P432&amp;"|DAR"))),(CONCATENATE(IF(ISBLANK('Ingest Template'!N432),"", 'Ingest Template'!N432&amp;"|Operations - Core Title"),CHAR(10), IF(ISBLANK('Ingest Template'!O432),"", 'Ingest Template'!O432&amp;"|Operations - Core Title"),CHAR(10), IF(ISBLANK('Ingest Template'!P432),"", 'Ingest Template'!P432&amp;"|Operations - Core Title"))))</f>
        <v>#|Operations - Core Title
</v>
      </c>
      <c r="AH432" s="5"/>
      <c r="AI432" s="5"/>
      <c r="AJ432" s="5"/>
      <c r="AK432" s="5"/>
      <c r="AL432" s="5"/>
    </row>
    <row r="433">
      <c r="A433" s="5"/>
      <c r="B433" s="5" t="str">
        <f>'Ingest Template'!B433&amp;IF('Ingest Template'!A433 = "Standard", " - DAR","")</f>
        <v/>
      </c>
      <c r="C433" s="6" t="str">
        <f>'Ingest Template'!C433</f>
        <v/>
      </c>
      <c r="D433" s="7" t="str">
        <f>'Ingest Template'!E433</f>
        <v/>
      </c>
      <c r="E433" s="5"/>
      <c r="F433" s="5"/>
      <c r="G433" s="5"/>
      <c r="H433" s="7"/>
      <c r="I433" s="5"/>
      <c r="J433" s="7" t="str">
        <f>'Ingest Template'!Q433</f>
        <v/>
      </c>
      <c r="K433" s="5" t="str">
        <f>'Ingest Template'!R433</f>
        <v/>
      </c>
      <c r="L433" s="8" t="s">
        <v>38</v>
      </c>
      <c r="M433" s="9"/>
      <c r="N433" s="5"/>
      <c r="O433" s="5"/>
      <c r="P433" s="5"/>
      <c r="Q433" s="5"/>
      <c r="R433" s="5" t="str">
        <f>'Ingest Template'!D433</f>
        <v/>
      </c>
      <c r="S433" s="5" t="str">
        <f>'Ingest Template'!G433</f>
        <v/>
      </c>
      <c r="T433" s="5" t="str">
        <f>'Ingest Template'!H433</f>
        <v/>
      </c>
      <c r="U433" s="5" t="str">
        <f>LOWER(SUBSTITUTE(SUBSTITUTE(SUBSTITUTE(SUBSTITUTE(SUBSTITUTE('Ingest Template'!I433,"https:",""),"www.",""),"/",""),"?hl=en",""),"instagram.com",""))</f>
        <v/>
      </c>
      <c r="V433" s="10" t="str">
        <f>'Ingest Template'!J433</f>
        <v/>
      </c>
      <c r="W433" s="10" t="str">
        <f>'Ingest Template'!K433</f>
        <v/>
      </c>
      <c r="X433" s="5"/>
      <c r="Y433" s="5" t="str">
        <f>SUBSTITUTE(SUBSTITUTE(SUBSTITUTE('Ingest Template'!L433,"http:",""),"https:",""),"/","")</f>
        <v/>
      </c>
      <c r="Z433" s="5" t="str">
        <f t="array" ref="Z433">IF('Ingest Template'!A433="Standard",(IF(ISBLANK('Ingest Template'!M433),"", 'Ingest Template'!M433&amp;"|DAR")),(IF(ISBLANK('Ingest Template'!M433),"", 'Ingest Template'!M433&amp;"|Operations - Core Title")))</f>
        <v/>
      </c>
      <c r="AA433" s="5"/>
      <c r="AB433" s="5" t="str">
        <f>'Ingest Template'!F433</f>
        <v/>
      </c>
      <c r="AC433" s="5"/>
      <c r="AD433" s="5"/>
      <c r="AE433" s="5"/>
      <c r="AF433" s="8"/>
      <c r="AG433" s="5" t="str">
        <f t="array" ref="AG433">IF('Ingest Template'!A433="Standard",(CONCATENATE(IF(ISBLANK('Ingest Template'!N433),"", 'Ingest Template'!N433&amp;"|DAR"),CHAR(10), IF(ISBLANK('Ingest Template'!O433),"", 'Ingest Template'!O433&amp;"|DAR"),CHAR(10), IF(ISBLANK('Ingest Template'!P433),"", 'Ingest Template'!P433&amp;"|DAR"))),(CONCATENATE(IF(ISBLANK('Ingest Template'!N433),"", 'Ingest Template'!N433&amp;"|Operations - Core Title"),CHAR(10), IF(ISBLANK('Ingest Template'!O433),"", 'Ingest Template'!O433&amp;"|Operations - Core Title"),CHAR(10), IF(ISBLANK('Ingest Template'!P433),"", 'Ingest Template'!P433&amp;"|Operations - Core Title"))))</f>
        <v>#|Operations - Core Title
</v>
      </c>
      <c r="AH433" s="5"/>
      <c r="AI433" s="5"/>
      <c r="AJ433" s="5"/>
      <c r="AK433" s="5"/>
      <c r="AL433" s="5"/>
    </row>
    <row r="434">
      <c r="A434" s="5"/>
      <c r="B434" s="5" t="str">
        <f>'Ingest Template'!B434&amp;IF('Ingest Template'!A434 = "Standard", " - DAR","")</f>
        <v/>
      </c>
      <c r="C434" s="6" t="str">
        <f>'Ingest Template'!C434</f>
        <v/>
      </c>
      <c r="D434" s="7" t="str">
        <f>'Ingest Template'!E434</f>
        <v/>
      </c>
      <c r="E434" s="5"/>
      <c r="F434" s="5"/>
      <c r="G434" s="5"/>
      <c r="H434" s="7"/>
      <c r="I434" s="5"/>
      <c r="J434" s="7" t="str">
        <f>'Ingest Template'!Q434</f>
        <v/>
      </c>
      <c r="K434" s="5" t="str">
        <f>'Ingest Template'!R434</f>
        <v/>
      </c>
      <c r="L434" s="8" t="s">
        <v>38</v>
      </c>
      <c r="M434" s="9"/>
      <c r="N434" s="5"/>
      <c r="O434" s="5"/>
      <c r="P434" s="5"/>
      <c r="Q434" s="5"/>
      <c r="R434" s="5" t="str">
        <f>'Ingest Template'!D434</f>
        <v/>
      </c>
      <c r="S434" s="5" t="str">
        <f>'Ingest Template'!G434</f>
        <v/>
      </c>
      <c r="T434" s="5" t="str">
        <f>'Ingest Template'!H434</f>
        <v/>
      </c>
      <c r="U434" s="5" t="str">
        <f>LOWER(SUBSTITUTE(SUBSTITUTE(SUBSTITUTE(SUBSTITUTE(SUBSTITUTE('Ingest Template'!I434,"https:",""),"www.",""),"/",""),"?hl=en",""),"instagram.com",""))</f>
        <v/>
      </c>
      <c r="V434" s="10" t="str">
        <f>'Ingest Template'!J434</f>
        <v/>
      </c>
      <c r="W434" s="10" t="str">
        <f>'Ingest Template'!K434</f>
        <v/>
      </c>
      <c r="X434" s="5"/>
      <c r="Y434" s="5" t="str">
        <f>SUBSTITUTE(SUBSTITUTE(SUBSTITUTE('Ingest Template'!L434,"http:",""),"https:",""),"/","")</f>
        <v/>
      </c>
      <c r="Z434" s="5" t="str">
        <f t="array" ref="Z434">IF('Ingest Template'!A434="Standard",(IF(ISBLANK('Ingest Template'!M434),"", 'Ingest Template'!M434&amp;"|DAR")),(IF(ISBLANK('Ingest Template'!M434),"", 'Ingest Template'!M434&amp;"|Operations - Core Title")))</f>
        <v/>
      </c>
      <c r="AA434" s="5"/>
      <c r="AB434" s="5" t="str">
        <f>'Ingest Template'!F434</f>
        <v/>
      </c>
      <c r="AC434" s="5"/>
      <c r="AD434" s="5"/>
      <c r="AE434" s="5"/>
      <c r="AF434" s="8"/>
      <c r="AG434" s="5" t="str">
        <f t="array" ref="AG434">IF('Ingest Template'!A434="Standard",(CONCATENATE(IF(ISBLANK('Ingest Template'!N434),"", 'Ingest Template'!N434&amp;"|DAR"),CHAR(10), IF(ISBLANK('Ingest Template'!O434),"", 'Ingest Template'!O434&amp;"|DAR"),CHAR(10), IF(ISBLANK('Ingest Template'!P434),"", 'Ingest Template'!P434&amp;"|DAR"))),(CONCATENATE(IF(ISBLANK('Ingest Template'!N434),"", 'Ingest Template'!N434&amp;"|Operations - Core Title"),CHAR(10), IF(ISBLANK('Ingest Template'!O434),"", 'Ingest Template'!O434&amp;"|Operations - Core Title"),CHAR(10), IF(ISBLANK('Ingest Template'!P434),"", 'Ingest Template'!P434&amp;"|Operations - Core Title"))))</f>
        <v>#|Operations - Core Title
</v>
      </c>
      <c r="AH434" s="5"/>
      <c r="AI434" s="5"/>
      <c r="AJ434" s="5"/>
      <c r="AK434" s="5"/>
      <c r="AL434" s="5"/>
    </row>
    <row r="435">
      <c r="A435" s="5"/>
      <c r="B435" s="5" t="str">
        <f>'Ingest Template'!B435&amp;IF('Ingest Template'!A435 = "Standard", " - DAR","")</f>
        <v/>
      </c>
      <c r="C435" s="6" t="str">
        <f>'Ingest Template'!C435</f>
        <v/>
      </c>
      <c r="D435" s="7" t="str">
        <f>'Ingest Template'!E435</f>
        <v/>
      </c>
      <c r="E435" s="5"/>
      <c r="F435" s="5"/>
      <c r="G435" s="5"/>
      <c r="H435" s="7"/>
      <c r="I435" s="5"/>
      <c r="J435" s="7" t="str">
        <f>'Ingest Template'!Q435</f>
        <v/>
      </c>
      <c r="K435" s="5" t="str">
        <f>'Ingest Template'!R435</f>
        <v/>
      </c>
      <c r="L435" s="8" t="s">
        <v>38</v>
      </c>
      <c r="M435" s="9"/>
      <c r="N435" s="5"/>
      <c r="O435" s="5"/>
      <c r="P435" s="5"/>
      <c r="Q435" s="5"/>
      <c r="R435" s="5" t="str">
        <f>'Ingest Template'!D435</f>
        <v/>
      </c>
      <c r="S435" s="5" t="str">
        <f>'Ingest Template'!G435</f>
        <v/>
      </c>
      <c r="T435" s="5" t="str">
        <f>'Ingest Template'!H435</f>
        <v/>
      </c>
      <c r="U435" s="5" t="str">
        <f>LOWER(SUBSTITUTE(SUBSTITUTE(SUBSTITUTE(SUBSTITUTE(SUBSTITUTE('Ingest Template'!I435,"https:",""),"www.",""),"/",""),"?hl=en",""),"instagram.com",""))</f>
        <v/>
      </c>
      <c r="V435" s="10" t="str">
        <f>'Ingest Template'!J435</f>
        <v/>
      </c>
      <c r="W435" s="10" t="str">
        <f>'Ingest Template'!K435</f>
        <v/>
      </c>
      <c r="X435" s="5"/>
      <c r="Y435" s="5" t="str">
        <f>SUBSTITUTE(SUBSTITUTE(SUBSTITUTE('Ingest Template'!L435,"http:",""),"https:",""),"/","")</f>
        <v/>
      </c>
      <c r="Z435" s="5" t="str">
        <f t="array" ref="Z435">IF('Ingest Template'!A435="Standard",(IF(ISBLANK('Ingest Template'!M435),"", 'Ingest Template'!M435&amp;"|DAR")),(IF(ISBLANK('Ingest Template'!M435),"", 'Ingest Template'!M435&amp;"|Operations - Core Title")))</f>
        <v/>
      </c>
      <c r="AA435" s="5"/>
      <c r="AB435" s="5" t="str">
        <f>'Ingest Template'!F435</f>
        <v/>
      </c>
      <c r="AC435" s="5"/>
      <c r="AD435" s="5"/>
      <c r="AE435" s="5"/>
      <c r="AF435" s="8"/>
      <c r="AG435" s="5" t="str">
        <f t="array" ref="AG435">IF('Ingest Template'!A435="Standard",(CONCATENATE(IF(ISBLANK('Ingest Template'!N435),"", 'Ingest Template'!N435&amp;"|DAR"),CHAR(10), IF(ISBLANK('Ingest Template'!O435),"", 'Ingest Template'!O435&amp;"|DAR"),CHAR(10), IF(ISBLANK('Ingest Template'!P435),"", 'Ingest Template'!P435&amp;"|DAR"))),(CONCATENATE(IF(ISBLANK('Ingest Template'!N435),"", 'Ingest Template'!N435&amp;"|Operations - Core Title"),CHAR(10), IF(ISBLANK('Ingest Template'!O435),"", 'Ingest Template'!O435&amp;"|Operations - Core Title"),CHAR(10), IF(ISBLANK('Ingest Template'!P435),"", 'Ingest Template'!P435&amp;"|Operations - Core Title"))))</f>
        <v>#|Operations - Core Title
</v>
      </c>
      <c r="AH435" s="5"/>
      <c r="AI435" s="5"/>
      <c r="AJ435" s="5"/>
      <c r="AK435" s="5"/>
      <c r="AL435" s="5"/>
    </row>
    <row r="436">
      <c r="A436" s="5"/>
      <c r="B436" s="5" t="str">
        <f>'Ingest Template'!B436&amp;IF('Ingest Template'!A436 = "Standard", " - DAR","")</f>
        <v/>
      </c>
      <c r="C436" s="6" t="str">
        <f>'Ingest Template'!C436</f>
        <v/>
      </c>
      <c r="D436" s="7" t="str">
        <f>'Ingest Template'!E436</f>
        <v/>
      </c>
      <c r="E436" s="5"/>
      <c r="F436" s="5"/>
      <c r="G436" s="5"/>
      <c r="H436" s="7"/>
      <c r="I436" s="5"/>
      <c r="J436" s="7" t="str">
        <f>'Ingest Template'!Q436</f>
        <v/>
      </c>
      <c r="K436" s="5" t="str">
        <f>'Ingest Template'!R436</f>
        <v/>
      </c>
      <c r="L436" s="8" t="s">
        <v>38</v>
      </c>
      <c r="M436" s="9"/>
      <c r="N436" s="5"/>
      <c r="O436" s="5"/>
      <c r="P436" s="5"/>
      <c r="Q436" s="5"/>
      <c r="R436" s="5" t="str">
        <f>'Ingest Template'!D436</f>
        <v/>
      </c>
      <c r="S436" s="5" t="str">
        <f>'Ingest Template'!G436</f>
        <v/>
      </c>
      <c r="T436" s="5" t="str">
        <f>'Ingest Template'!H436</f>
        <v/>
      </c>
      <c r="U436" s="5" t="str">
        <f>LOWER(SUBSTITUTE(SUBSTITUTE(SUBSTITUTE(SUBSTITUTE(SUBSTITUTE('Ingest Template'!I436,"https:",""),"www.",""),"/",""),"?hl=en",""),"instagram.com",""))</f>
        <v/>
      </c>
      <c r="V436" s="10" t="str">
        <f>'Ingest Template'!J436</f>
        <v/>
      </c>
      <c r="W436" s="10" t="str">
        <f>'Ingest Template'!K436</f>
        <v/>
      </c>
      <c r="X436" s="5"/>
      <c r="Y436" s="5" t="str">
        <f>SUBSTITUTE(SUBSTITUTE(SUBSTITUTE('Ingest Template'!L436,"http:",""),"https:",""),"/","")</f>
        <v/>
      </c>
      <c r="Z436" s="5" t="str">
        <f t="array" ref="Z436">IF('Ingest Template'!A436="Standard",(IF(ISBLANK('Ingest Template'!M436),"", 'Ingest Template'!M436&amp;"|DAR")),(IF(ISBLANK('Ingest Template'!M436),"", 'Ingest Template'!M436&amp;"|Operations - Core Title")))</f>
        <v/>
      </c>
      <c r="AA436" s="5"/>
      <c r="AB436" s="5" t="str">
        <f>'Ingest Template'!F436</f>
        <v/>
      </c>
      <c r="AC436" s="5"/>
      <c r="AD436" s="5"/>
      <c r="AE436" s="5"/>
      <c r="AF436" s="8"/>
      <c r="AG436" s="5" t="str">
        <f t="array" ref="AG436">IF('Ingest Template'!A436="Standard",(CONCATENATE(IF(ISBLANK('Ingest Template'!N436),"", 'Ingest Template'!N436&amp;"|DAR"),CHAR(10), IF(ISBLANK('Ingest Template'!O436),"", 'Ingest Template'!O436&amp;"|DAR"),CHAR(10), IF(ISBLANK('Ingest Template'!P436),"", 'Ingest Template'!P436&amp;"|DAR"))),(CONCATENATE(IF(ISBLANK('Ingest Template'!N436),"", 'Ingest Template'!N436&amp;"|Operations - Core Title"),CHAR(10), IF(ISBLANK('Ingest Template'!O436),"", 'Ingest Template'!O436&amp;"|Operations - Core Title"),CHAR(10), IF(ISBLANK('Ingest Template'!P436),"", 'Ingest Template'!P436&amp;"|Operations - Core Title"))))</f>
        <v>#|Operations - Core Title
</v>
      </c>
      <c r="AH436" s="5"/>
      <c r="AI436" s="5"/>
      <c r="AJ436" s="5"/>
      <c r="AK436" s="5"/>
      <c r="AL436" s="5"/>
    </row>
    <row r="437">
      <c r="A437" s="5"/>
      <c r="B437" s="5" t="str">
        <f>'Ingest Template'!B437&amp;IF('Ingest Template'!A437 = "Standard", " - DAR","")</f>
        <v/>
      </c>
      <c r="C437" s="6" t="str">
        <f>'Ingest Template'!C437</f>
        <v/>
      </c>
      <c r="D437" s="7" t="str">
        <f>'Ingest Template'!E437</f>
        <v/>
      </c>
      <c r="E437" s="5"/>
      <c r="F437" s="5"/>
      <c r="G437" s="5"/>
      <c r="H437" s="7"/>
      <c r="I437" s="5"/>
      <c r="J437" s="7" t="str">
        <f>'Ingest Template'!Q437</f>
        <v/>
      </c>
      <c r="K437" s="5" t="str">
        <f>'Ingest Template'!R437</f>
        <v/>
      </c>
      <c r="L437" s="8" t="s">
        <v>38</v>
      </c>
      <c r="M437" s="9"/>
      <c r="N437" s="5"/>
      <c r="O437" s="5"/>
      <c r="P437" s="5"/>
      <c r="Q437" s="5"/>
      <c r="R437" s="5" t="str">
        <f>'Ingest Template'!D437</f>
        <v/>
      </c>
      <c r="S437" s="5" t="str">
        <f>'Ingest Template'!G437</f>
        <v/>
      </c>
      <c r="T437" s="5" t="str">
        <f>'Ingest Template'!H437</f>
        <v/>
      </c>
      <c r="U437" s="5" t="str">
        <f>LOWER(SUBSTITUTE(SUBSTITUTE(SUBSTITUTE(SUBSTITUTE(SUBSTITUTE('Ingest Template'!I437,"https:",""),"www.",""),"/",""),"?hl=en",""),"instagram.com",""))</f>
        <v/>
      </c>
      <c r="V437" s="10" t="str">
        <f>'Ingest Template'!J437</f>
        <v/>
      </c>
      <c r="W437" s="10" t="str">
        <f>'Ingest Template'!K437</f>
        <v/>
      </c>
      <c r="X437" s="5"/>
      <c r="Y437" s="5" t="str">
        <f>SUBSTITUTE(SUBSTITUTE(SUBSTITUTE('Ingest Template'!L437,"http:",""),"https:",""),"/","")</f>
        <v/>
      </c>
      <c r="Z437" s="5" t="str">
        <f t="array" ref="Z437">IF('Ingest Template'!A437="Standard",(IF(ISBLANK('Ingest Template'!M437),"", 'Ingest Template'!M437&amp;"|DAR")),(IF(ISBLANK('Ingest Template'!M437),"", 'Ingest Template'!M437&amp;"|Operations - Core Title")))</f>
        <v/>
      </c>
      <c r="AA437" s="5"/>
      <c r="AB437" s="5" t="str">
        <f>'Ingest Template'!F437</f>
        <v/>
      </c>
      <c r="AC437" s="5"/>
      <c r="AD437" s="5"/>
      <c r="AE437" s="5"/>
      <c r="AF437" s="8"/>
      <c r="AG437" s="5" t="str">
        <f t="array" ref="AG437">IF('Ingest Template'!A437="Standard",(CONCATENATE(IF(ISBLANK('Ingest Template'!N437),"", 'Ingest Template'!N437&amp;"|DAR"),CHAR(10), IF(ISBLANK('Ingest Template'!O437),"", 'Ingest Template'!O437&amp;"|DAR"),CHAR(10), IF(ISBLANK('Ingest Template'!P437),"", 'Ingest Template'!P437&amp;"|DAR"))),(CONCATENATE(IF(ISBLANK('Ingest Template'!N437),"", 'Ingest Template'!N437&amp;"|Operations - Core Title"),CHAR(10), IF(ISBLANK('Ingest Template'!O437),"", 'Ingest Template'!O437&amp;"|Operations - Core Title"),CHAR(10), IF(ISBLANK('Ingest Template'!P437),"", 'Ingest Template'!P437&amp;"|Operations - Core Title"))))</f>
        <v>#|Operations - Core Title
</v>
      </c>
      <c r="AH437" s="5"/>
      <c r="AI437" s="5"/>
      <c r="AJ437" s="5"/>
      <c r="AK437" s="5"/>
      <c r="AL437" s="5"/>
    </row>
    <row r="438">
      <c r="A438" s="5"/>
      <c r="B438" s="5" t="str">
        <f>'Ingest Template'!B438&amp;IF('Ingest Template'!A438 = "Standard", " - DAR","")</f>
        <v/>
      </c>
      <c r="C438" s="6" t="str">
        <f>'Ingest Template'!C438</f>
        <v/>
      </c>
      <c r="D438" s="7" t="str">
        <f>'Ingest Template'!E438</f>
        <v/>
      </c>
      <c r="E438" s="5"/>
      <c r="F438" s="5"/>
      <c r="G438" s="5"/>
      <c r="H438" s="7"/>
      <c r="I438" s="5"/>
      <c r="J438" s="7" t="str">
        <f>'Ingest Template'!Q438</f>
        <v/>
      </c>
      <c r="K438" s="5" t="str">
        <f>'Ingest Template'!R438</f>
        <v/>
      </c>
      <c r="L438" s="8" t="s">
        <v>38</v>
      </c>
      <c r="M438" s="9"/>
      <c r="N438" s="5"/>
      <c r="O438" s="5"/>
      <c r="P438" s="5"/>
      <c r="Q438" s="5"/>
      <c r="R438" s="5" t="str">
        <f>'Ingest Template'!D438</f>
        <v/>
      </c>
      <c r="S438" s="5" t="str">
        <f>'Ingest Template'!G438</f>
        <v/>
      </c>
      <c r="T438" s="5" t="str">
        <f>'Ingest Template'!H438</f>
        <v/>
      </c>
      <c r="U438" s="5" t="str">
        <f>LOWER(SUBSTITUTE(SUBSTITUTE(SUBSTITUTE(SUBSTITUTE(SUBSTITUTE('Ingest Template'!I438,"https:",""),"www.",""),"/",""),"?hl=en",""),"instagram.com",""))</f>
        <v/>
      </c>
      <c r="V438" s="10" t="str">
        <f>'Ingest Template'!J438</f>
        <v/>
      </c>
      <c r="W438" s="10" t="str">
        <f>'Ingest Template'!K438</f>
        <v/>
      </c>
      <c r="X438" s="5"/>
      <c r="Y438" s="5" t="str">
        <f>SUBSTITUTE(SUBSTITUTE(SUBSTITUTE('Ingest Template'!L438,"http:",""),"https:",""),"/","")</f>
        <v/>
      </c>
      <c r="Z438" s="5" t="str">
        <f t="array" ref="Z438">IF('Ingest Template'!A438="Standard",(IF(ISBLANK('Ingest Template'!M438),"", 'Ingest Template'!M438&amp;"|DAR")),(IF(ISBLANK('Ingest Template'!M438),"", 'Ingest Template'!M438&amp;"|Operations - Core Title")))</f>
        <v/>
      </c>
      <c r="AA438" s="5"/>
      <c r="AB438" s="5" t="str">
        <f>'Ingest Template'!F438</f>
        <v/>
      </c>
      <c r="AC438" s="5"/>
      <c r="AD438" s="5"/>
      <c r="AE438" s="5"/>
      <c r="AF438" s="8"/>
      <c r="AG438" s="5" t="str">
        <f t="array" ref="AG438">IF('Ingest Template'!A438="Standard",(CONCATENATE(IF(ISBLANK('Ingest Template'!N438),"", 'Ingest Template'!N438&amp;"|DAR"),CHAR(10), IF(ISBLANK('Ingest Template'!O438),"", 'Ingest Template'!O438&amp;"|DAR"),CHAR(10), IF(ISBLANK('Ingest Template'!P438),"", 'Ingest Template'!P438&amp;"|DAR"))),(CONCATENATE(IF(ISBLANK('Ingest Template'!N438),"", 'Ingest Template'!N438&amp;"|Operations - Core Title"),CHAR(10), IF(ISBLANK('Ingest Template'!O438),"", 'Ingest Template'!O438&amp;"|Operations - Core Title"),CHAR(10), IF(ISBLANK('Ingest Template'!P438),"", 'Ingest Template'!P438&amp;"|Operations - Core Title"))))</f>
        <v>#|Operations - Core Title
</v>
      </c>
      <c r="AH438" s="5"/>
      <c r="AI438" s="5"/>
      <c r="AJ438" s="5"/>
      <c r="AK438" s="5"/>
      <c r="AL438" s="5"/>
    </row>
    <row r="439">
      <c r="A439" s="5"/>
      <c r="B439" s="5" t="str">
        <f>'Ingest Template'!B439&amp;IF('Ingest Template'!A439 = "Standard", " - DAR","")</f>
        <v/>
      </c>
      <c r="C439" s="6" t="str">
        <f>'Ingest Template'!C439</f>
        <v/>
      </c>
      <c r="D439" s="7" t="str">
        <f>'Ingest Template'!E439</f>
        <v/>
      </c>
      <c r="E439" s="5"/>
      <c r="F439" s="5"/>
      <c r="G439" s="5"/>
      <c r="H439" s="7"/>
      <c r="I439" s="5"/>
      <c r="J439" s="7" t="str">
        <f>'Ingest Template'!Q439</f>
        <v/>
      </c>
      <c r="K439" s="5" t="str">
        <f>'Ingest Template'!R439</f>
        <v/>
      </c>
      <c r="L439" s="8" t="s">
        <v>38</v>
      </c>
      <c r="M439" s="9"/>
      <c r="N439" s="5"/>
      <c r="O439" s="5"/>
      <c r="P439" s="5"/>
      <c r="Q439" s="5"/>
      <c r="R439" s="5" t="str">
        <f>'Ingest Template'!D439</f>
        <v/>
      </c>
      <c r="S439" s="5" t="str">
        <f>'Ingest Template'!G439</f>
        <v/>
      </c>
      <c r="T439" s="5" t="str">
        <f>'Ingest Template'!H439</f>
        <v/>
      </c>
      <c r="U439" s="5" t="str">
        <f>LOWER(SUBSTITUTE(SUBSTITUTE(SUBSTITUTE(SUBSTITUTE(SUBSTITUTE('Ingest Template'!I439,"https:",""),"www.",""),"/",""),"?hl=en",""),"instagram.com",""))</f>
        <v/>
      </c>
      <c r="V439" s="10" t="str">
        <f>'Ingest Template'!J439</f>
        <v/>
      </c>
      <c r="W439" s="10" t="str">
        <f>'Ingest Template'!K439</f>
        <v/>
      </c>
      <c r="X439" s="5"/>
      <c r="Y439" s="5" t="str">
        <f>SUBSTITUTE(SUBSTITUTE(SUBSTITUTE('Ingest Template'!L439,"http:",""),"https:",""),"/","")</f>
        <v/>
      </c>
      <c r="Z439" s="5" t="str">
        <f t="array" ref="Z439">IF('Ingest Template'!A439="Standard",(IF(ISBLANK('Ingest Template'!M439),"", 'Ingest Template'!M439&amp;"|DAR")),(IF(ISBLANK('Ingest Template'!M439),"", 'Ingest Template'!M439&amp;"|Operations - Core Title")))</f>
        <v/>
      </c>
      <c r="AA439" s="5"/>
      <c r="AB439" s="5" t="str">
        <f>'Ingest Template'!F439</f>
        <v/>
      </c>
      <c r="AC439" s="5"/>
      <c r="AD439" s="5"/>
      <c r="AE439" s="5"/>
      <c r="AF439" s="8"/>
      <c r="AG439" s="5" t="str">
        <f t="array" ref="AG439">IF('Ingest Template'!A439="Standard",(CONCATENATE(IF(ISBLANK('Ingest Template'!N439),"", 'Ingest Template'!N439&amp;"|DAR"),CHAR(10), IF(ISBLANK('Ingest Template'!O439),"", 'Ingest Template'!O439&amp;"|DAR"),CHAR(10), IF(ISBLANK('Ingest Template'!P439),"", 'Ingest Template'!P439&amp;"|DAR"))),(CONCATENATE(IF(ISBLANK('Ingest Template'!N439),"", 'Ingest Template'!N439&amp;"|Operations - Core Title"),CHAR(10), IF(ISBLANK('Ingest Template'!O439),"", 'Ingest Template'!O439&amp;"|Operations - Core Title"),CHAR(10), IF(ISBLANK('Ingest Template'!P439),"", 'Ingest Template'!P439&amp;"|Operations - Core Title"))))</f>
        <v>#|Operations - Core Title
</v>
      </c>
      <c r="AH439" s="5"/>
      <c r="AI439" s="5"/>
      <c r="AJ439" s="5"/>
      <c r="AK439" s="5"/>
      <c r="AL439" s="5"/>
    </row>
    <row r="440">
      <c r="A440" s="5"/>
      <c r="B440" s="5" t="str">
        <f>'Ingest Template'!B440&amp;IF('Ingest Template'!A440 = "Standard", " - DAR","")</f>
        <v/>
      </c>
      <c r="C440" s="6" t="str">
        <f>'Ingest Template'!C440</f>
        <v/>
      </c>
      <c r="D440" s="7" t="str">
        <f>'Ingest Template'!E440</f>
        <v/>
      </c>
      <c r="E440" s="5"/>
      <c r="F440" s="5"/>
      <c r="G440" s="5"/>
      <c r="H440" s="7"/>
      <c r="I440" s="5"/>
      <c r="J440" s="7" t="str">
        <f>'Ingest Template'!Q440</f>
        <v/>
      </c>
      <c r="K440" s="5" t="str">
        <f>'Ingest Template'!R440</f>
        <v/>
      </c>
      <c r="L440" s="8" t="s">
        <v>38</v>
      </c>
      <c r="M440" s="9"/>
      <c r="N440" s="5"/>
      <c r="O440" s="5"/>
      <c r="P440" s="5"/>
      <c r="Q440" s="5"/>
      <c r="R440" s="5" t="str">
        <f>'Ingest Template'!D440</f>
        <v/>
      </c>
      <c r="S440" s="5" t="str">
        <f>'Ingest Template'!G440</f>
        <v/>
      </c>
      <c r="T440" s="5" t="str">
        <f>'Ingest Template'!H440</f>
        <v/>
      </c>
      <c r="U440" s="5" t="str">
        <f>LOWER(SUBSTITUTE(SUBSTITUTE(SUBSTITUTE(SUBSTITUTE(SUBSTITUTE('Ingest Template'!I440,"https:",""),"www.",""),"/",""),"?hl=en",""),"instagram.com",""))</f>
        <v/>
      </c>
      <c r="V440" s="10" t="str">
        <f>'Ingest Template'!J440</f>
        <v/>
      </c>
      <c r="W440" s="10" t="str">
        <f>'Ingest Template'!K440</f>
        <v/>
      </c>
      <c r="X440" s="5"/>
      <c r="Y440" s="5" t="str">
        <f>SUBSTITUTE(SUBSTITUTE(SUBSTITUTE('Ingest Template'!L440,"http:",""),"https:",""),"/","")</f>
        <v/>
      </c>
      <c r="Z440" s="5" t="str">
        <f t="array" ref="Z440">IF('Ingest Template'!A440="Standard",(IF(ISBLANK('Ingest Template'!M440),"", 'Ingest Template'!M440&amp;"|DAR")),(IF(ISBLANK('Ingest Template'!M440),"", 'Ingest Template'!M440&amp;"|Operations - Core Title")))</f>
        <v/>
      </c>
      <c r="AA440" s="5"/>
      <c r="AB440" s="5" t="str">
        <f>'Ingest Template'!F440</f>
        <v/>
      </c>
      <c r="AC440" s="5"/>
      <c r="AD440" s="5"/>
      <c r="AE440" s="5"/>
      <c r="AF440" s="8"/>
      <c r="AG440" s="5" t="str">
        <f t="array" ref="AG440">IF('Ingest Template'!A440="Standard",(CONCATENATE(IF(ISBLANK('Ingest Template'!N440),"", 'Ingest Template'!N440&amp;"|DAR"),CHAR(10), IF(ISBLANK('Ingest Template'!O440),"", 'Ingest Template'!O440&amp;"|DAR"),CHAR(10), IF(ISBLANK('Ingest Template'!P440),"", 'Ingest Template'!P440&amp;"|DAR"))),(CONCATENATE(IF(ISBLANK('Ingest Template'!N440),"", 'Ingest Template'!N440&amp;"|Operations - Core Title"),CHAR(10), IF(ISBLANK('Ingest Template'!O440),"", 'Ingest Template'!O440&amp;"|Operations - Core Title"),CHAR(10), IF(ISBLANK('Ingest Template'!P440),"", 'Ingest Template'!P440&amp;"|Operations - Core Title"))))</f>
        <v>#|Operations - Core Title
</v>
      </c>
      <c r="AH440" s="5"/>
      <c r="AI440" s="5"/>
      <c r="AJ440" s="5"/>
      <c r="AK440" s="5"/>
      <c r="AL440" s="5"/>
    </row>
    <row r="441">
      <c r="A441" s="5"/>
      <c r="B441" s="5" t="str">
        <f>'Ingest Template'!B441&amp;IF('Ingest Template'!A441 = "Standard", " - DAR","")</f>
        <v/>
      </c>
      <c r="C441" s="6" t="str">
        <f>'Ingest Template'!C441</f>
        <v/>
      </c>
      <c r="D441" s="7" t="str">
        <f>'Ingest Template'!E441</f>
        <v/>
      </c>
      <c r="E441" s="5"/>
      <c r="F441" s="5"/>
      <c r="G441" s="5"/>
      <c r="H441" s="7"/>
      <c r="I441" s="5"/>
      <c r="J441" s="7" t="str">
        <f>'Ingest Template'!Q441</f>
        <v/>
      </c>
      <c r="K441" s="5" t="str">
        <f>'Ingest Template'!R441</f>
        <v/>
      </c>
      <c r="L441" s="8" t="s">
        <v>38</v>
      </c>
      <c r="M441" s="9"/>
      <c r="N441" s="5"/>
      <c r="O441" s="5"/>
      <c r="P441" s="5"/>
      <c r="Q441" s="5"/>
      <c r="R441" s="5" t="str">
        <f>'Ingest Template'!D441</f>
        <v/>
      </c>
      <c r="S441" s="5" t="str">
        <f>'Ingest Template'!G441</f>
        <v/>
      </c>
      <c r="T441" s="5" t="str">
        <f>'Ingest Template'!H441</f>
        <v/>
      </c>
      <c r="U441" s="5" t="str">
        <f>LOWER(SUBSTITUTE(SUBSTITUTE(SUBSTITUTE(SUBSTITUTE(SUBSTITUTE('Ingest Template'!I441,"https:",""),"www.",""),"/",""),"?hl=en",""),"instagram.com",""))</f>
        <v/>
      </c>
      <c r="V441" s="10" t="str">
        <f>'Ingest Template'!J441</f>
        <v/>
      </c>
      <c r="W441" s="10" t="str">
        <f>'Ingest Template'!K441</f>
        <v/>
      </c>
      <c r="X441" s="5"/>
      <c r="Y441" s="5" t="str">
        <f>SUBSTITUTE(SUBSTITUTE(SUBSTITUTE('Ingest Template'!L441,"http:",""),"https:",""),"/","")</f>
        <v/>
      </c>
      <c r="Z441" s="5" t="str">
        <f t="array" ref="Z441">IF('Ingest Template'!A441="Standard",(IF(ISBLANK('Ingest Template'!M441),"", 'Ingest Template'!M441&amp;"|DAR")),(IF(ISBLANK('Ingest Template'!M441),"", 'Ingest Template'!M441&amp;"|Operations - Core Title")))</f>
        <v/>
      </c>
      <c r="AA441" s="5"/>
      <c r="AB441" s="5" t="str">
        <f>'Ingest Template'!F441</f>
        <v/>
      </c>
      <c r="AC441" s="5"/>
      <c r="AD441" s="5"/>
      <c r="AE441" s="5"/>
      <c r="AF441" s="8"/>
      <c r="AG441" s="5" t="str">
        <f t="array" ref="AG441">IF('Ingest Template'!A441="Standard",(CONCATENATE(IF(ISBLANK('Ingest Template'!N441),"", 'Ingest Template'!N441&amp;"|DAR"),CHAR(10), IF(ISBLANK('Ingest Template'!O441),"", 'Ingest Template'!O441&amp;"|DAR"),CHAR(10), IF(ISBLANK('Ingest Template'!P441),"", 'Ingest Template'!P441&amp;"|DAR"))),(CONCATENATE(IF(ISBLANK('Ingest Template'!N441),"", 'Ingest Template'!N441&amp;"|Operations - Core Title"),CHAR(10), IF(ISBLANK('Ingest Template'!O441),"", 'Ingest Template'!O441&amp;"|Operations - Core Title"),CHAR(10), IF(ISBLANK('Ingest Template'!P441),"", 'Ingest Template'!P441&amp;"|Operations - Core Title"))))</f>
        <v>#|Operations - Core Title
</v>
      </c>
      <c r="AH441" s="5"/>
      <c r="AI441" s="5"/>
      <c r="AJ441" s="5"/>
      <c r="AK441" s="5"/>
      <c r="AL441" s="5"/>
    </row>
    <row r="442">
      <c r="A442" s="5"/>
      <c r="B442" s="5" t="str">
        <f>'Ingest Template'!B442&amp;IF('Ingest Template'!A442 = "Standard", " - DAR","")</f>
        <v/>
      </c>
      <c r="C442" s="6" t="str">
        <f>'Ingest Template'!C442</f>
        <v/>
      </c>
      <c r="D442" s="7" t="str">
        <f>'Ingest Template'!E442</f>
        <v/>
      </c>
      <c r="E442" s="5"/>
      <c r="F442" s="5"/>
      <c r="G442" s="5"/>
      <c r="H442" s="7"/>
      <c r="I442" s="5"/>
      <c r="J442" s="7" t="str">
        <f>'Ingest Template'!Q442</f>
        <v/>
      </c>
      <c r="K442" s="5" t="str">
        <f>'Ingest Template'!R442</f>
        <v/>
      </c>
      <c r="L442" s="8" t="s">
        <v>38</v>
      </c>
      <c r="M442" s="9"/>
      <c r="N442" s="5"/>
      <c r="O442" s="5"/>
      <c r="P442" s="5"/>
      <c r="Q442" s="5"/>
      <c r="R442" s="5" t="str">
        <f>'Ingest Template'!D442</f>
        <v/>
      </c>
      <c r="S442" s="5" t="str">
        <f>'Ingest Template'!G442</f>
        <v/>
      </c>
      <c r="T442" s="5" t="str">
        <f>'Ingest Template'!H442</f>
        <v/>
      </c>
      <c r="U442" s="5" t="str">
        <f>LOWER(SUBSTITUTE(SUBSTITUTE(SUBSTITUTE(SUBSTITUTE(SUBSTITUTE('Ingest Template'!I442,"https:",""),"www.",""),"/",""),"?hl=en",""),"instagram.com",""))</f>
        <v/>
      </c>
      <c r="V442" s="10" t="str">
        <f>'Ingest Template'!J442</f>
        <v/>
      </c>
      <c r="W442" s="10" t="str">
        <f>'Ingest Template'!K442</f>
        <v/>
      </c>
      <c r="X442" s="5"/>
      <c r="Y442" s="5" t="str">
        <f>SUBSTITUTE(SUBSTITUTE(SUBSTITUTE('Ingest Template'!L442,"http:",""),"https:",""),"/","")</f>
        <v/>
      </c>
      <c r="Z442" s="5" t="str">
        <f t="array" ref="Z442">IF('Ingest Template'!A442="Standard",(IF(ISBLANK('Ingest Template'!M442),"", 'Ingest Template'!M442&amp;"|DAR")),(IF(ISBLANK('Ingest Template'!M442),"", 'Ingest Template'!M442&amp;"|Operations - Core Title")))</f>
        <v/>
      </c>
      <c r="AA442" s="5"/>
      <c r="AB442" s="5" t="str">
        <f>'Ingest Template'!F442</f>
        <v/>
      </c>
      <c r="AC442" s="5"/>
      <c r="AD442" s="5"/>
      <c r="AE442" s="5"/>
      <c r="AF442" s="8"/>
      <c r="AG442" s="5" t="str">
        <f t="array" ref="AG442">IF('Ingest Template'!A442="Standard",(CONCATENATE(IF(ISBLANK('Ingest Template'!N442),"", 'Ingest Template'!N442&amp;"|DAR"),CHAR(10), IF(ISBLANK('Ingest Template'!O442),"", 'Ingest Template'!O442&amp;"|DAR"),CHAR(10), IF(ISBLANK('Ingest Template'!P442),"", 'Ingest Template'!P442&amp;"|DAR"))),(CONCATENATE(IF(ISBLANK('Ingest Template'!N442),"", 'Ingest Template'!N442&amp;"|Operations - Core Title"),CHAR(10), IF(ISBLANK('Ingest Template'!O442),"", 'Ingest Template'!O442&amp;"|Operations - Core Title"),CHAR(10), IF(ISBLANK('Ingest Template'!P442),"", 'Ingest Template'!P442&amp;"|Operations - Core Title"))))</f>
        <v>#|Operations - Core Title
</v>
      </c>
      <c r="AH442" s="5"/>
      <c r="AI442" s="5"/>
      <c r="AJ442" s="5"/>
      <c r="AK442" s="5"/>
      <c r="AL442" s="5"/>
    </row>
    <row r="443">
      <c r="A443" s="5"/>
      <c r="B443" s="5" t="str">
        <f>'Ingest Template'!B443&amp;IF('Ingest Template'!A443 = "Standard", " - DAR","")</f>
        <v/>
      </c>
      <c r="C443" s="6" t="str">
        <f>'Ingest Template'!C443</f>
        <v/>
      </c>
      <c r="D443" s="7" t="str">
        <f>'Ingest Template'!E443</f>
        <v/>
      </c>
      <c r="E443" s="5"/>
      <c r="F443" s="5"/>
      <c r="G443" s="5"/>
      <c r="H443" s="7"/>
      <c r="I443" s="5"/>
      <c r="J443" s="7" t="str">
        <f>'Ingest Template'!Q443</f>
        <v/>
      </c>
      <c r="K443" s="5" t="str">
        <f>'Ingest Template'!R443</f>
        <v/>
      </c>
      <c r="L443" s="8" t="s">
        <v>38</v>
      </c>
      <c r="M443" s="9"/>
      <c r="N443" s="5"/>
      <c r="O443" s="5"/>
      <c r="P443" s="5"/>
      <c r="Q443" s="5"/>
      <c r="R443" s="5" t="str">
        <f>'Ingest Template'!D443</f>
        <v/>
      </c>
      <c r="S443" s="5" t="str">
        <f>'Ingest Template'!G443</f>
        <v/>
      </c>
      <c r="T443" s="5" t="str">
        <f>'Ingest Template'!H443</f>
        <v/>
      </c>
      <c r="U443" s="5" t="str">
        <f>LOWER(SUBSTITUTE(SUBSTITUTE(SUBSTITUTE(SUBSTITUTE(SUBSTITUTE('Ingest Template'!I443,"https:",""),"www.",""),"/",""),"?hl=en",""),"instagram.com",""))</f>
        <v/>
      </c>
      <c r="V443" s="10" t="str">
        <f>'Ingest Template'!J443</f>
        <v/>
      </c>
      <c r="W443" s="10" t="str">
        <f>'Ingest Template'!K443</f>
        <v/>
      </c>
      <c r="X443" s="5"/>
      <c r="Y443" s="5" t="str">
        <f>SUBSTITUTE(SUBSTITUTE(SUBSTITUTE('Ingest Template'!L443,"http:",""),"https:",""),"/","")</f>
        <v/>
      </c>
      <c r="Z443" s="5" t="str">
        <f t="array" ref="Z443">IF('Ingest Template'!A443="Standard",(IF(ISBLANK('Ingest Template'!M443),"", 'Ingest Template'!M443&amp;"|DAR")),(IF(ISBLANK('Ingest Template'!M443),"", 'Ingest Template'!M443&amp;"|Operations - Core Title")))</f>
        <v/>
      </c>
      <c r="AA443" s="5"/>
      <c r="AB443" s="5" t="str">
        <f>'Ingest Template'!F443</f>
        <v/>
      </c>
      <c r="AC443" s="5"/>
      <c r="AD443" s="5"/>
      <c r="AE443" s="5"/>
      <c r="AF443" s="8"/>
      <c r="AG443" s="5" t="str">
        <f t="array" ref="AG443">IF('Ingest Template'!A443="Standard",(CONCATENATE(IF(ISBLANK('Ingest Template'!N443),"", 'Ingest Template'!N443&amp;"|DAR"),CHAR(10), IF(ISBLANK('Ingest Template'!O443),"", 'Ingest Template'!O443&amp;"|DAR"),CHAR(10), IF(ISBLANK('Ingest Template'!P443),"", 'Ingest Template'!P443&amp;"|DAR"))),(CONCATENATE(IF(ISBLANK('Ingest Template'!N443),"", 'Ingest Template'!N443&amp;"|Operations - Core Title"),CHAR(10), IF(ISBLANK('Ingest Template'!O443),"", 'Ingest Template'!O443&amp;"|Operations - Core Title"),CHAR(10), IF(ISBLANK('Ingest Template'!P443),"", 'Ingest Template'!P443&amp;"|Operations - Core Title"))))</f>
        <v>#|Operations - Core Title
</v>
      </c>
      <c r="AH443" s="5"/>
      <c r="AI443" s="5"/>
      <c r="AJ443" s="5"/>
      <c r="AK443" s="5"/>
      <c r="AL443" s="5"/>
    </row>
    <row r="444">
      <c r="A444" s="5"/>
      <c r="B444" s="5" t="str">
        <f>'Ingest Template'!B444&amp;IF('Ingest Template'!A444 = "Standard", " - DAR","")</f>
        <v/>
      </c>
      <c r="C444" s="6" t="str">
        <f>'Ingest Template'!C444</f>
        <v/>
      </c>
      <c r="D444" s="7" t="str">
        <f>'Ingest Template'!E444</f>
        <v/>
      </c>
      <c r="E444" s="5"/>
      <c r="F444" s="5"/>
      <c r="G444" s="5"/>
      <c r="H444" s="7"/>
      <c r="I444" s="5"/>
      <c r="J444" s="7" t="str">
        <f>'Ingest Template'!Q444</f>
        <v/>
      </c>
      <c r="K444" s="5" t="str">
        <f>'Ingest Template'!R444</f>
        <v/>
      </c>
      <c r="L444" s="8" t="s">
        <v>38</v>
      </c>
      <c r="M444" s="9"/>
      <c r="N444" s="5"/>
      <c r="O444" s="5"/>
      <c r="P444" s="5"/>
      <c r="Q444" s="5"/>
      <c r="R444" s="5" t="str">
        <f>'Ingest Template'!D444</f>
        <v/>
      </c>
      <c r="S444" s="5" t="str">
        <f>'Ingest Template'!G444</f>
        <v/>
      </c>
      <c r="T444" s="5" t="str">
        <f>'Ingest Template'!H444</f>
        <v/>
      </c>
      <c r="U444" s="5" t="str">
        <f>LOWER(SUBSTITUTE(SUBSTITUTE(SUBSTITUTE(SUBSTITUTE(SUBSTITUTE('Ingest Template'!I444,"https:",""),"www.",""),"/",""),"?hl=en",""),"instagram.com",""))</f>
        <v/>
      </c>
      <c r="V444" s="10" t="str">
        <f>'Ingest Template'!J444</f>
        <v/>
      </c>
      <c r="W444" s="10" t="str">
        <f>'Ingest Template'!K444</f>
        <v/>
      </c>
      <c r="X444" s="5"/>
      <c r="Y444" s="5" t="str">
        <f>SUBSTITUTE(SUBSTITUTE(SUBSTITUTE('Ingest Template'!L444,"http:",""),"https:",""),"/","")</f>
        <v/>
      </c>
      <c r="Z444" s="5" t="str">
        <f t="array" ref="Z444">IF('Ingest Template'!A444="Standard",(IF(ISBLANK('Ingest Template'!M444),"", 'Ingest Template'!M444&amp;"|DAR")),(IF(ISBLANK('Ingest Template'!M444),"", 'Ingest Template'!M444&amp;"|Operations - Core Title")))</f>
        <v/>
      </c>
      <c r="AA444" s="5"/>
      <c r="AB444" s="5" t="str">
        <f>'Ingest Template'!F444</f>
        <v/>
      </c>
      <c r="AC444" s="5"/>
      <c r="AD444" s="5"/>
      <c r="AE444" s="5"/>
      <c r="AF444" s="8"/>
      <c r="AG444" s="5" t="str">
        <f t="array" ref="AG444">IF('Ingest Template'!A444="Standard",(CONCATENATE(IF(ISBLANK('Ingest Template'!N444),"", 'Ingest Template'!N444&amp;"|DAR"),CHAR(10), IF(ISBLANK('Ingest Template'!O444),"", 'Ingest Template'!O444&amp;"|DAR"),CHAR(10), IF(ISBLANK('Ingest Template'!P444),"", 'Ingest Template'!P444&amp;"|DAR"))),(CONCATENATE(IF(ISBLANK('Ingest Template'!N444),"", 'Ingest Template'!N444&amp;"|Operations - Core Title"),CHAR(10), IF(ISBLANK('Ingest Template'!O444),"", 'Ingest Template'!O444&amp;"|Operations - Core Title"),CHAR(10), IF(ISBLANK('Ingest Template'!P444),"", 'Ingest Template'!P444&amp;"|Operations - Core Title"))))</f>
        <v>#|Operations - Core Title
</v>
      </c>
      <c r="AH444" s="5"/>
      <c r="AI444" s="5"/>
      <c r="AJ444" s="5"/>
      <c r="AK444" s="5"/>
      <c r="AL444" s="5"/>
    </row>
    <row r="445">
      <c r="A445" s="5"/>
      <c r="B445" s="5" t="str">
        <f>'Ingest Template'!B445&amp;IF('Ingest Template'!A445 = "Standard", " - DAR","")</f>
        <v/>
      </c>
      <c r="C445" s="6" t="str">
        <f>'Ingest Template'!C445</f>
        <v/>
      </c>
      <c r="D445" s="7" t="str">
        <f>'Ingest Template'!E445</f>
        <v/>
      </c>
      <c r="E445" s="5"/>
      <c r="F445" s="5"/>
      <c r="G445" s="5"/>
      <c r="H445" s="7"/>
      <c r="I445" s="5"/>
      <c r="J445" s="7" t="str">
        <f>'Ingest Template'!Q445</f>
        <v/>
      </c>
      <c r="K445" s="5" t="str">
        <f>'Ingest Template'!R445</f>
        <v/>
      </c>
      <c r="L445" s="8" t="s">
        <v>38</v>
      </c>
      <c r="M445" s="9"/>
      <c r="N445" s="5"/>
      <c r="O445" s="5"/>
      <c r="P445" s="5"/>
      <c r="Q445" s="5"/>
      <c r="R445" s="5" t="str">
        <f>'Ingest Template'!D445</f>
        <v/>
      </c>
      <c r="S445" s="5" t="str">
        <f>'Ingest Template'!G445</f>
        <v/>
      </c>
      <c r="T445" s="5" t="str">
        <f>'Ingest Template'!H445</f>
        <v/>
      </c>
      <c r="U445" s="5" t="str">
        <f>LOWER(SUBSTITUTE(SUBSTITUTE(SUBSTITUTE(SUBSTITUTE(SUBSTITUTE('Ingest Template'!I445,"https:",""),"www.",""),"/",""),"?hl=en",""),"instagram.com",""))</f>
        <v/>
      </c>
      <c r="V445" s="10" t="str">
        <f>'Ingest Template'!J445</f>
        <v/>
      </c>
      <c r="W445" s="10" t="str">
        <f>'Ingest Template'!K445</f>
        <v/>
      </c>
      <c r="X445" s="5"/>
      <c r="Y445" s="5" t="str">
        <f>SUBSTITUTE(SUBSTITUTE(SUBSTITUTE('Ingest Template'!L445,"http:",""),"https:",""),"/","")</f>
        <v/>
      </c>
      <c r="Z445" s="5" t="str">
        <f t="array" ref="Z445">IF('Ingest Template'!A445="Standard",(IF(ISBLANK('Ingest Template'!M445),"", 'Ingest Template'!M445&amp;"|DAR")),(IF(ISBLANK('Ingest Template'!M445),"", 'Ingest Template'!M445&amp;"|Operations - Core Title")))</f>
        <v/>
      </c>
      <c r="AA445" s="5"/>
      <c r="AB445" s="5" t="str">
        <f>'Ingest Template'!F445</f>
        <v/>
      </c>
      <c r="AC445" s="5"/>
      <c r="AD445" s="5"/>
      <c r="AE445" s="5"/>
      <c r="AF445" s="8"/>
      <c r="AG445" s="5" t="str">
        <f t="array" ref="AG445">IF('Ingest Template'!A445="Standard",(CONCATENATE(IF(ISBLANK('Ingest Template'!N445),"", 'Ingest Template'!N445&amp;"|DAR"),CHAR(10), IF(ISBLANK('Ingest Template'!O445),"", 'Ingest Template'!O445&amp;"|DAR"),CHAR(10), IF(ISBLANK('Ingest Template'!P445),"", 'Ingest Template'!P445&amp;"|DAR"))),(CONCATENATE(IF(ISBLANK('Ingest Template'!N445),"", 'Ingest Template'!N445&amp;"|Operations - Core Title"),CHAR(10), IF(ISBLANK('Ingest Template'!O445),"", 'Ingest Template'!O445&amp;"|Operations - Core Title"),CHAR(10), IF(ISBLANK('Ingest Template'!P445),"", 'Ingest Template'!P445&amp;"|Operations - Core Title"))))</f>
        <v>#|Operations - Core Title
</v>
      </c>
      <c r="AH445" s="5"/>
      <c r="AI445" s="5"/>
      <c r="AJ445" s="5"/>
      <c r="AK445" s="5"/>
      <c r="AL445" s="5"/>
    </row>
    <row r="446">
      <c r="A446" s="5"/>
      <c r="B446" s="5" t="str">
        <f>'Ingest Template'!B446&amp;IF('Ingest Template'!A446 = "Standard", " - DAR","")</f>
        <v/>
      </c>
      <c r="C446" s="6" t="str">
        <f>'Ingest Template'!C446</f>
        <v/>
      </c>
      <c r="D446" s="7" t="str">
        <f>'Ingest Template'!E446</f>
        <v/>
      </c>
      <c r="E446" s="5"/>
      <c r="F446" s="5"/>
      <c r="G446" s="5"/>
      <c r="H446" s="7"/>
      <c r="I446" s="5"/>
      <c r="J446" s="7" t="str">
        <f>'Ingest Template'!Q446</f>
        <v/>
      </c>
      <c r="K446" s="5" t="str">
        <f>'Ingest Template'!R446</f>
        <v/>
      </c>
      <c r="L446" s="8" t="s">
        <v>38</v>
      </c>
      <c r="M446" s="9"/>
      <c r="N446" s="5"/>
      <c r="O446" s="5"/>
      <c r="P446" s="5"/>
      <c r="Q446" s="5"/>
      <c r="R446" s="5" t="str">
        <f>'Ingest Template'!D446</f>
        <v/>
      </c>
      <c r="S446" s="5" t="str">
        <f>'Ingest Template'!G446</f>
        <v/>
      </c>
      <c r="T446" s="5" t="str">
        <f>'Ingest Template'!H446</f>
        <v/>
      </c>
      <c r="U446" s="5" t="str">
        <f>LOWER(SUBSTITUTE(SUBSTITUTE(SUBSTITUTE(SUBSTITUTE(SUBSTITUTE('Ingest Template'!I446,"https:",""),"www.",""),"/",""),"?hl=en",""),"instagram.com",""))</f>
        <v/>
      </c>
      <c r="V446" s="10" t="str">
        <f>'Ingest Template'!J446</f>
        <v/>
      </c>
      <c r="W446" s="10" t="str">
        <f>'Ingest Template'!K446</f>
        <v/>
      </c>
      <c r="X446" s="5"/>
      <c r="Y446" s="5" t="str">
        <f>SUBSTITUTE(SUBSTITUTE(SUBSTITUTE('Ingest Template'!L446,"http:",""),"https:",""),"/","")</f>
        <v/>
      </c>
      <c r="Z446" s="5" t="str">
        <f t="array" ref="Z446">IF('Ingest Template'!A446="Standard",(IF(ISBLANK('Ingest Template'!M446),"", 'Ingest Template'!M446&amp;"|DAR")),(IF(ISBLANK('Ingest Template'!M446),"", 'Ingest Template'!M446&amp;"|Operations - Core Title")))</f>
        <v/>
      </c>
      <c r="AA446" s="5"/>
      <c r="AB446" s="5" t="str">
        <f>'Ingest Template'!F446</f>
        <v/>
      </c>
      <c r="AC446" s="5"/>
      <c r="AD446" s="5"/>
      <c r="AE446" s="5"/>
      <c r="AF446" s="8"/>
      <c r="AG446" s="5" t="str">
        <f t="array" ref="AG446">IF('Ingest Template'!A446="Standard",(CONCATENATE(IF(ISBLANK('Ingest Template'!N446),"", 'Ingest Template'!N446&amp;"|DAR"),CHAR(10), IF(ISBLANK('Ingest Template'!O446),"", 'Ingest Template'!O446&amp;"|DAR"),CHAR(10), IF(ISBLANK('Ingest Template'!P446),"", 'Ingest Template'!P446&amp;"|DAR"))),(CONCATENATE(IF(ISBLANK('Ingest Template'!N446),"", 'Ingest Template'!N446&amp;"|Operations - Core Title"),CHAR(10), IF(ISBLANK('Ingest Template'!O446),"", 'Ingest Template'!O446&amp;"|Operations - Core Title"),CHAR(10), IF(ISBLANK('Ingest Template'!P446),"", 'Ingest Template'!P446&amp;"|Operations - Core Title"))))</f>
        <v>#|Operations - Core Title
</v>
      </c>
      <c r="AH446" s="5"/>
      <c r="AI446" s="5"/>
      <c r="AJ446" s="5"/>
      <c r="AK446" s="5"/>
      <c r="AL446" s="5"/>
    </row>
    <row r="447">
      <c r="A447" s="5"/>
      <c r="B447" s="5" t="str">
        <f>'Ingest Template'!B447&amp;IF('Ingest Template'!A447 = "Standard", " - DAR","")</f>
        <v/>
      </c>
      <c r="C447" s="6" t="str">
        <f>'Ingest Template'!C447</f>
        <v/>
      </c>
      <c r="D447" s="7" t="str">
        <f>'Ingest Template'!E447</f>
        <v/>
      </c>
      <c r="E447" s="5"/>
      <c r="F447" s="5"/>
      <c r="G447" s="5"/>
      <c r="H447" s="7"/>
      <c r="I447" s="5"/>
      <c r="J447" s="7" t="str">
        <f>'Ingest Template'!Q447</f>
        <v/>
      </c>
      <c r="K447" s="5" t="str">
        <f>'Ingest Template'!R447</f>
        <v/>
      </c>
      <c r="L447" s="8" t="s">
        <v>38</v>
      </c>
      <c r="M447" s="9"/>
      <c r="N447" s="5"/>
      <c r="O447" s="5"/>
      <c r="P447" s="5"/>
      <c r="Q447" s="5"/>
      <c r="R447" s="5" t="str">
        <f>'Ingest Template'!D447</f>
        <v/>
      </c>
      <c r="S447" s="5" t="str">
        <f>'Ingest Template'!G447</f>
        <v/>
      </c>
      <c r="T447" s="5" t="str">
        <f>'Ingest Template'!H447</f>
        <v/>
      </c>
      <c r="U447" s="5" t="str">
        <f>LOWER(SUBSTITUTE(SUBSTITUTE(SUBSTITUTE(SUBSTITUTE(SUBSTITUTE('Ingest Template'!I447,"https:",""),"www.",""),"/",""),"?hl=en",""),"instagram.com",""))</f>
        <v/>
      </c>
      <c r="V447" s="10" t="str">
        <f>'Ingest Template'!J447</f>
        <v/>
      </c>
      <c r="W447" s="10" t="str">
        <f>'Ingest Template'!K447</f>
        <v/>
      </c>
      <c r="X447" s="5"/>
      <c r="Y447" s="5" t="str">
        <f>SUBSTITUTE(SUBSTITUTE(SUBSTITUTE('Ingest Template'!L447,"http:",""),"https:",""),"/","")</f>
        <v/>
      </c>
      <c r="Z447" s="5" t="str">
        <f t="array" ref="Z447">IF('Ingest Template'!A447="Standard",(IF(ISBLANK('Ingest Template'!M447),"", 'Ingest Template'!M447&amp;"|DAR")),(IF(ISBLANK('Ingest Template'!M447),"", 'Ingest Template'!M447&amp;"|Operations - Core Title")))</f>
        <v/>
      </c>
      <c r="AA447" s="5"/>
      <c r="AB447" s="5" t="str">
        <f>'Ingest Template'!F447</f>
        <v/>
      </c>
      <c r="AC447" s="5"/>
      <c r="AD447" s="5"/>
      <c r="AE447" s="5"/>
      <c r="AF447" s="8"/>
      <c r="AG447" s="5" t="str">
        <f t="array" ref="AG447">IF('Ingest Template'!A447="Standard",(CONCATENATE(IF(ISBLANK('Ingest Template'!N447),"", 'Ingest Template'!N447&amp;"|DAR"),CHAR(10), IF(ISBLANK('Ingest Template'!O447),"", 'Ingest Template'!O447&amp;"|DAR"),CHAR(10), IF(ISBLANK('Ingest Template'!P447),"", 'Ingest Template'!P447&amp;"|DAR"))),(CONCATENATE(IF(ISBLANK('Ingest Template'!N447),"", 'Ingest Template'!N447&amp;"|Operations - Core Title"),CHAR(10), IF(ISBLANK('Ingest Template'!O447),"", 'Ingest Template'!O447&amp;"|Operations - Core Title"),CHAR(10), IF(ISBLANK('Ingest Template'!P447),"", 'Ingest Template'!P447&amp;"|Operations - Core Title"))))</f>
        <v>#|Operations - Core Title
</v>
      </c>
      <c r="AH447" s="5"/>
      <c r="AI447" s="5"/>
      <c r="AJ447" s="5"/>
      <c r="AK447" s="5"/>
      <c r="AL447" s="5"/>
    </row>
    <row r="448">
      <c r="A448" s="5"/>
      <c r="B448" s="5" t="str">
        <f>'Ingest Template'!B448&amp;IF('Ingest Template'!A448 = "Standard", " - DAR","")</f>
        <v/>
      </c>
      <c r="C448" s="6" t="str">
        <f>'Ingest Template'!C448</f>
        <v/>
      </c>
      <c r="D448" s="7" t="str">
        <f>'Ingest Template'!E448</f>
        <v/>
      </c>
      <c r="E448" s="5"/>
      <c r="F448" s="5"/>
      <c r="G448" s="5"/>
      <c r="H448" s="7"/>
      <c r="I448" s="5"/>
      <c r="J448" s="7" t="str">
        <f>'Ingest Template'!Q448</f>
        <v/>
      </c>
      <c r="K448" s="5" t="str">
        <f>'Ingest Template'!R448</f>
        <v/>
      </c>
      <c r="L448" s="8" t="s">
        <v>38</v>
      </c>
      <c r="M448" s="9"/>
      <c r="N448" s="5"/>
      <c r="O448" s="5"/>
      <c r="P448" s="5"/>
      <c r="Q448" s="5"/>
      <c r="R448" s="5" t="str">
        <f>'Ingest Template'!D448</f>
        <v/>
      </c>
      <c r="S448" s="5" t="str">
        <f>'Ingest Template'!G448</f>
        <v/>
      </c>
      <c r="T448" s="5" t="str">
        <f>'Ingest Template'!H448</f>
        <v/>
      </c>
      <c r="U448" s="5" t="str">
        <f>LOWER(SUBSTITUTE(SUBSTITUTE(SUBSTITUTE(SUBSTITUTE(SUBSTITUTE('Ingest Template'!I448,"https:",""),"www.",""),"/",""),"?hl=en",""),"instagram.com",""))</f>
        <v/>
      </c>
      <c r="V448" s="10" t="str">
        <f>'Ingest Template'!J448</f>
        <v/>
      </c>
      <c r="W448" s="10" t="str">
        <f>'Ingest Template'!K448</f>
        <v/>
      </c>
      <c r="X448" s="5"/>
      <c r="Y448" s="5" t="str">
        <f>SUBSTITUTE(SUBSTITUTE(SUBSTITUTE('Ingest Template'!L448,"http:",""),"https:",""),"/","")</f>
        <v/>
      </c>
      <c r="Z448" s="5" t="str">
        <f t="array" ref="Z448">IF('Ingest Template'!A448="Standard",(IF(ISBLANK('Ingest Template'!M448),"", 'Ingest Template'!M448&amp;"|DAR")),(IF(ISBLANK('Ingest Template'!M448),"", 'Ingest Template'!M448&amp;"|Operations - Core Title")))</f>
        <v/>
      </c>
      <c r="AA448" s="5"/>
      <c r="AB448" s="5" t="str">
        <f>'Ingest Template'!F448</f>
        <v/>
      </c>
      <c r="AC448" s="5"/>
      <c r="AD448" s="5"/>
      <c r="AE448" s="5"/>
      <c r="AF448" s="8"/>
      <c r="AG448" s="5" t="str">
        <f t="array" ref="AG448">IF('Ingest Template'!A448="Standard",(CONCATENATE(IF(ISBLANK('Ingest Template'!N448),"", 'Ingest Template'!N448&amp;"|DAR"),CHAR(10), IF(ISBLANK('Ingest Template'!O448),"", 'Ingest Template'!O448&amp;"|DAR"),CHAR(10), IF(ISBLANK('Ingest Template'!P448),"", 'Ingest Template'!P448&amp;"|DAR"))),(CONCATENATE(IF(ISBLANK('Ingest Template'!N448),"", 'Ingest Template'!N448&amp;"|Operations - Core Title"),CHAR(10), IF(ISBLANK('Ingest Template'!O448),"", 'Ingest Template'!O448&amp;"|Operations - Core Title"),CHAR(10), IF(ISBLANK('Ingest Template'!P448),"", 'Ingest Template'!P448&amp;"|Operations - Core Title"))))</f>
        <v>#|Operations - Core Title
</v>
      </c>
      <c r="AH448" s="5"/>
      <c r="AI448" s="5"/>
      <c r="AJ448" s="5"/>
      <c r="AK448" s="5"/>
      <c r="AL448" s="5"/>
    </row>
    <row r="449">
      <c r="A449" s="5"/>
      <c r="B449" s="5" t="str">
        <f>'Ingest Template'!B449&amp;IF('Ingest Template'!A449 = "Standard", " - DAR","")</f>
        <v/>
      </c>
      <c r="C449" s="6" t="str">
        <f>'Ingest Template'!C449</f>
        <v/>
      </c>
      <c r="D449" s="7" t="str">
        <f>'Ingest Template'!E449</f>
        <v/>
      </c>
      <c r="E449" s="5"/>
      <c r="F449" s="5"/>
      <c r="G449" s="5"/>
      <c r="H449" s="7"/>
      <c r="I449" s="5"/>
      <c r="J449" s="7" t="str">
        <f>'Ingest Template'!Q449</f>
        <v/>
      </c>
      <c r="K449" s="5" t="str">
        <f>'Ingest Template'!R449</f>
        <v/>
      </c>
      <c r="L449" s="8" t="s">
        <v>38</v>
      </c>
      <c r="M449" s="9"/>
      <c r="N449" s="5"/>
      <c r="O449" s="5"/>
      <c r="P449" s="5"/>
      <c r="Q449" s="5"/>
      <c r="R449" s="5" t="str">
        <f>'Ingest Template'!D449</f>
        <v/>
      </c>
      <c r="S449" s="5" t="str">
        <f>'Ingest Template'!G449</f>
        <v/>
      </c>
      <c r="T449" s="5" t="str">
        <f>'Ingest Template'!H449</f>
        <v/>
      </c>
      <c r="U449" s="5" t="str">
        <f>LOWER(SUBSTITUTE(SUBSTITUTE(SUBSTITUTE(SUBSTITUTE(SUBSTITUTE('Ingest Template'!I449,"https:",""),"www.",""),"/",""),"?hl=en",""),"instagram.com",""))</f>
        <v/>
      </c>
      <c r="V449" s="10" t="str">
        <f>'Ingest Template'!J449</f>
        <v/>
      </c>
      <c r="W449" s="10" t="str">
        <f>'Ingest Template'!K449</f>
        <v/>
      </c>
      <c r="X449" s="5"/>
      <c r="Y449" s="5" t="str">
        <f>SUBSTITUTE(SUBSTITUTE(SUBSTITUTE('Ingest Template'!L449,"http:",""),"https:",""),"/","")</f>
        <v/>
      </c>
      <c r="Z449" s="5" t="str">
        <f t="array" ref="Z449">IF('Ingest Template'!A449="Standard",(IF(ISBLANK('Ingest Template'!M449),"", 'Ingest Template'!M449&amp;"|DAR")),(IF(ISBLANK('Ingest Template'!M449),"", 'Ingest Template'!M449&amp;"|Operations - Core Title")))</f>
        <v/>
      </c>
      <c r="AA449" s="5"/>
      <c r="AB449" s="5" t="str">
        <f>'Ingest Template'!F449</f>
        <v/>
      </c>
      <c r="AC449" s="5"/>
      <c r="AD449" s="5"/>
      <c r="AE449" s="5"/>
      <c r="AF449" s="8"/>
      <c r="AG449" s="5" t="str">
        <f t="array" ref="AG449">IF('Ingest Template'!A449="Standard",(CONCATENATE(IF(ISBLANK('Ingest Template'!N449),"", 'Ingest Template'!N449&amp;"|DAR"),CHAR(10), IF(ISBLANK('Ingest Template'!O449),"", 'Ingest Template'!O449&amp;"|DAR"),CHAR(10), IF(ISBLANK('Ingest Template'!P449),"", 'Ingest Template'!P449&amp;"|DAR"))),(CONCATENATE(IF(ISBLANK('Ingest Template'!N449),"", 'Ingest Template'!N449&amp;"|Operations - Core Title"),CHAR(10), IF(ISBLANK('Ingest Template'!O449),"", 'Ingest Template'!O449&amp;"|Operations - Core Title"),CHAR(10), IF(ISBLANK('Ingest Template'!P449),"", 'Ingest Template'!P449&amp;"|Operations - Core Title"))))</f>
        <v>#|Operations - Core Title
</v>
      </c>
      <c r="AH449" s="5"/>
      <c r="AI449" s="5"/>
      <c r="AJ449" s="5"/>
      <c r="AK449" s="5"/>
      <c r="AL449" s="5"/>
    </row>
    <row r="450">
      <c r="A450" s="5"/>
      <c r="B450" s="5" t="str">
        <f>'Ingest Template'!B450&amp;IF('Ingest Template'!A450 = "Standard", " - DAR","")</f>
        <v/>
      </c>
      <c r="C450" s="6" t="str">
        <f>'Ingest Template'!C450</f>
        <v/>
      </c>
      <c r="D450" s="7" t="str">
        <f>'Ingest Template'!E450</f>
        <v/>
      </c>
      <c r="E450" s="5"/>
      <c r="F450" s="5"/>
      <c r="G450" s="5"/>
      <c r="H450" s="7"/>
      <c r="I450" s="5"/>
      <c r="J450" s="7" t="str">
        <f>'Ingest Template'!Q450</f>
        <v/>
      </c>
      <c r="K450" s="5" t="str">
        <f>'Ingest Template'!R450</f>
        <v/>
      </c>
      <c r="L450" s="8" t="s">
        <v>38</v>
      </c>
      <c r="M450" s="9"/>
      <c r="N450" s="5"/>
      <c r="O450" s="5"/>
      <c r="P450" s="5"/>
      <c r="Q450" s="5"/>
      <c r="R450" s="5" t="str">
        <f>'Ingest Template'!D450</f>
        <v/>
      </c>
      <c r="S450" s="5" t="str">
        <f>'Ingest Template'!G450</f>
        <v/>
      </c>
      <c r="T450" s="5" t="str">
        <f>'Ingest Template'!H450</f>
        <v/>
      </c>
      <c r="U450" s="5" t="str">
        <f>LOWER(SUBSTITUTE(SUBSTITUTE(SUBSTITUTE(SUBSTITUTE(SUBSTITUTE('Ingest Template'!I450,"https:",""),"www.",""),"/",""),"?hl=en",""),"instagram.com",""))</f>
        <v/>
      </c>
      <c r="V450" s="10" t="str">
        <f>'Ingest Template'!J450</f>
        <v/>
      </c>
      <c r="W450" s="10" t="str">
        <f>'Ingest Template'!K450</f>
        <v/>
      </c>
      <c r="X450" s="5"/>
      <c r="Y450" s="5" t="str">
        <f>SUBSTITUTE(SUBSTITUTE(SUBSTITUTE('Ingest Template'!L450,"http:",""),"https:",""),"/","")</f>
        <v/>
      </c>
      <c r="Z450" s="5" t="str">
        <f t="array" ref="Z450">IF('Ingest Template'!A450="Standard",(IF(ISBLANK('Ingest Template'!M450),"", 'Ingest Template'!M450&amp;"|DAR")),(IF(ISBLANK('Ingest Template'!M450),"", 'Ingest Template'!M450&amp;"|Operations - Core Title")))</f>
        <v/>
      </c>
      <c r="AA450" s="5"/>
      <c r="AB450" s="5" t="str">
        <f>'Ingest Template'!F450</f>
        <v/>
      </c>
      <c r="AC450" s="5"/>
      <c r="AD450" s="5"/>
      <c r="AE450" s="5"/>
      <c r="AF450" s="8"/>
      <c r="AG450" s="5" t="str">
        <f t="array" ref="AG450">IF('Ingest Template'!A450="Standard",(CONCATENATE(IF(ISBLANK('Ingest Template'!N450),"", 'Ingest Template'!N450&amp;"|DAR"),CHAR(10), IF(ISBLANK('Ingest Template'!O450),"", 'Ingest Template'!O450&amp;"|DAR"),CHAR(10), IF(ISBLANK('Ingest Template'!P450),"", 'Ingest Template'!P450&amp;"|DAR"))),(CONCATENATE(IF(ISBLANK('Ingest Template'!N450),"", 'Ingest Template'!N450&amp;"|Operations - Core Title"),CHAR(10), IF(ISBLANK('Ingest Template'!O450),"", 'Ingest Template'!O450&amp;"|Operations - Core Title"),CHAR(10), IF(ISBLANK('Ingest Template'!P450),"", 'Ingest Template'!P450&amp;"|Operations - Core Title"))))</f>
        <v>#|Operations - Core Title
</v>
      </c>
      <c r="AH450" s="5"/>
      <c r="AI450" s="5"/>
      <c r="AJ450" s="5"/>
      <c r="AK450" s="5"/>
      <c r="AL450" s="5"/>
    </row>
    <row r="451">
      <c r="A451" s="5"/>
      <c r="B451" s="5" t="str">
        <f>'Ingest Template'!B451&amp;IF('Ingest Template'!A451 = "Standard", " - DAR","")</f>
        <v/>
      </c>
      <c r="C451" s="6" t="str">
        <f>'Ingest Template'!C451</f>
        <v/>
      </c>
      <c r="D451" s="7" t="str">
        <f>'Ingest Template'!E451</f>
        <v/>
      </c>
      <c r="E451" s="5"/>
      <c r="F451" s="5"/>
      <c r="G451" s="5"/>
      <c r="H451" s="7"/>
      <c r="I451" s="5"/>
      <c r="J451" s="7" t="str">
        <f>'Ingest Template'!Q451</f>
        <v/>
      </c>
      <c r="K451" s="5" t="str">
        <f>'Ingest Template'!R451</f>
        <v/>
      </c>
      <c r="L451" s="8" t="s">
        <v>38</v>
      </c>
      <c r="M451" s="9"/>
      <c r="N451" s="5"/>
      <c r="O451" s="5"/>
      <c r="P451" s="5"/>
      <c r="Q451" s="5"/>
      <c r="R451" s="5" t="str">
        <f>'Ingest Template'!D451</f>
        <v/>
      </c>
      <c r="S451" s="5" t="str">
        <f>'Ingest Template'!G451</f>
        <v/>
      </c>
      <c r="T451" s="5" t="str">
        <f>'Ingest Template'!H451</f>
        <v/>
      </c>
      <c r="U451" s="5" t="str">
        <f>LOWER(SUBSTITUTE(SUBSTITUTE(SUBSTITUTE(SUBSTITUTE(SUBSTITUTE('Ingest Template'!I451,"https:",""),"www.",""),"/",""),"?hl=en",""),"instagram.com",""))</f>
        <v/>
      </c>
      <c r="V451" s="10" t="str">
        <f>'Ingest Template'!J451</f>
        <v/>
      </c>
      <c r="W451" s="10" t="str">
        <f>'Ingest Template'!K451</f>
        <v/>
      </c>
      <c r="X451" s="5"/>
      <c r="Y451" s="5" t="str">
        <f>SUBSTITUTE(SUBSTITUTE(SUBSTITUTE('Ingest Template'!L451,"http:",""),"https:",""),"/","")</f>
        <v/>
      </c>
      <c r="Z451" s="5" t="str">
        <f t="array" ref="Z451">IF('Ingest Template'!A451="Standard",(IF(ISBLANK('Ingest Template'!M451),"", 'Ingest Template'!M451&amp;"|DAR")),(IF(ISBLANK('Ingest Template'!M451),"", 'Ingest Template'!M451&amp;"|Operations - Core Title")))</f>
        <v/>
      </c>
      <c r="AA451" s="5"/>
      <c r="AB451" s="5" t="str">
        <f>'Ingest Template'!F451</f>
        <v/>
      </c>
      <c r="AC451" s="5"/>
      <c r="AD451" s="5"/>
      <c r="AE451" s="5"/>
      <c r="AF451" s="8"/>
      <c r="AG451" s="5" t="str">
        <f t="array" ref="AG451">IF('Ingest Template'!A451="Standard",(CONCATENATE(IF(ISBLANK('Ingest Template'!N451),"", 'Ingest Template'!N451&amp;"|DAR"),CHAR(10), IF(ISBLANK('Ingest Template'!O451),"", 'Ingest Template'!O451&amp;"|DAR"),CHAR(10), IF(ISBLANK('Ingest Template'!P451),"", 'Ingest Template'!P451&amp;"|DAR"))),(CONCATENATE(IF(ISBLANK('Ingest Template'!N451),"", 'Ingest Template'!N451&amp;"|Operations - Core Title"),CHAR(10), IF(ISBLANK('Ingest Template'!O451),"", 'Ingest Template'!O451&amp;"|Operations - Core Title"),CHAR(10), IF(ISBLANK('Ingest Template'!P451),"", 'Ingest Template'!P451&amp;"|Operations - Core Title"))))</f>
        <v>#|Operations - Core Title
</v>
      </c>
      <c r="AH451" s="5"/>
      <c r="AI451" s="5"/>
      <c r="AJ451" s="5"/>
      <c r="AK451" s="5"/>
      <c r="AL451" s="5"/>
    </row>
    <row r="452">
      <c r="A452" s="5"/>
      <c r="B452" s="5" t="str">
        <f>'Ingest Template'!B452&amp;IF('Ingest Template'!A452 = "Standard", " - DAR","")</f>
        <v/>
      </c>
      <c r="C452" s="6" t="str">
        <f>'Ingest Template'!C452</f>
        <v/>
      </c>
      <c r="D452" s="7" t="str">
        <f>'Ingest Template'!E452</f>
        <v/>
      </c>
      <c r="E452" s="5"/>
      <c r="F452" s="5"/>
      <c r="G452" s="5"/>
      <c r="H452" s="7"/>
      <c r="I452" s="5"/>
      <c r="J452" s="7" t="str">
        <f>'Ingest Template'!Q452</f>
        <v/>
      </c>
      <c r="K452" s="5" t="str">
        <f>'Ingest Template'!R452</f>
        <v/>
      </c>
      <c r="L452" s="8" t="s">
        <v>38</v>
      </c>
      <c r="M452" s="9"/>
      <c r="N452" s="5"/>
      <c r="O452" s="5"/>
      <c r="P452" s="5"/>
      <c r="Q452" s="5"/>
      <c r="R452" s="5" t="str">
        <f>'Ingest Template'!D452</f>
        <v/>
      </c>
      <c r="S452" s="5" t="str">
        <f>'Ingest Template'!G452</f>
        <v/>
      </c>
      <c r="T452" s="5" t="str">
        <f>'Ingest Template'!H452</f>
        <v/>
      </c>
      <c r="U452" s="5" t="str">
        <f>LOWER(SUBSTITUTE(SUBSTITUTE(SUBSTITUTE(SUBSTITUTE(SUBSTITUTE('Ingest Template'!I452,"https:",""),"www.",""),"/",""),"?hl=en",""),"instagram.com",""))</f>
        <v/>
      </c>
      <c r="V452" s="10" t="str">
        <f>'Ingest Template'!J452</f>
        <v/>
      </c>
      <c r="W452" s="10" t="str">
        <f>'Ingest Template'!K452</f>
        <v/>
      </c>
      <c r="X452" s="5"/>
      <c r="Y452" s="5" t="str">
        <f>SUBSTITUTE(SUBSTITUTE(SUBSTITUTE('Ingest Template'!L452,"http:",""),"https:",""),"/","")</f>
        <v/>
      </c>
      <c r="Z452" s="5" t="str">
        <f t="array" ref="Z452">IF('Ingest Template'!A452="Standard",(IF(ISBLANK('Ingest Template'!M452),"", 'Ingest Template'!M452&amp;"|DAR")),(IF(ISBLANK('Ingest Template'!M452),"", 'Ingest Template'!M452&amp;"|Operations - Core Title")))</f>
        <v/>
      </c>
      <c r="AA452" s="5"/>
      <c r="AB452" s="5" t="str">
        <f>'Ingest Template'!F452</f>
        <v/>
      </c>
      <c r="AC452" s="5"/>
      <c r="AD452" s="5"/>
      <c r="AE452" s="5"/>
      <c r="AF452" s="8"/>
      <c r="AG452" s="5" t="str">
        <f t="array" ref="AG452">IF('Ingest Template'!A452="Standard",(CONCATENATE(IF(ISBLANK('Ingest Template'!N452),"", 'Ingest Template'!N452&amp;"|DAR"),CHAR(10), IF(ISBLANK('Ingest Template'!O452),"", 'Ingest Template'!O452&amp;"|DAR"),CHAR(10), IF(ISBLANK('Ingest Template'!P452),"", 'Ingest Template'!P452&amp;"|DAR"))),(CONCATENATE(IF(ISBLANK('Ingest Template'!N452),"", 'Ingest Template'!N452&amp;"|Operations - Core Title"),CHAR(10), IF(ISBLANK('Ingest Template'!O452),"", 'Ingest Template'!O452&amp;"|Operations - Core Title"),CHAR(10), IF(ISBLANK('Ingest Template'!P452),"", 'Ingest Template'!P452&amp;"|Operations - Core Title"))))</f>
        <v>#|Operations - Core Title
</v>
      </c>
      <c r="AH452" s="5"/>
      <c r="AI452" s="5"/>
      <c r="AJ452" s="5"/>
      <c r="AK452" s="5"/>
      <c r="AL452" s="5"/>
    </row>
    <row r="453">
      <c r="A453" s="5"/>
      <c r="B453" s="5" t="str">
        <f>'Ingest Template'!B453&amp;IF('Ingest Template'!A453 = "Standard", " - DAR","")</f>
        <v/>
      </c>
      <c r="C453" s="6" t="str">
        <f>'Ingest Template'!C453</f>
        <v/>
      </c>
      <c r="D453" s="7" t="str">
        <f>'Ingest Template'!E453</f>
        <v/>
      </c>
      <c r="E453" s="5"/>
      <c r="F453" s="5"/>
      <c r="G453" s="5"/>
      <c r="H453" s="7"/>
      <c r="I453" s="5"/>
      <c r="J453" s="7" t="str">
        <f>'Ingest Template'!Q453</f>
        <v/>
      </c>
      <c r="K453" s="5" t="str">
        <f>'Ingest Template'!R453</f>
        <v/>
      </c>
      <c r="L453" s="8" t="s">
        <v>38</v>
      </c>
      <c r="M453" s="9"/>
      <c r="N453" s="5"/>
      <c r="O453" s="5"/>
      <c r="P453" s="5"/>
      <c r="Q453" s="5"/>
      <c r="R453" s="5" t="str">
        <f>'Ingest Template'!D453</f>
        <v/>
      </c>
      <c r="S453" s="5" t="str">
        <f>'Ingest Template'!G453</f>
        <v/>
      </c>
      <c r="T453" s="5" t="str">
        <f>'Ingest Template'!H453</f>
        <v/>
      </c>
      <c r="U453" s="5" t="str">
        <f>LOWER(SUBSTITUTE(SUBSTITUTE(SUBSTITUTE(SUBSTITUTE(SUBSTITUTE('Ingest Template'!I453,"https:",""),"www.",""),"/",""),"?hl=en",""),"instagram.com",""))</f>
        <v/>
      </c>
      <c r="V453" s="10" t="str">
        <f>'Ingest Template'!J453</f>
        <v/>
      </c>
      <c r="W453" s="10" t="str">
        <f>'Ingest Template'!K453</f>
        <v/>
      </c>
      <c r="X453" s="5"/>
      <c r="Y453" s="5" t="str">
        <f>SUBSTITUTE(SUBSTITUTE(SUBSTITUTE('Ingest Template'!L453,"http:",""),"https:",""),"/","")</f>
        <v/>
      </c>
      <c r="Z453" s="5" t="str">
        <f t="array" ref="Z453">IF('Ingest Template'!A453="Standard",(IF(ISBLANK('Ingest Template'!M453),"", 'Ingest Template'!M453&amp;"|DAR")),(IF(ISBLANK('Ingest Template'!M453),"", 'Ingest Template'!M453&amp;"|Operations - Core Title")))</f>
        <v/>
      </c>
      <c r="AA453" s="5"/>
      <c r="AB453" s="5" t="str">
        <f>'Ingest Template'!F453</f>
        <v/>
      </c>
      <c r="AC453" s="5"/>
      <c r="AD453" s="5"/>
      <c r="AE453" s="5"/>
      <c r="AF453" s="8"/>
      <c r="AG453" s="5" t="str">
        <f t="array" ref="AG453">IF('Ingest Template'!A453="Standard",(CONCATENATE(IF(ISBLANK('Ingest Template'!N453),"", 'Ingest Template'!N453&amp;"|DAR"),CHAR(10), IF(ISBLANK('Ingest Template'!O453),"", 'Ingest Template'!O453&amp;"|DAR"),CHAR(10), IF(ISBLANK('Ingest Template'!P453),"", 'Ingest Template'!P453&amp;"|DAR"))),(CONCATENATE(IF(ISBLANK('Ingest Template'!N453),"", 'Ingest Template'!N453&amp;"|Operations - Core Title"),CHAR(10), IF(ISBLANK('Ingest Template'!O453),"", 'Ingest Template'!O453&amp;"|Operations - Core Title"),CHAR(10), IF(ISBLANK('Ingest Template'!P453),"", 'Ingest Template'!P453&amp;"|Operations - Core Title"))))</f>
        <v>#|Operations - Core Title
</v>
      </c>
      <c r="AH453" s="5"/>
      <c r="AI453" s="5"/>
      <c r="AJ453" s="5"/>
      <c r="AK453" s="5"/>
      <c r="AL453" s="5"/>
    </row>
    <row r="454">
      <c r="A454" s="5"/>
      <c r="B454" s="5" t="str">
        <f>'Ingest Template'!B454&amp;IF('Ingest Template'!A454 = "Standard", " - DAR","")</f>
        <v/>
      </c>
      <c r="C454" s="6" t="str">
        <f>'Ingest Template'!C454</f>
        <v/>
      </c>
      <c r="D454" s="7" t="str">
        <f>'Ingest Template'!E454</f>
        <v/>
      </c>
      <c r="E454" s="5"/>
      <c r="F454" s="5"/>
      <c r="G454" s="5"/>
      <c r="H454" s="7"/>
      <c r="I454" s="5"/>
      <c r="J454" s="7" t="str">
        <f>'Ingest Template'!Q454</f>
        <v/>
      </c>
      <c r="K454" s="5" t="str">
        <f>'Ingest Template'!R454</f>
        <v/>
      </c>
      <c r="L454" s="8" t="s">
        <v>38</v>
      </c>
      <c r="M454" s="9"/>
      <c r="N454" s="5"/>
      <c r="O454" s="5"/>
      <c r="P454" s="5"/>
      <c r="Q454" s="5"/>
      <c r="R454" s="5" t="str">
        <f>'Ingest Template'!D454</f>
        <v/>
      </c>
      <c r="S454" s="5" t="str">
        <f>'Ingest Template'!G454</f>
        <v/>
      </c>
      <c r="T454" s="5" t="str">
        <f>'Ingest Template'!H454</f>
        <v/>
      </c>
      <c r="U454" s="5" t="str">
        <f>LOWER(SUBSTITUTE(SUBSTITUTE(SUBSTITUTE(SUBSTITUTE(SUBSTITUTE('Ingest Template'!I454,"https:",""),"www.",""),"/",""),"?hl=en",""),"instagram.com",""))</f>
        <v/>
      </c>
      <c r="V454" s="10" t="str">
        <f>'Ingest Template'!J454</f>
        <v/>
      </c>
      <c r="W454" s="10" t="str">
        <f>'Ingest Template'!K454</f>
        <v/>
      </c>
      <c r="X454" s="5"/>
      <c r="Y454" s="5" t="str">
        <f>SUBSTITUTE(SUBSTITUTE(SUBSTITUTE('Ingest Template'!L454,"http:",""),"https:",""),"/","")</f>
        <v/>
      </c>
      <c r="Z454" s="5" t="str">
        <f t="array" ref="Z454">IF('Ingest Template'!A454="Standard",(IF(ISBLANK('Ingest Template'!M454),"", 'Ingest Template'!M454&amp;"|DAR")),(IF(ISBLANK('Ingest Template'!M454),"", 'Ingest Template'!M454&amp;"|Operations - Core Title")))</f>
        <v/>
      </c>
      <c r="AA454" s="5"/>
      <c r="AB454" s="5" t="str">
        <f>'Ingest Template'!F454</f>
        <v/>
      </c>
      <c r="AC454" s="5"/>
      <c r="AD454" s="5"/>
      <c r="AE454" s="5"/>
      <c r="AF454" s="8"/>
      <c r="AG454" s="5" t="str">
        <f t="array" ref="AG454">IF('Ingest Template'!A454="Standard",(CONCATENATE(IF(ISBLANK('Ingest Template'!N454),"", 'Ingest Template'!N454&amp;"|DAR"),CHAR(10), IF(ISBLANK('Ingest Template'!O454),"", 'Ingest Template'!O454&amp;"|DAR"),CHAR(10), IF(ISBLANK('Ingest Template'!P454),"", 'Ingest Template'!P454&amp;"|DAR"))),(CONCATENATE(IF(ISBLANK('Ingest Template'!N454),"", 'Ingest Template'!N454&amp;"|Operations - Core Title"),CHAR(10), IF(ISBLANK('Ingest Template'!O454),"", 'Ingest Template'!O454&amp;"|Operations - Core Title"),CHAR(10), IF(ISBLANK('Ingest Template'!P454),"", 'Ingest Template'!P454&amp;"|Operations - Core Title"))))</f>
        <v>#|Operations - Core Title
</v>
      </c>
      <c r="AH454" s="5"/>
      <c r="AI454" s="5"/>
      <c r="AJ454" s="5"/>
      <c r="AK454" s="5"/>
      <c r="AL454" s="5"/>
    </row>
    <row r="455">
      <c r="A455" s="5"/>
      <c r="B455" s="5" t="str">
        <f>'Ingest Template'!B455&amp;IF('Ingest Template'!A455 = "Standard", " - DAR","")</f>
        <v/>
      </c>
      <c r="C455" s="6" t="str">
        <f>'Ingest Template'!C455</f>
        <v/>
      </c>
      <c r="D455" s="7" t="str">
        <f>'Ingest Template'!E455</f>
        <v/>
      </c>
      <c r="E455" s="5"/>
      <c r="F455" s="5"/>
      <c r="G455" s="5"/>
      <c r="H455" s="7"/>
      <c r="I455" s="5"/>
      <c r="J455" s="7" t="str">
        <f>'Ingest Template'!Q455</f>
        <v/>
      </c>
      <c r="K455" s="5" t="str">
        <f>'Ingest Template'!R455</f>
        <v/>
      </c>
      <c r="L455" s="8" t="s">
        <v>38</v>
      </c>
      <c r="M455" s="9"/>
      <c r="N455" s="5"/>
      <c r="O455" s="5"/>
      <c r="P455" s="5"/>
      <c r="Q455" s="5"/>
      <c r="R455" s="5" t="str">
        <f>'Ingest Template'!D455</f>
        <v/>
      </c>
      <c r="S455" s="5" t="str">
        <f>'Ingest Template'!G455</f>
        <v/>
      </c>
      <c r="T455" s="5" t="str">
        <f>'Ingest Template'!H455</f>
        <v/>
      </c>
      <c r="U455" s="5" t="str">
        <f>LOWER(SUBSTITUTE(SUBSTITUTE(SUBSTITUTE(SUBSTITUTE(SUBSTITUTE('Ingest Template'!I455,"https:",""),"www.",""),"/",""),"?hl=en",""),"instagram.com",""))</f>
        <v/>
      </c>
      <c r="V455" s="10" t="str">
        <f>'Ingest Template'!J455</f>
        <v/>
      </c>
      <c r="W455" s="10" t="str">
        <f>'Ingest Template'!K455</f>
        <v/>
      </c>
      <c r="X455" s="5"/>
      <c r="Y455" s="5" t="str">
        <f>SUBSTITUTE(SUBSTITUTE(SUBSTITUTE('Ingest Template'!L455,"http:",""),"https:",""),"/","")</f>
        <v/>
      </c>
      <c r="Z455" s="5" t="str">
        <f t="array" ref="Z455">IF('Ingest Template'!A455="Standard",(IF(ISBLANK('Ingest Template'!M455),"", 'Ingest Template'!M455&amp;"|DAR")),(IF(ISBLANK('Ingest Template'!M455),"", 'Ingest Template'!M455&amp;"|Operations - Core Title")))</f>
        <v/>
      </c>
      <c r="AA455" s="5"/>
      <c r="AB455" s="5" t="str">
        <f>'Ingest Template'!F455</f>
        <v/>
      </c>
      <c r="AC455" s="5"/>
      <c r="AD455" s="5"/>
      <c r="AE455" s="5"/>
      <c r="AF455" s="8"/>
      <c r="AG455" s="5" t="str">
        <f t="array" ref="AG455">IF('Ingest Template'!A455="Standard",(CONCATENATE(IF(ISBLANK('Ingest Template'!N455),"", 'Ingest Template'!N455&amp;"|DAR"),CHAR(10), IF(ISBLANK('Ingest Template'!O455),"", 'Ingest Template'!O455&amp;"|DAR"),CHAR(10), IF(ISBLANK('Ingest Template'!P455),"", 'Ingest Template'!P455&amp;"|DAR"))),(CONCATENATE(IF(ISBLANK('Ingest Template'!N455),"", 'Ingest Template'!N455&amp;"|Operations - Core Title"),CHAR(10), IF(ISBLANK('Ingest Template'!O455),"", 'Ingest Template'!O455&amp;"|Operations - Core Title"),CHAR(10), IF(ISBLANK('Ingest Template'!P455),"", 'Ingest Template'!P455&amp;"|Operations - Core Title"))))</f>
        <v>#|Operations - Core Title
</v>
      </c>
      <c r="AH455" s="5"/>
      <c r="AI455" s="5"/>
      <c r="AJ455" s="5"/>
      <c r="AK455" s="5"/>
      <c r="AL455" s="5"/>
    </row>
    <row r="456">
      <c r="A456" s="5"/>
      <c r="B456" s="5" t="str">
        <f>'Ingest Template'!B456&amp;IF('Ingest Template'!A456 = "Standard", " - DAR","")</f>
        <v/>
      </c>
      <c r="C456" s="6" t="str">
        <f>'Ingest Template'!C456</f>
        <v/>
      </c>
      <c r="D456" s="7" t="str">
        <f>'Ingest Template'!E456</f>
        <v/>
      </c>
      <c r="E456" s="5"/>
      <c r="F456" s="5"/>
      <c r="G456" s="5"/>
      <c r="H456" s="7"/>
      <c r="I456" s="5"/>
      <c r="J456" s="7" t="str">
        <f>'Ingest Template'!Q456</f>
        <v/>
      </c>
      <c r="K456" s="5" t="str">
        <f>'Ingest Template'!R456</f>
        <v/>
      </c>
      <c r="L456" s="8" t="s">
        <v>38</v>
      </c>
      <c r="M456" s="9"/>
      <c r="N456" s="5"/>
      <c r="O456" s="5"/>
      <c r="P456" s="5"/>
      <c r="Q456" s="5"/>
      <c r="R456" s="5" t="str">
        <f>'Ingest Template'!D456</f>
        <v/>
      </c>
      <c r="S456" s="5" t="str">
        <f>'Ingest Template'!G456</f>
        <v/>
      </c>
      <c r="T456" s="5" t="str">
        <f>'Ingest Template'!H456</f>
        <v/>
      </c>
      <c r="U456" s="5" t="str">
        <f>LOWER(SUBSTITUTE(SUBSTITUTE(SUBSTITUTE(SUBSTITUTE(SUBSTITUTE('Ingest Template'!I456,"https:",""),"www.",""),"/",""),"?hl=en",""),"instagram.com",""))</f>
        <v/>
      </c>
      <c r="V456" s="10" t="str">
        <f>'Ingest Template'!J456</f>
        <v/>
      </c>
      <c r="W456" s="10" t="str">
        <f>'Ingest Template'!K456</f>
        <v/>
      </c>
      <c r="X456" s="5"/>
      <c r="Y456" s="5" t="str">
        <f>SUBSTITUTE(SUBSTITUTE(SUBSTITUTE('Ingest Template'!L456,"http:",""),"https:",""),"/","")</f>
        <v/>
      </c>
      <c r="Z456" s="5" t="str">
        <f t="array" ref="Z456">IF('Ingest Template'!A456="Standard",(IF(ISBLANK('Ingest Template'!M456),"", 'Ingest Template'!M456&amp;"|DAR")),(IF(ISBLANK('Ingest Template'!M456),"", 'Ingest Template'!M456&amp;"|Operations - Core Title")))</f>
        <v/>
      </c>
      <c r="AA456" s="5"/>
      <c r="AB456" s="5" t="str">
        <f>'Ingest Template'!F456</f>
        <v/>
      </c>
      <c r="AC456" s="5"/>
      <c r="AD456" s="5"/>
      <c r="AE456" s="5"/>
      <c r="AF456" s="8"/>
      <c r="AG456" s="5" t="str">
        <f t="array" ref="AG456">IF('Ingest Template'!A456="Standard",(CONCATENATE(IF(ISBLANK('Ingest Template'!N456),"", 'Ingest Template'!N456&amp;"|DAR"),CHAR(10), IF(ISBLANK('Ingest Template'!O456),"", 'Ingest Template'!O456&amp;"|DAR"),CHAR(10), IF(ISBLANK('Ingest Template'!P456),"", 'Ingest Template'!P456&amp;"|DAR"))),(CONCATENATE(IF(ISBLANK('Ingest Template'!N456),"", 'Ingest Template'!N456&amp;"|Operations - Core Title"),CHAR(10), IF(ISBLANK('Ingest Template'!O456),"", 'Ingest Template'!O456&amp;"|Operations - Core Title"),CHAR(10), IF(ISBLANK('Ingest Template'!P456),"", 'Ingest Template'!P456&amp;"|Operations - Core Title"))))</f>
        <v>#|Operations - Core Title
</v>
      </c>
      <c r="AH456" s="5"/>
      <c r="AI456" s="5"/>
      <c r="AJ456" s="5"/>
      <c r="AK456" s="5"/>
      <c r="AL456" s="5"/>
    </row>
    <row r="457">
      <c r="A457" s="5"/>
      <c r="B457" s="5" t="str">
        <f>'Ingest Template'!B457&amp;IF('Ingest Template'!A457 = "Standard", " - DAR","")</f>
        <v/>
      </c>
      <c r="C457" s="6" t="str">
        <f>'Ingest Template'!C457</f>
        <v/>
      </c>
      <c r="D457" s="7" t="str">
        <f>'Ingest Template'!E457</f>
        <v/>
      </c>
      <c r="E457" s="5"/>
      <c r="F457" s="5"/>
      <c r="G457" s="5"/>
      <c r="H457" s="7"/>
      <c r="I457" s="5"/>
      <c r="J457" s="7" t="str">
        <f>'Ingest Template'!Q457</f>
        <v/>
      </c>
      <c r="K457" s="5" t="str">
        <f>'Ingest Template'!R457</f>
        <v/>
      </c>
      <c r="L457" s="8" t="s">
        <v>38</v>
      </c>
      <c r="M457" s="9"/>
      <c r="N457" s="5"/>
      <c r="O457" s="5"/>
      <c r="P457" s="5"/>
      <c r="Q457" s="5"/>
      <c r="R457" s="5" t="str">
        <f>'Ingest Template'!D457</f>
        <v/>
      </c>
      <c r="S457" s="5" t="str">
        <f>'Ingest Template'!G457</f>
        <v/>
      </c>
      <c r="T457" s="5" t="str">
        <f>'Ingest Template'!H457</f>
        <v/>
      </c>
      <c r="U457" s="5" t="str">
        <f>LOWER(SUBSTITUTE(SUBSTITUTE(SUBSTITUTE(SUBSTITUTE(SUBSTITUTE('Ingest Template'!I457,"https:",""),"www.",""),"/",""),"?hl=en",""),"instagram.com",""))</f>
        <v/>
      </c>
      <c r="V457" s="10" t="str">
        <f>'Ingest Template'!J457</f>
        <v/>
      </c>
      <c r="W457" s="10" t="str">
        <f>'Ingest Template'!K457</f>
        <v/>
      </c>
      <c r="X457" s="5"/>
      <c r="Y457" s="5" t="str">
        <f>SUBSTITUTE(SUBSTITUTE(SUBSTITUTE('Ingest Template'!L457,"http:",""),"https:",""),"/","")</f>
        <v/>
      </c>
      <c r="Z457" s="5" t="str">
        <f t="array" ref="Z457">IF('Ingest Template'!A457="Standard",(IF(ISBLANK('Ingest Template'!M457),"", 'Ingest Template'!M457&amp;"|DAR")),(IF(ISBLANK('Ingest Template'!M457),"", 'Ingest Template'!M457&amp;"|Operations - Core Title")))</f>
        <v/>
      </c>
      <c r="AA457" s="5"/>
      <c r="AB457" s="5" t="str">
        <f>'Ingest Template'!F457</f>
        <v/>
      </c>
      <c r="AC457" s="5"/>
      <c r="AD457" s="5"/>
      <c r="AE457" s="5"/>
      <c r="AF457" s="8"/>
      <c r="AG457" s="5" t="str">
        <f t="array" ref="AG457">IF('Ingest Template'!A457="Standard",(CONCATENATE(IF(ISBLANK('Ingest Template'!N457),"", 'Ingest Template'!N457&amp;"|DAR"),CHAR(10), IF(ISBLANK('Ingest Template'!O457),"", 'Ingest Template'!O457&amp;"|DAR"),CHAR(10), IF(ISBLANK('Ingest Template'!P457),"", 'Ingest Template'!P457&amp;"|DAR"))),(CONCATENATE(IF(ISBLANK('Ingest Template'!N457),"", 'Ingest Template'!N457&amp;"|Operations - Core Title"),CHAR(10), IF(ISBLANK('Ingest Template'!O457),"", 'Ingest Template'!O457&amp;"|Operations - Core Title"),CHAR(10), IF(ISBLANK('Ingest Template'!P457),"", 'Ingest Template'!P457&amp;"|Operations - Core Title"))))</f>
        <v>#|Operations - Core Title
</v>
      </c>
      <c r="AH457" s="5"/>
      <c r="AI457" s="5"/>
      <c r="AJ457" s="5"/>
      <c r="AK457" s="5"/>
      <c r="AL457" s="5"/>
    </row>
    <row r="458">
      <c r="A458" s="5"/>
      <c r="B458" s="5" t="str">
        <f>'Ingest Template'!B458&amp;IF('Ingest Template'!A458 = "Standard", " - DAR","")</f>
        <v/>
      </c>
      <c r="C458" s="6" t="str">
        <f>'Ingest Template'!C458</f>
        <v/>
      </c>
      <c r="D458" s="7" t="str">
        <f>'Ingest Template'!E458</f>
        <v/>
      </c>
      <c r="E458" s="5"/>
      <c r="F458" s="5"/>
      <c r="G458" s="5"/>
      <c r="H458" s="7"/>
      <c r="I458" s="5"/>
      <c r="J458" s="7" t="str">
        <f>'Ingest Template'!Q458</f>
        <v/>
      </c>
      <c r="K458" s="5" t="str">
        <f>'Ingest Template'!R458</f>
        <v/>
      </c>
      <c r="L458" s="8" t="s">
        <v>38</v>
      </c>
      <c r="M458" s="9"/>
      <c r="N458" s="5"/>
      <c r="O458" s="5"/>
      <c r="P458" s="5"/>
      <c r="Q458" s="5"/>
      <c r="R458" s="5" t="str">
        <f>'Ingest Template'!D458</f>
        <v/>
      </c>
      <c r="S458" s="5" t="str">
        <f>'Ingest Template'!G458</f>
        <v/>
      </c>
      <c r="T458" s="5" t="str">
        <f>'Ingest Template'!H458</f>
        <v/>
      </c>
      <c r="U458" s="5" t="str">
        <f>LOWER(SUBSTITUTE(SUBSTITUTE(SUBSTITUTE(SUBSTITUTE(SUBSTITUTE('Ingest Template'!I458,"https:",""),"www.",""),"/",""),"?hl=en",""),"instagram.com",""))</f>
        <v/>
      </c>
      <c r="V458" s="10" t="str">
        <f>'Ingest Template'!J458</f>
        <v/>
      </c>
      <c r="W458" s="10" t="str">
        <f>'Ingest Template'!K458</f>
        <v/>
      </c>
      <c r="X458" s="5"/>
      <c r="Y458" s="5" t="str">
        <f>SUBSTITUTE(SUBSTITUTE(SUBSTITUTE('Ingest Template'!L458,"http:",""),"https:",""),"/","")</f>
        <v/>
      </c>
      <c r="Z458" s="5" t="str">
        <f t="array" ref="Z458">IF('Ingest Template'!A458="Standard",(IF(ISBLANK('Ingest Template'!M458),"", 'Ingest Template'!M458&amp;"|DAR")),(IF(ISBLANK('Ingest Template'!M458),"", 'Ingest Template'!M458&amp;"|Operations - Core Title")))</f>
        <v/>
      </c>
      <c r="AA458" s="5"/>
      <c r="AB458" s="5" t="str">
        <f>'Ingest Template'!F458</f>
        <v/>
      </c>
      <c r="AC458" s="5"/>
      <c r="AD458" s="5"/>
      <c r="AE458" s="5"/>
      <c r="AF458" s="8"/>
      <c r="AG458" s="5" t="str">
        <f t="array" ref="AG458">IF('Ingest Template'!A458="Standard",(CONCATENATE(IF(ISBLANK('Ingest Template'!N458),"", 'Ingest Template'!N458&amp;"|DAR"),CHAR(10), IF(ISBLANK('Ingest Template'!O458),"", 'Ingest Template'!O458&amp;"|DAR"),CHAR(10), IF(ISBLANK('Ingest Template'!P458),"", 'Ingest Template'!P458&amp;"|DAR"))),(CONCATENATE(IF(ISBLANK('Ingest Template'!N458),"", 'Ingest Template'!N458&amp;"|Operations - Core Title"),CHAR(10), IF(ISBLANK('Ingest Template'!O458),"", 'Ingest Template'!O458&amp;"|Operations - Core Title"),CHAR(10), IF(ISBLANK('Ingest Template'!P458),"", 'Ingest Template'!P458&amp;"|Operations - Core Title"))))</f>
        <v>#|Operations - Core Title
</v>
      </c>
      <c r="AH458" s="5"/>
      <c r="AI458" s="5"/>
      <c r="AJ458" s="5"/>
      <c r="AK458" s="5"/>
      <c r="AL458" s="5"/>
    </row>
    <row r="459">
      <c r="A459" s="5"/>
      <c r="B459" s="5" t="str">
        <f>'Ingest Template'!B459&amp;IF('Ingest Template'!A459 = "Standard", " - DAR","")</f>
        <v/>
      </c>
      <c r="C459" s="6" t="str">
        <f>'Ingest Template'!C459</f>
        <v/>
      </c>
      <c r="D459" s="7" t="str">
        <f>'Ingest Template'!E459</f>
        <v/>
      </c>
      <c r="E459" s="5"/>
      <c r="F459" s="5"/>
      <c r="G459" s="5"/>
      <c r="H459" s="7"/>
      <c r="I459" s="5"/>
      <c r="J459" s="7" t="str">
        <f>'Ingest Template'!Q459</f>
        <v/>
      </c>
      <c r="K459" s="5" t="str">
        <f>'Ingest Template'!R459</f>
        <v/>
      </c>
      <c r="L459" s="8" t="s">
        <v>38</v>
      </c>
      <c r="M459" s="9"/>
      <c r="N459" s="5"/>
      <c r="O459" s="5"/>
      <c r="P459" s="5"/>
      <c r="Q459" s="5"/>
      <c r="R459" s="5" t="str">
        <f>'Ingest Template'!D459</f>
        <v/>
      </c>
      <c r="S459" s="5" t="str">
        <f>'Ingest Template'!G459</f>
        <v/>
      </c>
      <c r="T459" s="5" t="str">
        <f>'Ingest Template'!H459</f>
        <v/>
      </c>
      <c r="U459" s="5" t="str">
        <f>LOWER(SUBSTITUTE(SUBSTITUTE(SUBSTITUTE(SUBSTITUTE(SUBSTITUTE('Ingest Template'!I459,"https:",""),"www.",""),"/",""),"?hl=en",""),"instagram.com",""))</f>
        <v/>
      </c>
      <c r="V459" s="10" t="str">
        <f>'Ingest Template'!J459</f>
        <v/>
      </c>
      <c r="W459" s="10" t="str">
        <f>'Ingest Template'!K459</f>
        <v/>
      </c>
      <c r="X459" s="5"/>
      <c r="Y459" s="5" t="str">
        <f>SUBSTITUTE(SUBSTITUTE(SUBSTITUTE('Ingest Template'!L459,"http:",""),"https:",""),"/","")</f>
        <v/>
      </c>
      <c r="Z459" s="5" t="str">
        <f t="array" ref="Z459">IF('Ingest Template'!A459="Standard",(IF(ISBLANK('Ingest Template'!M459),"", 'Ingest Template'!M459&amp;"|DAR")),(IF(ISBLANK('Ingest Template'!M459),"", 'Ingest Template'!M459&amp;"|Operations - Core Title")))</f>
        <v/>
      </c>
      <c r="AA459" s="5"/>
      <c r="AB459" s="5" t="str">
        <f>'Ingest Template'!F459</f>
        <v/>
      </c>
      <c r="AC459" s="5"/>
      <c r="AD459" s="5"/>
      <c r="AE459" s="5"/>
      <c r="AF459" s="8"/>
      <c r="AG459" s="5" t="str">
        <f t="array" ref="AG459">IF('Ingest Template'!A459="Standard",(CONCATENATE(IF(ISBLANK('Ingest Template'!N459),"", 'Ingest Template'!N459&amp;"|DAR"),CHAR(10), IF(ISBLANK('Ingest Template'!O459),"", 'Ingest Template'!O459&amp;"|DAR"),CHAR(10), IF(ISBLANK('Ingest Template'!P459),"", 'Ingest Template'!P459&amp;"|DAR"))),(CONCATENATE(IF(ISBLANK('Ingest Template'!N459),"", 'Ingest Template'!N459&amp;"|Operations - Core Title"),CHAR(10), IF(ISBLANK('Ingest Template'!O459),"", 'Ingest Template'!O459&amp;"|Operations - Core Title"),CHAR(10), IF(ISBLANK('Ingest Template'!P459),"", 'Ingest Template'!P459&amp;"|Operations - Core Title"))))</f>
        <v>#|Operations - Core Title
</v>
      </c>
      <c r="AH459" s="5"/>
      <c r="AI459" s="5"/>
      <c r="AJ459" s="5"/>
      <c r="AK459" s="5"/>
      <c r="AL459" s="5"/>
    </row>
    <row r="460">
      <c r="A460" s="5"/>
      <c r="B460" s="5" t="str">
        <f>'Ingest Template'!B460&amp;IF('Ingest Template'!A460 = "Standard", " - DAR","")</f>
        <v/>
      </c>
      <c r="C460" s="6" t="str">
        <f>'Ingest Template'!C460</f>
        <v/>
      </c>
      <c r="D460" s="7" t="str">
        <f>'Ingest Template'!E460</f>
        <v/>
      </c>
      <c r="E460" s="5"/>
      <c r="F460" s="5"/>
      <c r="G460" s="5"/>
      <c r="H460" s="7"/>
      <c r="I460" s="5"/>
      <c r="J460" s="7" t="str">
        <f>'Ingest Template'!Q460</f>
        <v/>
      </c>
      <c r="K460" s="5" t="str">
        <f>'Ingest Template'!R460</f>
        <v/>
      </c>
      <c r="L460" s="8" t="s">
        <v>38</v>
      </c>
      <c r="M460" s="9"/>
      <c r="N460" s="5"/>
      <c r="O460" s="5"/>
      <c r="P460" s="5"/>
      <c r="Q460" s="5"/>
      <c r="R460" s="5" t="str">
        <f>'Ingest Template'!D460</f>
        <v/>
      </c>
      <c r="S460" s="5" t="str">
        <f>'Ingest Template'!G460</f>
        <v/>
      </c>
      <c r="T460" s="5" t="str">
        <f>'Ingest Template'!H460</f>
        <v/>
      </c>
      <c r="U460" s="5" t="str">
        <f>LOWER(SUBSTITUTE(SUBSTITUTE(SUBSTITUTE(SUBSTITUTE(SUBSTITUTE('Ingest Template'!I460,"https:",""),"www.",""),"/",""),"?hl=en",""),"instagram.com",""))</f>
        <v/>
      </c>
      <c r="V460" s="10" t="str">
        <f>'Ingest Template'!J460</f>
        <v/>
      </c>
      <c r="W460" s="10" t="str">
        <f>'Ingest Template'!K460</f>
        <v/>
      </c>
      <c r="X460" s="5"/>
      <c r="Y460" s="5" t="str">
        <f>SUBSTITUTE(SUBSTITUTE(SUBSTITUTE('Ingest Template'!L460,"http:",""),"https:",""),"/","")</f>
        <v/>
      </c>
      <c r="Z460" s="5" t="str">
        <f t="array" ref="Z460">IF('Ingest Template'!A460="Standard",(IF(ISBLANK('Ingest Template'!M460),"", 'Ingest Template'!M460&amp;"|DAR")),(IF(ISBLANK('Ingest Template'!M460),"", 'Ingest Template'!M460&amp;"|Operations - Core Title")))</f>
        <v/>
      </c>
      <c r="AA460" s="5"/>
      <c r="AB460" s="5" t="str">
        <f>'Ingest Template'!F460</f>
        <v/>
      </c>
      <c r="AC460" s="5"/>
      <c r="AD460" s="5"/>
      <c r="AE460" s="5"/>
      <c r="AF460" s="8"/>
      <c r="AG460" s="5" t="str">
        <f t="array" ref="AG460">IF('Ingest Template'!A460="Standard",(CONCATENATE(IF(ISBLANK('Ingest Template'!N460),"", 'Ingest Template'!N460&amp;"|DAR"),CHAR(10), IF(ISBLANK('Ingest Template'!O460),"", 'Ingest Template'!O460&amp;"|DAR"),CHAR(10), IF(ISBLANK('Ingest Template'!P460),"", 'Ingest Template'!P460&amp;"|DAR"))),(CONCATENATE(IF(ISBLANK('Ingest Template'!N460),"", 'Ingest Template'!N460&amp;"|Operations - Core Title"),CHAR(10), IF(ISBLANK('Ingest Template'!O460),"", 'Ingest Template'!O460&amp;"|Operations - Core Title"),CHAR(10), IF(ISBLANK('Ingest Template'!P460),"", 'Ingest Template'!P460&amp;"|Operations - Core Title"))))</f>
        <v>#|Operations - Core Title
</v>
      </c>
      <c r="AH460" s="5"/>
      <c r="AI460" s="5"/>
      <c r="AJ460" s="5"/>
      <c r="AK460" s="5"/>
      <c r="AL460" s="5"/>
    </row>
    <row r="461">
      <c r="A461" s="5"/>
      <c r="B461" s="5" t="str">
        <f>'Ingest Template'!B461&amp;IF('Ingest Template'!A461 = "Standard", " - DAR","")</f>
        <v/>
      </c>
      <c r="C461" s="6" t="str">
        <f>'Ingest Template'!C461</f>
        <v/>
      </c>
      <c r="D461" s="7" t="str">
        <f>'Ingest Template'!E461</f>
        <v/>
      </c>
      <c r="E461" s="5"/>
      <c r="F461" s="5"/>
      <c r="G461" s="5"/>
      <c r="H461" s="7"/>
      <c r="I461" s="5"/>
      <c r="J461" s="7" t="str">
        <f>'Ingest Template'!Q461</f>
        <v/>
      </c>
      <c r="K461" s="5" t="str">
        <f>'Ingest Template'!R461</f>
        <v/>
      </c>
      <c r="L461" s="8" t="s">
        <v>38</v>
      </c>
      <c r="M461" s="9"/>
      <c r="N461" s="5"/>
      <c r="O461" s="5"/>
      <c r="P461" s="5"/>
      <c r="Q461" s="5"/>
      <c r="R461" s="5" t="str">
        <f>'Ingest Template'!D461</f>
        <v/>
      </c>
      <c r="S461" s="5" t="str">
        <f>'Ingest Template'!G461</f>
        <v/>
      </c>
      <c r="T461" s="5" t="str">
        <f>'Ingest Template'!H461</f>
        <v/>
      </c>
      <c r="U461" s="5" t="str">
        <f>LOWER(SUBSTITUTE(SUBSTITUTE(SUBSTITUTE(SUBSTITUTE(SUBSTITUTE('Ingest Template'!I461,"https:",""),"www.",""),"/",""),"?hl=en",""),"instagram.com",""))</f>
        <v/>
      </c>
      <c r="V461" s="10" t="str">
        <f>'Ingest Template'!J461</f>
        <v/>
      </c>
      <c r="W461" s="10" t="str">
        <f>'Ingest Template'!K461</f>
        <v/>
      </c>
      <c r="X461" s="5"/>
      <c r="Y461" s="5" t="str">
        <f>SUBSTITUTE(SUBSTITUTE(SUBSTITUTE('Ingest Template'!L461,"http:",""),"https:",""),"/","")</f>
        <v/>
      </c>
      <c r="Z461" s="5" t="str">
        <f t="array" ref="Z461">IF('Ingest Template'!A461="Standard",(IF(ISBLANK('Ingest Template'!M461),"", 'Ingest Template'!M461&amp;"|DAR")),(IF(ISBLANK('Ingest Template'!M461),"", 'Ingest Template'!M461&amp;"|Operations - Core Title")))</f>
        <v/>
      </c>
      <c r="AA461" s="5"/>
      <c r="AB461" s="5" t="str">
        <f>'Ingest Template'!F461</f>
        <v/>
      </c>
      <c r="AC461" s="5"/>
      <c r="AD461" s="5"/>
      <c r="AE461" s="5"/>
      <c r="AF461" s="8"/>
      <c r="AG461" s="5" t="str">
        <f t="array" ref="AG461">IF('Ingest Template'!A461="Standard",(CONCATENATE(IF(ISBLANK('Ingest Template'!N461),"", 'Ingest Template'!N461&amp;"|DAR"),CHAR(10), IF(ISBLANK('Ingest Template'!O461),"", 'Ingest Template'!O461&amp;"|DAR"),CHAR(10), IF(ISBLANK('Ingest Template'!P461),"", 'Ingest Template'!P461&amp;"|DAR"))),(CONCATENATE(IF(ISBLANK('Ingest Template'!N461),"", 'Ingest Template'!N461&amp;"|Operations - Core Title"),CHAR(10), IF(ISBLANK('Ingest Template'!O461),"", 'Ingest Template'!O461&amp;"|Operations - Core Title"),CHAR(10), IF(ISBLANK('Ingest Template'!P461),"", 'Ingest Template'!P461&amp;"|Operations - Core Title"))))</f>
        <v>#|Operations - Core Title
</v>
      </c>
      <c r="AH461" s="5"/>
      <c r="AI461" s="5"/>
      <c r="AJ461" s="5"/>
      <c r="AK461" s="5"/>
      <c r="AL461" s="5"/>
    </row>
    <row r="462">
      <c r="A462" s="5"/>
      <c r="B462" s="5" t="str">
        <f>'Ingest Template'!B462&amp;IF('Ingest Template'!A462 = "Standard", " - DAR","")</f>
        <v/>
      </c>
      <c r="C462" s="6" t="str">
        <f>'Ingest Template'!C462</f>
        <v/>
      </c>
      <c r="D462" s="7" t="str">
        <f>'Ingest Template'!E462</f>
        <v/>
      </c>
      <c r="E462" s="5"/>
      <c r="F462" s="5"/>
      <c r="G462" s="5"/>
      <c r="H462" s="7"/>
      <c r="I462" s="5"/>
      <c r="J462" s="7" t="str">
        <f>'Ingest Template'!Q462</f>
        <v/>
      </c>
      <c r="K462" s="5" t="str">
        <f>'Ingest Template'!R462</f>
        <v/>
      </c>
      <c r="L462" s="8" t="s">
        <v>38</v>
      </c>
      <c r="M462" s="9"/>
      <c r="N462" s="5"/>
      <c r="O462" s="5"/>
      <c r="P462" s="5"/>
      <c r="Q462" s="5"/>
      <c r="R462" s="5" t="str">
        <f>'Ingest Template'!D462</f>
        <v/>
      </c>
      <c r="S462" s="5" t="str">
        <f>'Ingest Template'!G462</f>
        <v/>
      </c>
      <c r="T462" s="5" t="str">
        <f>'Ingest Template'!H462</f>
        <v/>
      </c>
      <c r="U462" s="5" t="str">
        <f>LOWER(SUBSTITUTE(SUBSTITUTE(SUBSTITUTE(SUBSTITUTE(SUBSTITUTE('Ingest Template'!I462,"https:",""),"www.",""),"/",""),"?hl=en",""),"instagram.com",""))</f>
        <v/>
      </c>
      <c r="V462" s="10" t="str">
        <f>'Ingest Template'!J462</f>
        <v/>
      </c>
      <c r="W462" s="10" t="str">
        <f>'Ingest Template'!K462</f>
        <v/>
      </c>
      <c r="X462" s="5"/>
      <c r="Y462" s="5" t="str">
        <f>SUBSTITUTE(SUBSTITUTE(SUBSTITUTE('Ingest Template'!L462,"http:",""),"https:",""),"/","")</f>
        <v/>
      </c>
      <c r="Z462" s="5" t="str">
        <f t="array" ref="Z462">IF('Ingest Template'!A462="Standard",(IF(ISBLANK('Ingest Template'!M462),"", 'Ingest Template'!M462&amp;"|DAR")),(IF(ISBLANK('Ingest Template'!M462),"", 'Ingest Template'!M462&amp;"|Operations - Core Title")))</f>
        <v/>
      </c>
      <c r="AA462" s="5"/>
      <c r="AB462" s="5" t="str">
        <f>'Ingest Template'!F462</f>
        <v/>
      </c>
      <c r="AC462" s="5"/>
      <c r="AD462" s="5"/>
      <c r="AE462" s="5"/>
      <c r="AF462" s="8"/>
      <c r="AG462" s="5" t="str">
        <f t="array" ref="AG462">IF('Ingest Template'!A462="Standard",(CONCATENATE(IF(ISBLANK('Ingest Template'!N462),"", 'Ingest Template'!N462&amp;"|DAR"),CHAR(10), IF(ISBLANK('Ingest Template'!O462),"", 'Ingest Template'!O462&amp;"|DAR"),CHAR(10), IF(ISBLANK('Ingest Template'!P462),"", 'Ingest Template'!P462&amp;"|DAR"))),(CONCATENATE(IF(ISBLANK('Ingest Template'!N462),"", 'Ingest Template'!N462&amp;"|Operations - Core Title"),CHAR(10), IF(ISBLANK('Ingest Template'!O462),"", 'Ingest Template'!O462&amp;"|Operations - Core Title"),CHAR(10), IF(ISBLANK('Ingest Template'!P462),"", 'Ingest Template'!P462&amp;"|Operations - Core Title"))))</f>
        <v>#|Operations - Core Title
</v>
      </c>
      <c r="AH462" s="5"/>
      <c r="AI462" s="5"/>
      <c r="AJ462" s="5"/>
      <c r="AK462" s="5"/>
      <c r="AL462" s="5"/>
    </row>
    <row r="463">
      <c r="A463" s="5"/>
      <c r="B463" s="5" t="str">
        <f>'Ingest Template'!B463&amp;IF('Ingest Template'!A463 = "Standard", " - DAR","")</f>
        <v/>
      </c>
      <c r="C463" s="6" t="str">
        <f>'Ingest Template'!C463</f>
        <v/>
      </c>
      <c r="D463" s="7" t="str">
        <f>'Ingest Template'!E463</f>
        <v/>
      </c>
      <c r="E463" s="5"/>
      <c r="F463" s="5"/>
      <c r="G463" s="5"/>
      <c r="H463" s="7"/>
      <c r="I463" s="5"/>
      <c r="J463" s="7" t="str">
        <f>'Ingest Template'!Q463</f>
        <v/>
      </c>
      <c r="K463" s="5" t="str">
        <f>'Ingest Template'!R463</f>
        <v/>
      </c>
      <c r="L463" s="8" t="s">
        <v>38</v>
      </c>
      <c r="M463" s="9"/>
      <c r="N463" s="5"/>
      <c r="O463" s="5"/>
      <c r="P463" s="5"/>
      <c r="Q463" s="5"/>
      <c r="R463" s="5" t="str">
        <f>'Ingest Template'!D463</f>
        <v/>
      </c>
      <c r="S463" s="5" t="str">
        <f>'Ingest Template'!G463</f>
        <v/>
      </c>
      <c r="T463" s="5" t="str">
        <f>'Ingest Template'!H463</f>
        <v/>
      </c>
      <c r="U463" s="5" t="str">
        <f>LOWER(SUBSTITUTE(SUBSTITUTE(SUBSTITUTE(SUBSTITUTE(SUBSTITUTE('Ingest Template'!I463,"https:",""),"www.",""),"/",""),"?hl=en",""),"instagram.com",""))</f>
        <v/>
      </c>
      <c r="V463" s="10" t="str">
        <f>'Ingest Template'!J463</f>
        <v/>
      </c>
      <c r="W463" s="10" t="str">
        <f>'Ingest Template'!K463</f>
        <v/>
      </c>
      <c r="X463" s="5"/>
      <c r="Y463" s="5" t="str">
        <f>SUBSTITUTE(SUBSTITUTE(SUBSTITUTE('Ingest Template'!L463,"http:",""),"https:",""),"/","")</f>
        <v/>
      </c>
      <c r="Z463" s="5" t="str">
        <f t="array" ref="Z463">IF('Ingest Template'!A463="Standard",(IF(ISBLANK('Ingest Template'!M463),"", 'Ingest Template'!M463&amp;"|DAR")),(IF(ISBLANK('Ingest Template'!M463),"", 'Ingest Template'!M463&amp;"|Operations - Core Title")))</f>
        <v/>
      </c>
      <c r="AA463" s="5"/>
      <c r="AB463" s="5" t="str">
        <f>'Ingest Template'!F463</f>
        <v/>
      </c>
      <c r="AC463" s="5"/>
      <c r="AD463" s="5"/>
      <c r="AE463" s="5"/>
      <c r="AF463" s="8"/>
      <c r="AG463" s="5" t="str">
        <f t="array" ref="AG463">IF('Ingest Template'!A463="Standard",(CONCATENATE(IF(ISBLANK('Ingest Template'!N463),"", 'Ingest Template'!N463&amp;"|DAR"),CHAR(10), IF(ISBLANK('Ingest Template'!O463),"", 'Ingest Template'!O463&amp;"|DAR"),CHAR(10), IF(ISBLANK('Ingest Template'!P463),"", 'Ingest Template'!P463&amp;"|DAR"))),(CONCATENATE(IF(ISBLANK('Ingest Template'!N463),"", 'Ingest Template'!N463&amp;"|Operations - Core Title"),CHAR(10), IF(ISBLANK('Ingest Template'!O463),"", 'Ingest Template'!O463&amp;"|Operations - Core Title"),CHAR(10), IF(ISBLANK('Ingest Template'!P463),"", 'Ingest Template'!P463&amp;"|Operations - Core Title"))))</f>
        <v>#|Operations - Core Title
</v>
      </c>
      <c r="AH463" s="5"/>
      <c r="AI463" s="5"/>
      <c r="AJ463" s="5"/>
      <c r="AK463" s="5"/>
      <c r="AL463" s="5"/>
    </row>
    <row r="464">
      <c r="A464" s="5"/>
      <c r="B464" s="5" t="str">
        <f>'Ingest Template'!B464&amp;IF('Ingest Template'!A464 = "Standard", " - DAR","")</f>
        <v/>
      </c>
      <c r="C464" s="6" t="str">
        <f>'Ingest Template'!C464</f>
        <v/>
      </c>
      <c r="D464" s="7" t="str">
        <f>'Ingest Template'!E464</f>
        <v/>
      </c>
      <c r="E464" s="5"/>
      <c r="F464" s="5"/>
      <c r="G464" s="5"/>
      <c r="H464" s="7"/>
      <c r="I464" s="5"/>
      <c r="J464" s="7" t="str">
        <f>'Ingest Template'!Q464</f>
        <v/>
      </c>
      <c r="K464" s="5" t="str">
        <f>'Ingest Template'!R464</f>
        <v/>
      </c>
      <c r="L464" s="8" t="s">
        <v>38</v>
      </c>
      <c r="M464" s="9"/>
      <c r="N464" s="5"/>
      <c r="O464" s="5"/>
      <c r="P464" s="5"/>
      <c r="Q464" s="5"/>
      <c r="R464" s="5" t="str">
        <f>'Ingest Template'!D464</f>
        <v/>
      </c>
      <c r="S464" s="5" t="str">
        <f>'Ingest Template'!G464</f>
        <v/>
      </c>
      <c r="T464" s="5" t="str">
        <f>'Ingest Template'!H464</f>
        <v/>
      </c>
      <c r="U464" s="5" t="str">
        <f>LOWER(SUBSTITUTE(SUBSTITUTE(SUBSTITUTE(SUBSTITUTE(SUBSTITUTE('Ingest Template'!I464,"https:",""),"www.",""),"/",""),"?hl=en",""),"instagram.com",""))</f>
        <v/>
      </c>
      <c r="V464" s="10" t="str">
        <f>'Ingest Template'!J464</f>
        <v/>
      </c>
      <c r="W464" s="10" t="str">
        <f>'Ingest Template'!K464</f>
        <v/>
      </c>
      <c r="X464" s="5"/>
      <c r="Y464" s="5" t="str">
        <f>SUBSTITUTE(SUBSTITUTE(SUBSTITUTE('Ingest Template'!L464,"http:",""),"https:",""),"/","")</f>
        <v/>
      </c>
      <c r="Z464" s="5" t="str">
        <f t="array" ref="Z464">IF('Ingest Template'!A464="Standard",(IF(ISBLANK('Ingest Template'!M464),"", 'Ingest Template'!M464&amp;"|DAR")),(IF(ISBLANK('Ingest Template'!M464),"", 'Ingest Template'!M464&amp;"|Operations - Core Title")))</f>
        <v/>
      </c>
      <c r="AA464" s="5"/>
      <c r="AB464" s="5" t="str">
        <f>'Ingest Template'!F464</f>
        <v/>
      </c>
      <c r="AC464" s="5"/>
      <c r="AD464" s="5"/>
      <c r="AE464" s="5"/>
      <c r="AF464" s="8"/>
      <c r="AG464" s="5" t="str">
        <f t="array" ref="AG464">IF('Ingest Template'!A464="Standard",(CONCATENATE(IF(ISBLANK('Ingest Template'!N464),"", 'Ingest Template'!N464&amp;"|DAR"),CHAR(10), IF(ISBLANK('Ingest Template'!O464),"", 'Ingest Template'!O464&amp;"|DAR"),CHAR(10), IF(ISBLANK('Ingest Template'!P464),"", 'Ingest Template'!P464&amp;"|DAR"))),(CONCATENATE(IF(ISBLANK('Ingest Template'!N464),"", 'Ingest Template'!N464&amp;"|Operations - Core Title"),CHAR(10), IF(ISBLANK('Ingest Template'!O464),"", 'Ingest Template'!O464&amp;"|Operations - Core Title"),CHAR(10), IF(ISBLANK('Ingest Template'!P464),"", 'Ingest Template'!P464&amp;"|Operations - Core Title"))))</f>
        <v>#|Operations - Core Title
</v>
      </c>
      <c r="AH464" s="5"/>
      <c r="AI464" s="5"/>
      <c r="AJ464" s="5"/>
      <c r="AK464" s="5"/>
      <c r="AL464" s="5"/>
    </row>
    <row r="465">
      <c r="A465" s="5"/>
      <c r="B465" s="5" t="str">
        <f>'Ingest Template'!B465&amp;IF('Ingest Template'!A465 = "Standard", " - DAR","")</f>
        <v/>
      </c>
      <c r="C465" s="6" t="str">
        <f>'Ingest Template'!C465</f>
        <v/>
      </c>
      <c r="D465" s="7" t="str">
        <f>'Ingest Template'!E465</f>
        <v/>
      </c>
      <c r="E465" s="5"/>
      <c r="F465" s="5"/>
      <c r="G465" s="5"/>
      <c r="H465" s="7"/>
      <c r="I465" s="5"/>
      <c r="J465" s="7" t="str">
        <f>'Ingest Template'!Q465</f>
        <v/>
      </c>
      <c r="K465" s="5" t="str">
        <f>'Ingest Template'!R465</f>
        <v/>
      </c>
      <c r="L465" s="8" t="s">
        <v>38</v>
      </c>
      <c r="M465" s="9"/>
      <c r="N465" s="5"/>
      <c r="O465" s="5"/>
      <c r="P465" s="5"/>
      <c r="Q465" s="5"/>
      <c r="R465" s="5" t="str">
        <f>'Ingest Template'!D465</f>
        <v/>
      </c>
      <c r="S465" s="5" t="str">
        <f>'Ingest Template'!G465</f>
        <v/>
      </c>
      <c r="T465" s="5" t="str">
        <f>'Ingest Template'!H465</f>
        <v/>
      </c>
      <c r="U465" s="5" t="str">
        <f>LOWER(SUBSTITUTE(SUBSTITUTE(SUBSTITUTE(SUBSTITUTE(SUBSTITUTE('Ingest Template'!I465,"https:",""),"www.",""),"/",""),"?hl=en",""),"instagram.com",""))</f>
        <v/>
      </c>
      <c r="V465" s="10" t="str">
        <f>'Ingest Template'!J465</f>
        <v/>
      </c>
      <c r="W465" s="10" t="str">
        <f>'Ingest Template'!K465</f>
        <v/>
      </c>
      <c r="X465" s="5"/>
      <c r="Y465" s="5" t="str">
        <f>SUBSTITUTE(SUBSTITUTE(SUBSTITUTE('Ingest Template'!L465,"http:",""),"https:",""),"/","")</f>
        <v/>
      </c>
      <c r="Z465" s="5" t="str">
        <f t="array" ref="Z465">IF('Ingest Template'!A465="Standard",(IF(ISBLANK('Ingest Template'!M465),"", 'Ingest Template'!M465&amp;"|DAR")),(IF(ISBLANK('Ingest Template'!M465),"", 'Ingest Template'!M465&amp;"|Operations - Core Title")))</f>
        <v/>
      </c>
      <c r="AA465" s="5"/>
      <c r="AB465" s="5" t="str">
        <f>'Ingest Template'!F465</f>
        <v/>
      </c>
      <c r="AC465" s="5"/>
      <c r="AD465" s="5"/>
      <c r="AE465" s="5"/>
      <c r="AF465" s="8"/>
      <c r="AG465" s="5" t="str">
        <f t="array" ref="AG465">IF('Ingest Template'!A465="Standard",(CONCATENATE(IF(ISBLANK('Ingest Template'!N465),"", 'Ingest Template'!N465&amp;"|DAR"),CHAR(10), IF(ISBLANK('Ingest Template'!O465),"", 'Ingest Template'!O465&amp;"|DAR"),CHAR(10), IF(ISBLANK('Ingest Template'!P465),"", 'Ingest Template'!P465&amp;"|DAR"))),(CONCATENATE(IF(ISBLANK('Ingest Template'!N465),"", 'Ingest Template'!N465&amp;"|Operations - Core Title"),CHAR(10), IF(ISBLANK('Ingest Template'!O465),"", 'Ingest Template'!O465&amp;"|Operations - Core Title"),CHAR(10), IF(ISBLANK('Ingest Template'!P465),"", 'Ingest Template'!P465&amp;"|Operations - Core Title"))))</f>
        <v>#|Operations - Core Title
</v>
      </c>
      <c r="AH465" s="5"/>
      <c r="AI465" s="5"/>
      <c r="AJ465" s="5"/>
      <c r="AK465" s="5"/>
      <c r="AL465" s="5"/>
    </row>
    <row r="466">
      <c r="A466" s="5"/>
      <c r="B466" s="5" t="str">
        <f>'Ingest Template'!B466&amp;IF('Ingest Template'!A466 = "Standard", " - DAR","")</f>
        <v/>
      </c>
      <c r="C466" s="6" t="str">
        <f>'Ingest Template'!C466</f>
        <v/>
      </c>
      <c r="D466" s="7" t="str">
        <f>'Ingest Template'!E466</f>
        <v/>
      </c>
      <c r="E466" s="5"/>
      <c r="F466" s="5"/>
      <c r="G466" s="5"/>
      <c r="H466" s="7"/>
      <c r="I466" s="5"/>
      <c r="J466" s="7" t="str">
        <f>'Ingest Template'!Q466</f>
        <v/>
      </c>
      <c r="K466" s="5" t="str">
        <f>'Ingest Template'!R466</f>
        <v/>
      </c>
      <c r="L466" s="8" t="s">
        <v>38</v>
      </c>
      <c r="M466" s="9"/>
      <c r="N466" s="5"/>
      <c r="O466" s="5"/>
      <c r="P466" s="5"/>
      <c r="Q466" s="5"/>
      <c r="R466" s="5" t="str">
        <f>'Ingest Template'!D466</f>
        <v/>
      </c>
      <c r="S466" s="5" t="str">
        <f>'Ingest Template'!G466</f>
        <v/>
      </c>
      <c r="T466" s="5" t="str">
        <f>'Ingest Template'!H466</f>
        <v/>
      </c>
      <c r="U466" s="5" t="str">
        <f>LOWER(SUBSTITUTE(SUBSTITUTE(SUBSTITUTE(SUBSTITUTE(SUBSTITUTE('Ingest Template'!I466,"https:",""),"www.",""),"/",""),"?hl=en",""),"instagram.com",""))</f>
        <v/>
      </c>
      <c r="V466" s="10" t="str">
        <f>'Ingest Template'!J466</f>
        <v/>
      </c>
      <c r="W466" s="10" t="str">
        <f>'Ingest Template'!K466</f>
        <v/>
      </c>
      <c r="X466" s="5"/>
      <c r="Y466" s="5" t="str">
        <f>SUBSTITUTE(SUBSTITUTE(SUBSTITUTE('Ingest Template'!L466,"http:",""),"https:",""),"/","")</f>
        <v/>
      </c>
      <c r="Z466" s="5" t="str">
        <f t="array" ref="Z466">IF('Ingest Template'!A466="Standard",(IF(ISBLANK('Ingest Template'!M466),"", 'Ingest Template'!M466&amp;"|DAR")),(IF(ISBLANK('Ingest Template'!M466),"", 'Ingest Template'!M466&amp;"|Operations - Core Title")))</f>
        <v/>
      </c>
      <c r="AA466" s="5"/>
      <c r="AB466" s="5" t="str">
        <f>'Ingest Template'!F466</f>
        <v/>
      </c>
      <c r="AC466" s="5"/>
      <c r="AD466" s="5"/>
      <c r="AE466" s="5"/>
      <c r="AF466" s="8"/>
      <c r="AG466" s="5" t="str">
        <f t="array" ref="AG466">IF('Ingest Template'!A466="Standard",(CONCATENATE(IF(ISBLANK('Ingest Template'!N466),"", 'Ingest Template'!N466&amp;"|DAR"),CHAR(10), IF(ISBLANK('Ingest Template'!O466),"", 'Ingest Template'!O466&amp;"|DAR"),CHAR(10), IF(ISBLANK('Ingest Template'!P466),"", 'Ingest Template'!P466&amp;"|DAR"))),(CONCATENATE(IF(ISBLANK('Ingest Template'!N466),"", 'Ingest Template'!N466&amp;"|Operations - Core Title"),CHAR(10), IF(ISBLANK('Ingest Template'!O466),"", 'Ingest Template'!O466&amp;"|Operations - Core Title"),CHAR(10), IF(ISBLANK('Ingest Template'!P466),"", 'Ingest Template'!P466&amp;"|Operations - Core Title"))))</f>
        <v>#|Operations - Core Title
</v>
      </c>
      <c r="AH466" s="5"/>
      <c r="AI466" s="5"/>
      <c r="AJ466" s="5"/>
      <c r="AK466" s="5"/>
      <c r="AL466" s="5"/>
    </row>
    <row r="467">
      <c r="A467" s="5"/>
      <c r="B467" s="5" t="str">
        <f>'Ingest Template'!B467&amp;IF('Ingest Template'!A467 = "Standard", " - DAR","")</f>
        <v/>
      </c>
      <c r="C467" s="6" t="str">
        <f>'Ingest Template'!C467</f>
        <v/>
      </c>
      <c r="D467" s="7" t="str">
        <f>'Ingest Template'!E467</f>
        <v/>
      </c>
      <c r="E467" s="5"/>
      <c r="F467" s="5"/>
      <c r="G467" s="5"/>
      <c r="H467" s="7"/>
      <c r="I467" s="5"/>
      <c r="J467" s="7" t="str">
        <f>'Ingest Template'!Q467</f>
        <v/>
      </c>
      <c r="K467" s="5" t="str">
        <f>'Ingest Template'!R467</f>
        <v/>
      </c>
      <c r="L467" s="8" t="s">
        <v>38</v>
      </c>
      <c r="M467" s="9"/>
      <c r="N467" s="5"/>
      <c r="O467" s="5"/>
      <c r="P467" s="5"/>
      <c r="Q467" s="5"/>
      <c r="R467" s="5" t="str">
        <f>'Ingest Template'!D467</f>
        <v/>
      </c>
      <c r="S467" s="5" t="str">
        <f>'Ingest Template'!G467</f>
        <v/>
      </c>
      <c r="T467" s="5" t="str">
        <f>'Ingest Template'!H467</f>
        <v/>
      </c>
      <c r="U467" s="5" t="str">
        <f>LOWER(SUBSTITUTE(SUBSTITUTE(SUBSTITUTE(SUBSTITUTE(SUBSTITUTE('Ingest Template'!I467,"https:",""),"www.",""),"/",""),"?hl=en",""),"instagram.com",""))</f>
        <v/>
      </c>
      <c r="V467" s="10" t="str">
        <f>'Ingest Template'!J467</f>
        <v/>
      </c>
      <c r="W467" s="10" t="str">
        <f>'Ingest Template'!K467</f>
        <v/>
      </c>
      <c r="X467" s="5"/>
      <c r="Y467" s="5" t="str">
        <f>SUBSTITUTE(SUBSTITUTE(SUBSTITUTE('Ingest Template'!L467,"http:",""),"https:",""),"/","")</f>
        <v/>
      </c>
      <c r="Z467" s="5" t="str">
        <f t="array" ref="Z467">IF('Ingest Template'!A467="Standard",(IF(ISBLANK('Ingest Template'!M467),"", 'Ingest Template'!M467&amp;"|DAR")),(IF(ISBLANK('Ingest Template'!M467),"", 'Ingest Template'!M467&amp;"|Operations - Core Title")))</f>
        <v/>
      </c>
      <c r="AA467" s="5"/>
      <c r="AB467" s="5" t="str">
        <f>'Ingest Template'!F467</f>
        <v/>
      </c>
      <c r="AC467" s="5"/>
      <c r="AD467" s="5"/>
      <c r="AE467" s="5"/>
      <c r="AF467" s="8"/>
      <c r="AG467" s="5" t="str">
        <f t="array" ref="AG467">IF('Ingest Template'!A467="Standard",(CONCATENATE(IF(ISBLANK('Ingest Template'!N467),"", 'Ingest Template'!N467&amp;"|DAR"),CHAR(10), IF(ISBLANK('Ingest Template'!O467),"", 'Ingest Template'!O467&amp;"|DAR"),CHAR(10), IF(ISBLANK('Ingest Template'!P467),"", 'Ingest Template'!P467&amp;"|DAR"))),(CONCATENATE(IF(ISBLANK('Ingest Template'!N467),"", 'Ingest Template'!N467&amp;"|Operations - Core Title"),CHAR(10), IF(ISBLANK('Ingest Template'!O467),"", 'Ingest Template'!O467&amp;"|Operations - Core Title"),CHAR(10), IF(ISBLANK('Ingest Template'!P467),"", 'Ingest Template'!P467&amp;"|Operations - Core Title"))))</f>
        <v>#|Operations - Core Title
</v>
      </c>
      <c r="AH467" s="5"/>
      <c r="AI467" s="5"/>
      <c r="AJ467" s="5"/>
      <c r="AK467" s="5"/>
      <c r="AL467" s="5"/>
    </row>
    <row r="468">
      <c r="A468" s="5"/>
      <c r="B468" s="5" t="str">
        <f>'Ingest Template'!B468&amp;IF('Ingest Template'!A468 = "Standard", " - DAR","")</f>
        <v/>
      </c>
      <c r="C468" s="6" t="str">
        <f>'Ingest Template'!C468</f>
        <v/>
      </c>
      <c r="D468" s="7" t="str">
        <f>'Ingest Template'!E468</f>
        <v/>
      </c>
      <c r="E468" s="5"/>
      <c r="F468" s="5"/>
      <c r="G468" s="5"/>
      <c r="H468" s="7"/>
      <c r="I468" s="5"/>
      <c r="J468" s="7" t="str">
        <f>'Ingest Template'!Q468</f>
        <v/>
      </c>
      <c r="K468" s="5" t="str">
        <f>'Ingest Template'!R468</f>
        <v/>
      </c>
      <c r="L468" s="8" t="s">
        <v>38</v>
      </c>
      <c r="M468" s="9"/>
      <c r="N468" s="5"/>
      <c r="O468" s="5"/>
      <c r="P468" s="5"/>
      <c r="Q468" s="5"/>
      <c r="R468" s="5" t="str">
        <f>'Ingest Template'!D468</f>
        <v/>
      </c>
      <c r="S468" s="5" t="str">
        <f>'Ingest Template'!G468</f>
        <v/>
      </c>
      <c r="T468" s="5" t="str">
        <f>'Ingest Template'!H468</f>
        <v/>
      </c>
      <c r="U468" s="5" t="str">
        <f>LOWER(SUBSTITUTE(SUBSTITUTE(SUBSTITUTE(SUBSTITUTE(SUBSTITUTE('Ingest Template'!I468,"https:",""),"www.",""),"/",""),"?hl=en",""),"instagram.com",""))</f>
        <v/>
      </c>
      <c r="V468" s="10" t="str">
        <f>'Ingest Template'!J468</f>
        <v/>
      </c>
      <c r="W468" s="10" t="str">
        <f>'Ingest Template'!K468</f>
        <v/>
      </c>
      <c r="X468" s="5"/>
      <c r="Y468" s="5" t="str">
        <f>SUBSTITUTE(SUBSTITUTE(SUBSTITUTE('Ingest Template'!L468,"http:",""),"https:",""),"/","")</f>
        <v/>
      </c>
      <c r="Z468" s="5" t="str">
        <f t="array" ref="Z468">IF('Ingest Template'!A468="Standard",(IF(ISBLANK('Ingest Template'!M468),"", 'Ingest Template'!M468&amp;"|DAR")),(IF(ISBLANK('Ingest Template'!M468),"", 'Ingest Template'!M468&amp;"|Operations - Core Title")))</f>
        <v/>
      </c>
      <c r="AA468" s="5"/>
      <c r="AB468" s="5" t="str">
        <f>'Ingest Template'!F468</f>
        <v/>
      </c>
      <c r="AC468" s="5"/>
      <c r="AD468" s="5"/>
      <c r="AE468" s="5"/>
      <c r="AF468" s="8"/>
      <c r="AG468" s="5" t="str">
        <f t="array" ref="AG468">IF('Ingest Template'!A468="Standard",(CONCATENATE(IF(ISBLANK('Ingest Template'!N468),"", 'Ingest Template'!N468&amp;"|DAR"),CHAR(10), IF(ISBLANK('Ingest Template'!O468),"", 'Ingest Template'!O468&amp;"|DAR"),CHAR(10), IF(ISBLANK('Ingest Template'!P468),"", 'Ingest Template'!P468&amp;"|DAR"))),(CONCATENATE(IF(ISBLANK('Ingest Template'!N468),"", 'Ingest Template'!N468&amp;"|Operations - Core Title"),CHAR(10), IF(ISBLANK('Ingest Template'!O468),"", 'Ingest Template'!O468&amp;"|Operations - Core Title"),CHAR(10), IF(ISBLANK('Ingest Template'!P468),"", 'Ingest Template'!P468&amp;"|Operations - Core Title"))))</f>
        <v>#|Operations - Core Title
</v>
      </c>
      <c r="AH468" s="5"/>
      <c r="AI468" s="5"/>
      <c r="AJ468" s="5"/>
      <c r="AK468" s="5"/>
      <c r="AL468" s="5"/>
    </row>
    <row r="469">
      <c r="A469" s="5"/>
      <c r="B469" s="5" t="str">
        <f>'Ingest Template'!B469&amp;IF('Ingest Template'!A469 = "Standard", " - DAR","")</f>
        <v/>
      </c>
      <c r="C469" s="6" t="str">
        <f>'Ingest Template'!C469</f>
        <v/>
      </c>
      <c r="D469" s="7" t="str">
        <f>'Ingest Template'!E469</f>
        <v/>
      </c>
      <c r="E469" s="5"/>
      <c r="F469" s="5"/>
      <c r="G469" s="5"/>
      <c r="H469" s="7"/>
      <c r="I469" s="5"/>
      <c r="J469" s="7" t="str">
        <f>'Ingest Template'!Q469</f>
        <v/>
      </c>
      <c r="K469" s="5" t="str">
        <f>'Ingest Template'!R469</f>
        <v/>
      </c>
      <c r="L469" s="8" t="s">
        <v>38</v>
      </c>
      <c r="M469" s="9"/>
      <c r="N469" s="5"/>
      <c r="O469" s="5"/>
      <c r="P469" s="5"/>
      <c r="Q469" s="5"/>
      <c r="R469" s="5" t="str">
        <f>'Ingest Template'!D469</f>
        <v/>
      </c>
      <c r="S469" s="5" t="str">
        <f>'Ingest Template'!G469</f>
        <v/>
      </c>
      <c r="T469" s="5" t="str">
        <f>'Ingest Template'!H469</f>
        <v/>
      </c>
      <c r="U469" s="5" t="str">
        <f>LOWER(SUBSTITUTE(SUBSTITUTE(SUBSTITUTE(SUBSTITUTE(SUBSTITUTE('Ingest Template'!I469,"https:",""),"www.",""),"/",""),"?hl=en",""),"instagram.com",""))</f>
        <v/>
      </c>
      <c r="V469" s="10" t="str">
        <f>'Ingest Template'!J469</f>
        <v/>
      </c>
      <c r="W469" s="10" t="str">
        <f>'Ingest Template'!K469</f>
        <v/>
      </c>
      <c r="X469" s="5"/>
      <c r="Y469" s="5" t="str">
        <f>SUBSTITUTE(SUBSTITUTE(SUBSTITUTE('Ingest Template'!L469,"http:",""),"https:",""),"/","")</f>
        <v/>
      </c>
      <c r="Z469" s="5" t="str">
        <f t="array" ref="Z469">IF('Ingest Template'!A469="Standard",(IF(ISBLANK('Ingest Template'!M469),"", 'Ingest Template'!M469&amp;"|DAR")),(IF(ISBLANK('Ingest Template'!M469),"", 'Ingest Template'!M469&amp;"|Operations - Core Title")))</f>
        <v/>
      </c>
      <c r="AA469" s="5"/>
      <c r="AB469" s="5" t="str">
        <f>'Ingest Template'!F469</f>
        <v/>
      </c>
      <c r="AC469" s="5"/>
      <c r="AD469" s="5"/>
      <c r="AE469" s="5"/>
      <c r="AF469" s="8"/>
      <c r="AG469" s="5" t="str">
        <f t="array" ref="AG469">IF('Ingest Template'!A469="Standard",(CONCATENATE(IF(ISBLANK('Ingest Template'!N469),"", 'Ingest Template'!N469&amp;"|DAR"),CHAR(10), IF(ISBLANK('Ingest Template'!O469),"", 'Ingest Template'!O469&amp;"|DAR"),CHAR(10), IF(ISBLANK('Ingest Template'!P469),"", 'Ingest Template'!P469&amp;"|DAR"))),(CONCATENATE(IF(ISBLANK('Ingest Template'!N469),"", 'Ingest Template'!N469&amp;"|Operations - Core Title"),CHAR(10), IF(ISBLANK('Ingest Template'!O469),"", 'Ingest Template'!O469&amp;"|Operations - Core Title"),CHAR(10), IF(ISBLANK('Ingest Template'!P469),"", 'Ingest Template'!P469&amp;"|Operations - Core Title"))))</f>
        <v>#|Operations - Core Title
</v>
      </c>
      <c r="AH469" s="5"/>
      <c r="AI469" s="5"/>
      <c r="AJ469" s="5"/>
      <c r="AK469" s="5"/>
      <c r="AL469" s="5"/>
    </row>
    <row r="470">
      <c r="A470" s="5"/>
      <c r="B470" s="5" t="str">
        <f>'Ingest Template'!B470&amp;IF('Ingest Template'!A470 = "Standard", " - DAR","")</f>
        <v/>
      </c>
      <c r="C470" s="6" t="str">
        <f>'Ingest Template'!C470</f>
        <v/>
      </c>
      <c r="D470" s="7" t="str">
        <f>'Ingest Template'!E470</f>
        <v/>
      </c>
      <c r="E470" s="5"/>
      <c r="F470" s="5"/>
      <c r="G470" s="5"/>
      <c r="H470" s="7"/>
      <c r="I470" s="5"/>
      <c r="J470" s="7" t="str">
        <f>'Ingest Template'!Q470</f>
        <v/>
      </c>
      <c r="K470" s="5" t="str">
        <f>'Ingest Template'!R470</f>
        <v/>
      </c>
      <c r="L470" s="8" t="s">
        <v>38</v>
      </c>
      <c r="M470" s="9"/>
      <c r="N470" s="5"/>
      <c r="O470" s="5"/>
      <c r="P470" s="5"/>
      <c r="Q470" s="5"/>
      <c r="R470" s="5" t="str">
        <f>'Ingest Template'!D470</f>
        <v/>
      </c>
      <c r="S470" s="5" t="str">
        <f>'Ingest Template'!G470</f>
        <v/>
      </c>
      <c r="T470" s="5" t="str">
        <f>'Ingest Template'!H470</f>
        <v/>
      </c>
      <c r="U470" s="5" t="str">
        <f>LOWER(SUBSTITUTE(SUBSTITUTE(SUBSTITUTE(SUBSTITUTE(SUBSTITUTE('Ingest Template'!I470,"https:",""),"www.",""),"/",""),"?hl=en",""),"instagram.com",""))</f>
        <v/>
      </c>
      <c r="V470" s="10" t="str">
        <f>'Ingest Template'!J470</f>
        <v/>
      </c>
      <c r="W470" s="10" t="str">
        <f>'Ingest Template'!K470</f>
        <v/>
      </c>
      <c r="X470" s="5"/>
      <c r="Y470" s="5" t="str">
        <f>SUBSTITUTE(SUBSTITUTE(SUBSTITUTE('Ingest Template'!L470,"http:",""),"https:",""),"/","")</f>
        <v/>
      </c>
      <c r="Z470" s="5" t="str">
        <f t="array" ref="Z470">IF('Ingest Template'!A470="Standard",(IF(ISBLANK('Ingest Template'!M470),"", 'Ingest Template'!M470&amp;"|DAR")),(IF(ISBLANK('Ingest Template'!M470),"", 'Ingest Template'!M470&amp;"|Operations - Core Title")))</f>
        <v/>
      </c>
      <c r="AA470" s="5"/>
      <c r="AB470" s="5" t="str">
        <f>'Ingest Template'!F470</f>
        <v/>
      </c>
      <c r="AC470" s="5"/>
      <c r="AD470" s="5"/>
      <c r="AE470" s="5"/>
      <c r="AF470" s="8"/>
      <c r="AG470" s="5" t="str">
        <f t="array" ref="AG470">IF('Ingest Template'!A470="Standard",(CONCATENATE(IF(ISBLANK('Ingest Template'!N470),"", 'Ingest Template'!N470&amp;"|DAR"),CHAR(10), IF(ISBLANK('Ingest Template'!O470),"", 'Ingest Template'!O470&amp;"|DAR"),CHAR(10), IF(ISBLANK('Ingest Template'!P470),"", 'Ingest Template'!P470&amp;"|DAR"))),(CONCATENATE(IF(ISBLANK('Ingest Template'!N470),"", 'Ingest Template'!N470&amp;"|Operations - Core Title"),CHAR(10), IF(ISBLANK('Ingest Template'!O470),"", 'Ingest Template'!O470&amp;"|Operations - Core Title"),CHAR(10), IF(ISBLANK('Ingest Template'!P470),"", 'Ingest Template'!P470&amp;"|Operations - Core Title"))))</f>
        <v>#|Operations - Core Title
</v>
      </c>
      <c r="AH470" s="5"/>
      <c r="AI470" s="5"/>
      <c r="AJ470" s="5"/>
      <c r="AK470" s="5"/>
      <c r="AL470" s="5"/>
    </row>
    <row r="471">
      <c r="A471" s="5"/>
      <c r="B471" s="5" t="str">
        <f>'Ingest Template'!B471&amp;IF('Ingest Template'!A471 = "Standard", " - DAR","")</f>
        <v/>
      </c>
      <c r="C471" s="6" t="str">
        <f>'Ingest Template'!C471</f>
        <v/>
      </c>
      <c r="D471" s="7" t="str">
        <f>'Ingest Template'!E471</f>
        <v/>
      </c>
      <c r="E471" s="5"/>
      <c r="F471" s="5"/>
      <c r="G471" s="5"/>
      <c r="H471" s="7"/>
      <c r="I471" s="5"/>
      <c r="J471" s="7" t="str">
        <f>'Ingest Template'!Q471</f>
        <v/>
      </c>
      <c r="K471" s="5" t="str">
        <f>'Ingest Template'!R471</f>
        <v/>
      </c>
      <c r="L471" s="8" t="s">
        <v>38</v>
      </c>
      <c r="M471" s="9"/>
      <c r="N471" s="5"/>
      <c r="O471" s="5"/>
      <c r="P471" s="5"/>
      <c r="Q471" s="5"/>
      <c r="R471" s="5" t="str">
        <f>'Ingest Template'!D471</f>
        <v/>
      </c>
      <c r="S471" s="5" t="str">
        <f>'Ingest Template'!G471</f>
        <v/>
      </c>
      <c r="T471" s="5" t="str">
        <f>'Ingest Template'!H471</f>
        <v/>
      </c>
      <c r="U471" s="5" t="str">
        <f>LOWER(SUBSTITUTE(SUBSTITUTE(SUBSTITUTE(SUBSTITUTE(SUBSTITUTE('Ingest Template'!I471,"https:",""),"www.",""),"/",""),"?hl=en",""),"instagram.com",""))</f>
        <v/>
      </c>
      <c r="V471" s="10" t="str">
        <f>'Ingest Template'!J471</f>
        <v/>
      </c>
      <c r="W471" s="10" t="str">
        <f>'Ingest Template'!K471</f>
        <v/>
      </c>
      <c r="X471" s="5"/>
      <c r="Y471" s="5" t="str">
        <f>SUBSTITUTE(SUBSTITUTE(SUBSTITUTE('Ingest Template'!L471,"http:",""),"https:",""),"/","")</f>
        <v/>
      </c>
      <c r="Z471" s="5" t="str">
        <f t="array" ref="Z471">IF('Ingest Template'!A471="Standard",(IF(ISBLANK('Ingest Template'!M471),"", 'Ingest Template'!M471&amp;"|DAR")),(IF(ISBLANK('Ingest Template'!M471),"", 'Ingest Template'!M471&amp;"|Operations - Core Title")))</f>
        <v/>
      </c>
      <c r="AA471" s="5"/>
      <c r="AB471" s="5" t="str">
        <f>'Ingest Template'!F471</f>
        <v/>
      </c>
      <c r="AC471" s="5"/>
      <c r="AD471" s="5"/>
      <c r="AE471" s="5"/>
      <c r="AF471" s="8"/>
      <c r="AG471" s="5" t="str">
        <f t="array" ref="AG471">IF('Ingest Template'!A471="Standard",(CONCATENATE(IF(ISBLANK('Ingest Template'!N471),"", 'Ingest Template'!N471&amp;"|DAR"),CHAR(10), IF(ISBLANK('Ingest Template'!O471),"", 'Ingest Template'!O471&amp;"|DAR"),CHAR(10), IF(ISBLANK('Ingest Template'!P471),"", 'Ingest Template'!P471&amp;"|DAR"))),(CONCATENATE(IF(ISBLANK('Ingest Template'!N471),"", 'Ingest Template'!N471&amp;"|Operations - Core Title"),CHAR(10), IF(ISBLANK('Ingest Template'!O471),"", 'Ingest Template'!O471&amp;"|Operations - Core Title"),CHAR(10), IF(ISBLANK('Ingest Template'!P471),"", 'Ingest Template'!P471&amp;"|Operations - Core Title"))))</f>
        <v>#|Operations - Core Title
</v>
      </c>
      <c r="AH471" s="5"/>
      <c r="AI471" s="5"/>
      <c r="AJ471" s="5"/>
      <c r="AK471" s="5"/>
      <c r="AL471" s="5"/>
    </row>
    <row r="472">
      <c r="A472" s="5"/>
      <c r="B472" s="5" t="str">
        <f>'Ingest Template'!B472&amp;IF('Ingest Template'!A472 = "Standard", " - DAR","")</f>
        <v/>
      </c>
      <c r="C472" s="6" t="str">
        <f>'Ingest Template'!C472</f>
        <v/>
      </c>
      <c r="D472" s="7" t="str">
        <f>'Ingest Template'!E472</f>
        <v/>
      </c>
      <c r="E472" s="5"/>
      <c r="F472" s="5"/>
      <c r="G472" s="5"/>
      <c r="H472" s="7"/>
      <c r="I472" s="5"/>
      <c r="J472" s="7" t="str">
        <f>'Ingest Template'!Q472</f>
        <v/>
      </c>
      <c r="K472" s="5" t="str">
        <f>'Ingest Template'!R472</f>
        <v/>
      </c>
      <c r="L472" s="8" t="s">
        <v>38</v>
      </c>
      <c r="M472" s="9"/>
      <c r="N472" s="5"/>
      <c r="O472" s="5"/>
      <c r="P472" s="5"/>
      <c r="Q472" s="5"/>
      <c r="R472" s="5" t="str">
        <f>'Ingest Template'!D472</f>
        <v/>
      </c>
      <c r="S472" s="5" t="str">
        <f>'Ingest Template'!G472</f>
        <v/>
      </c>
      <c r="T472" s="5" t="str">
        <f>'Ingest Template'!H472</f>
        <v/>
      </c>
      <c r="U472" s="5" t="str">
        <f>LOWER(SUBSTITUTE(SUBSTITUTE(SUBSTITUTE(SUBSTITUTE(SUBSTITUTE('Ingest Template'!I472,"https:",""),"www.",""),"/",""),"?hl=en",""),"instagram.com",""))</f>
        <v/>
      </c>
      <c r="V472" s="10" t="str">
        <f>'Ingest Template'!J472</f>
        <v/>
      </c>
      <c r="W472" s="10" t="str">
        <f>'Ingest Template'!K472</f>
        <v/>
      </c>
      <c r="X472" s="5"/>
      <c r="Y472" s="5" t="str">
        <f>SUBSTITUTE(SUBSTITUTE(SUBSTITUTE('Ingest Template'!L472,"http:",""),"https:",""),"/","")</f>
        <v/>
      </c>
      <c r="Z472" s="5" t="str">
        <f t="array" ref="Z472">IF('Ingest Template'!A472="Standard",(IF(ISBLANK('Ingest Template'!M472),"", 'Ingest Template'!M472&amp;"|DAR")),(IF(ISBLANK('Ingest Template'!M472),"", 'Ingest Template'!M472&amp;"|Operations - Core Title")))</f>
        <v/>
      </c>
      <c r="AA472" s="5"/>
      <c r="AB472" s="5" t="str">
        <f>'Ingest Template'!F472</f>
        <v/>
      </c>
      <c r="AC472" s="5"/>
      <c r="AD472" s="5"/>
      <c r="AE472" s="5"/>
      <c r="AF472" s="8"/>
      <c r="AG472" s="5" t="str">
        <f t="array" ref="AG472">IF('Ingest Template'!A472="Standard",(CONCATENATE(IF(ISBLANK('Ingest Template'!N472),"", 'Ingest Template'!N472&amp;"|DAR"),CHAR(10), IF(ISBLANK('Ingest Template'!O472),"", 'Ingest Template'!O472&amp;"|DAR"),CHAR(10), IF(ISBLANK('Ingest Template'!P472),"", 'Ingest Template'!P472&amp;"|DAR"))),(CONCATENATE(IF(ISBLANK('Ingest Template'!N472),"", 'Ingest Template'!N472&amp;"|Operations - Core Title"),CHAR(10), IF(ISBLANK('Ingest Template'!O472),"", 'Ingest Template'!O472&amp;"|Operations - Core Title"),CHAR(10), IF(ISBLANK('Ingest Template'!P472),"", 'Ingest Template'!P472&amp;"|Operations - Core Title"))))</f>
        <v>#|Operations - Core Title
</v>
      </c>
      <c r="AH472" s="5"/>
      <c r="AI472" s="5"/>
      <c r="AJ472" s="5"/>
      <c r="AK472" s="5"/>
      <c r="AL472" s="5"/>
    </row>
    <row r="473">
      <c r="A473" s="5"/>
      <c r="B473" s="5" t="str">
        <f>'Ingest Template'!B473&amp;IF('Ingest Template'!A473 = "Standard", " - DAR","")</f>
        <v/>
      </c>
      <c r="C473" s="6" t="str">
        <f>'Ingest Template'!C473</f>
        <v/>
      </c>
      <c r="D473" s="7" t="str">
        <f>'Ingest Template'!E473</f>
        <v/>
      </c>
      <c r="E473" s="5"/>
      <c r="F473" s="5"/>
      <c r="G473" s="5"/>
      <c r="H473" s="7"/>
      <c r="I473" s="5"/>
      <c r="J473" s="7" t="str">
        <f>'Ingest Template'!Q473</f>
        <v/>
      </c>
      <c r="K473" s="5" t="str">
        <f>'Ingest Template'!R473</f>
        <v/>
      </c>
      <c r="L473" s="8" t="s">
        <v>38</v>
      </c>
      <c r="M473" s="9"/>
      <c r="N473" s="5"/>
      <c r="O473" s="5"/>
      <c r="P473" s="5"/>
      <c r="Q473" s="5"/>
      <c r="R473" s="5" t="str">
        <f>'Ingest Template'!D473</f>
        <v/>
      </c>
      <c r="S473" s="5" t="str">
        <f>'Ingest Template'!G473</f>
        <v/>
      </c>
      <c r="T473" s="5" t="str">
        <f>'Ingest Template'!H473</f>
        <v/>
      </c>
      <c r="U473" s="5" t="str">
        <f>LOWER(SUBSTITUTE(SUBSTITUTE(SUBSTITUTE(SUBSTITUTE(SUBSTITUTE('Ingest Template'!I473,"https:",""),"www.",""),"/",""),"?hl=en",""),"instagram.com",""))</f>
        <v/>
      </c>
      <c r="V473" s="10" t="str">
        <f>'Ingest Template'!J473</f>
        <v/>
      </c>
      <c r="W473" s="10" t="str">
        <f>'Ingest Template'!K473</f>
        <v/>
      </c>
      <c r="X473" s="5"/>
      <c r="Y473" s="5" t="str">
        <f>SUBSTITUTE(SUBSTITUTE(SUBSTITUTE('Ingest Template'!L473,"http:",""),"https:",""),"/","")</f>
        <v/>
      </c>
      <c r="Z473" s="5" t="str">
        <f t="array" ref="Z473">IF('Ingest Template'!A473="Standard",(IF(ISBLANK('Ingest Template'!M473),"", 'Ingest Template'!M473&amp;"|DAR")),(IF(ISBLANK('Ingest Template'!M473),"", 'Ingest Template'!M473&amp;"|Operations - Core Title")))</f>
        <v/>
      </c>
      <c r="AA473" s="5"/>
      <c r="AB473" s="5" t="str">
        <f>'Ingest Template'!F473</f>
        <v/>
      </c>
      <c r="AC473" s="5"/>
      <c r="AD473" s="5"/>
      <c r="AE473" s="5"/>
      <c r="AF473" s="8"/>
      <c r="AG473" s="5" t="str">
        <f t="array" ref="AG473">IF('Ingest Template'!A473="Standard",(CONCATENATE(IF(ISBLANK('Ingest Template'!N473),"", 'Ingest Template'!N473&amp;"|DAR"),CHAR(10), IF(ISBLANK('Ingest Template'!O473),"", 'Ingest Template'!O473&amp;"|DAR"),CHAR(10), IF(ISBLANK('Ingest Template'!P473),"", 'Ingest Template'!P473&amp;"|DAR"))),(CONCATENATE(IF(ISBLANK('Ingest Template'!N473),"", 'Ingest Template'!N473&amp;"|Operations - Core Title"),CHAR(10), IF(ISBLANK('Ingest Template'!O473),"", 'Ingest Template'!O473&amp;"|Operations - Core Title"),CHAR(10), IF(ISBLANK('Ingest Template'!P473),"", 'Ingest Template'!P473&amp;"|Operations - Core Title"))))</f>
        <v>#|Operations - Core Title
</v>
      </c>
      <c r="AH473" s="5"/>
      <c r="AI473" s="5"/>
      <c r="AJ473" s="5"/>
      <c r="AK473" s="5"/>
      <c r="AL473" s="5"/>
    </row>
    <row r="474">
      <c r="A474" s="5"/>
      <c r="B474" s="5" t="str">
        <f>'Ingest Template'!B474&amp;IF('Ingest Template'!A474 = "Standard", " - DAR","")</f>
        <v/>
      </c>
      <c r="C474" s="6" t="str">
        <f>'Ingest Template'!C474</f>
        <v/>
      </c>
      <c r="D474" s="7" t="str">
        <f>'Ingest Template'!E474</f>
        <v/>
      </c>
      <c r="E474" s="5"/>
      <c r="F474" s="5"/>
      <c r="G474" s="5"/>
      <c r="H474" s="7"/>
      <c r="I474" s="5"/>
      <c r="J474" s="7" t="str">
        <f>'Ingest Template'!Q474</f>
        <v/>
      </c>
      <c r="K474" s="5" t="str">
        <f>'Ingest Template'!R474</f>
        <v/>
      </c>
      <c r="L474" s="8" t="s">
        <v>38</v>
      </c>
      <c r="M474" s="9"/>
      <c r="N474" s="5"/>
      <c r="O474" s="5"/>
      <c r="P474" s="5"/>
      <c r="Q474" s="5"/>
      <c r="R474" s="5" t="str">
        <f>'Ingest Template'!D474</f>
        <v/>
      </c>
      <c r="S474" s="5" t="str">
        <f>'Ingest Template'!G474</f>
        <v/>
      </c>
      <c r="T474" s="5" t="str">
        <f>'Ingest Template'!H474</f>
        <v/>
      </c>
      <c r="U474" s="5" t="str">
        <f>LOWER(SUBSTITUTE(SUBSTITUTE(SUBSTITUTE(SUBSTITUTE(SUBSTITUTE('Ingest Template'!I474,"https:",""),"www.",""),"/",""),"?hl=en",""),"instagram.com",""))</f>
        <v/>
      </c>
      <c r="V474" s="10" t="str">
        <f>'Ingest Template'!J474</f>
        <v/>
      </c>
      <c r="W474" s="10" t="str">
        <f>'Ingest Template'!K474</f>
        <v/>
      </c>
      <c r="X474" s="5"/>
      <c r="Y474" s="5" t="str">
        <f>SUBSTITUTE(SUBSTITUTE(SUBSTITUTE('Ingest Template'!L474,"http:",""),"https:",""),"/","")</f>
        <v/>
      </c>
      <c r="Z474" s="5" t="str">
        <f t="array" ref="Z474">IF('Ingest Template'!A474="Standard",(IF(ISBLANK('Ingest Template'!M474),"", 'Ingest Template'!M474&amp;"|DAR")),(IF(ISBLANK('Ingest Template'!M474),"", 'Ingest Template'!M474&amp;"|Operations - Core Title")))</f>
        <v/>
      </c>
      <c r="AA474" s="5"/>
      <c r="AB474" s="5" t="str">
        <f>'Ingest Template'!F474</f>
        <v/>
      </c>
      <c r="AC474" s="5"/>
      <c r="AD474" s="5"/>
      <c r="AE474" s="5"/>
      <c r="AF474" s="8"/>
      <c r="AG474" s="5" t="str">
        <f t="array" ref="AG474">IF('Ingest Template'!A474="Standard",(CONCATENATE(IF(ISBLANK('Ingest Template'!N474),"", 'Ingest Template'!N474&amp;"|DAR"),CHAR(10), IF(ISBLANK('Ingest Template'!O474),"", 'Ingest Template'!O474&amp;"|DAR"),CHAR(10), IF(ISBLANK('Ingest Template'!P474),"", 'Ingest Template'!P474&amp;"|DAR"))),(CONCATENATE(IF(ISBLANK('Ingest Template'!N474),"", 'Ingest Template'!N474&amp;"|Operations - Core Title"),CHAR(10), IF(ISBLANK('Ingest Template'!O474),"", 'Ingest Template'!O474&amp;"|Operations - Core Title"),CHAR(10), IF(ISBLANK('Ingest Template'!P474),"", 'Ingest Template'!P474&amp;"|Operations - Core Title"))))</f>
        <v>#|Operations - Core Title
</v>
      </c>
      <c r="AH474" s="5"/>
      <c r="AI474" s="5"/>
      <c r="AJ474" s="5"/>
      <c r="AK474" s="5"/>
      <c r="AL474" s="5"/>
    </row>
    <row r="475">
      <c r="A475" s="5"/>
      <c r="B475" s="5" t="str">
        <f>'Ingest Template'!B475&amp;IF('Ingest Template'!A475 = "Standard", " - DAR","")</f>
        <v/>
      </c>
      <c r="C475" s="6" t="str">
        <f>'Ingest Template'!C475</f>
        <v/>
      </c>
      <c r="D475" s="7" t="str">
        <f>'Ingest Template'!E475</f>
        <v/>
      </c>
      <c r="E475" s="5"/>
      <c r="F475" s="5"/>
      <c r="G475" s="5"/>
      <c r="H475" s="7"/>
      <c r="I475" s="5"/>
      <c r="J475" s="7" t="str">
        <f>'Ingest Template'!Q475</f>
        <v/>
      </c>
      <c r="K475" s="5" t="str">
        <f>'Ingest Template'!R475</f>
        <v/>
      </c>
      <c r="L475" s="8" t="s">
        <v>38</v>
      </c>
      <c r="M475" s="9"/>
      <c r="N475" s="5"/>
      <c r="O475" s="5"/>
      <c r="P475" s="5"/>
      <c r="Q475" s="5"/>
      <c r="R475" s="5" t="str">
        <f>'Ingest Template'!D475</f>
        <v/>
      </c>
      <c r="S475" s="5" t="str">
        <f>'Ingest Template'!G475</f>
        <v/>
      </c>
      <c r="T475" s="5" t="str">
        <f>'Ingest Template'!H475</f>
        <v/>
      </c>
      <c r="U475" s="5" t="str">
        <f>LOWER(SUBSTITUTE(SUBSTITUTE(SUBSTITUTE(SUBSTITUTE(SUBSTITUTE('Ingest Template'!I475,"https:",""),"www.",""),"/",""),"?hl=en",""),"instagram.com",""))</f>
        <v/>
      </c>
      <c r="V475" s="10" t="str">
        <f>'Ingest Template'!J475</f>
        <v/>
      </c>
      <c r="W475" s="10" t="str">
        <f>'Ingest Template'!K475</f>
        <v/>
      </c>
      <c r="X475" s="5"/>
      <c r="Y475" s="5" t="str">
        <f>SUBSTITUTE(SUBSTITUTE(SUBSTITUTE('Ingest Template'!L475,"http:",""),"https:",""),"/","")</f>
        <v/>
      </c>
      <c r="Z475" s="5" t="str">
        <f t="array" ref="Z475">IF('Ingest Template'!A475="Standard",(IF(ISBLANK('Ingest Template'!M475),"", 'Ingest Template'!M475&amp;"|DAR")),(IF(ISBLANK('Ingest Template'!M475),"", 'Ingest Template'!M475&amp;"|Operations - Core Title")))</f>
        <v/>
      </c>
      <c r="AA475" s="5"/>
      <c r="AB475" s="5" t="str">
        <f>'Ingest Template'!F475</f>
        <v/>
      </c>
      <c r="AC475" s="5"/>
      <c r="AD475" s="5"/>
      <c r="AE475" s="5"/>
      <c r="AF475" s="8"/>
      <c r="AG475" s="5" t="str">
        <f t="array" ref="AG475">IF('Ingest Template'!A475="Standard",(CONCATENATE(IF(ISBLANK('Ingest Template'!N475),"", 'Ingest Template'!N475&amp;"|DAR"),CHAR(10), IF(ISBLANK('Ingest Template'!O475),"", 'Ingest Template'!O475&amp;"|DAR"),CHAR(10), IF(ISBLANK('Ingest Template'!P475),"", 'Ingest Template'!P475&amp;"|DAR"))),(CONCATENATE(IF(ISBLANK('Ingest Template'!N475),"", 'Ingest Template'!N475&amp;"|Operations - Core Title"),CHAR(10), IF(ISBLANK('Ingest Template'!O475),"", 'Ingest Template'!O475&amp;"|Operations - Core Title"),CHAR(10), IF(ISBLANK('Ingest Template'!P475),"", 'Ingest Template'!P475&amp;"|Operations - Core Title"))))</f>
        <v>#|Operations - Core Title
</v>
      </c>
      <c r="AH475" s="5"/>
      <c r="AI475" s="5"/>
      <c r="AJ475" s="5"/>
      <c r="AK475" s="5"/>
      <c r="AL475" s="5"/>
    </row>
    <row r="476">
      <c r="A476" s="5"/>
      <c r="B476" s="5" t="str">
        <f>'Ingest Template'!B476&amp;IF('Ingest Template'!A476 = "Standard", " - DAR","")</f>
        <v/>
      </c>
      <c r="C476" s="6" t="str">
        <f>'Ingest Template'!C476</f>
        <v/>
      </c>
      <c r="D476" s="7" t="str">
        <f>'Ingest Template'!E476</f>
        <v/>
      </c>
      <c r="E476" s="5"/>
      <c r="F476" s="5"/>
      <c r="G476" s="5"/>
      <c r="H476" s="7"/>
      <c r="I476" s="5"/>
      <c r="J476" s="7" t="str">
        <f>'Ingest Template'!Q476</f>
        <v/>
      </c>
      <c r="K476" s="5" t="str">
        <f>'Ingest Template'!R476</f>
        <v/>
      </c>
      <c r="L476" s="8" t="s">
        <v>38</v>
      </c>
      <c r="M476" s="9"/>
      <c r="N476" s="5"/>
      <c r="O476" s="5"/>
      <c r="P476" s="5"/>
      <c r="Q476" s="5"/>
      <c r="R476" s="5" t="str">
        <f>'Ingest Template'!D476</f>
        <v/>
      </c>
      <c r="S476" s="5" t="str">
        <f>'Ingest Template'!G476</f>
        <v/>
      </c>
      <c r="T476" s="5" t="str">
        <f>'Ingest Template'!H476</f>
        <v/>
      </c>
      <c r="U476" s="5" t="str">
        <f>LOWER(SUBSTITUTE(SUBSTITUTE(SUBSTITUTE(SUBSTITUTE(SUBSTITUTE('Ingest Template'!I476,"https:",""),"www.",""),"/",""),"?hl=en",""),"instagram.com",""))</f>
        <v/>
      </c>
      <c r="V476" s="10" t="str">
        <f>'Ingest Template'!J476</f>
        <v/>
      </c>
      <c r="W476" s="10" t="str">
        <f>'Ingest Template'!K476</f>
        <v/>
      </c>
      <c r="X476" s="5"/>
      <c r="Y476" s="5" t="str">
        <f>SUBSTITUTE(SUBSTITUTE(SUBSTITUTE('Ingest Template'!L476,"http:",""),"https:",""),"/","")</f>
        <v/>
      </c>
      <c r="Z476" s="5" t="str">
        <f t="array" ref="Z476">IF('Ingest Template'!A476="Standard",(IF(ISBLANK('Ingest Template'!M476),"", 'Ingest Template'!M476&amp;"|DAR")),(IF(ISBLANK('Ingest Template'!M476),"", 'Ingest Template'!M476&amp;"|Operations - Core Title")))</f>
        <v/>
      </c>
      <c r="AA476" s="5"/>
      <c r="AB476" s="5" t="str">
        <f>'Ingest Template'!F476</f>
        <v/>
      </c>
      <c r="AC476" s="5"/>
      <c r="AD476" s="5"/>
      <c r="AE476" s="5"/>
      <c r="AF476" s="8"/>
      <c r="AG476" s="5" t="str">
        <f t="array" ref="AG476">IF('Ingest Template'!A476="Standard",(CONCATENATE(IF(ISBLANK('Ingest Template'!N476),"", 'Ingest Template'!N476&amp;"|DAR"),CHAR(10), IF(ISBLANK('Ingest Template'!O476),"", 'Ingest Template'!O476&amp;"|DAR"),CHAR(10), IF(ISBLANK('Ingest Template'!P476),"", 'Ingest Template'!P476&amp;"|DAR"))),(CONCATENATE(IF(ISBLANK('Ingest Template'!N476),"", 'Ingest Template'!N476&amp;"|Operations - Core Title"),CHAR(10), IF(ISBLANK('Ingest Template'!O476),"", 'Ingest Template'!O476&amp;"|Operations - Core Title"),CHAR(10), IF(ISBLANK('Ingest Template'!P476),"", 'Ingest Template'!P476&amp;"|Operations - Core Title"))))</f>
        <v>#|Operations - Core Title
</v>
      </c>
      <c r="AH476" s="5"/>
      <c r="AI476" s="5"/>
      <c r="AJ476" s="5"/>
      <c r="AK476" s="5"/>
      <c r="AL476" s="5"/>
    </row>
    <row r="477">
      <c r="A477" s="5"/>
      <c r="B477" s="5" t="str">
        <f>'Ingest Template'!B477&amp;IF('Ingest Template'!A477 = "Standard", " - DAR","")</f>
        <v/>
      </c>
      <c r="C477" s="6" t="str">
        <f>'Ingest Template'!C477</f>
        <v/>
      </c>
      <c r="D477" s="7" t="str">
        <f>'Ingest Template'!E477</f>
        <v/>
      </c>
      <c r="E477" s="5"/>
      <c r="F477" s="5"/>
      <c r="G477" s="5"/>
      <c r="H477" s="7"/>
      <c r="I477" s="5"/>
      <c r="J477" s="7" t="str">
        <f>'Ingest Template'!Q477</f>
        <v/>
      </c>
      <c r="K477" s="5" t="str">
        <f>'Ingest Template'!R477</f>
        <v/>
      </c>
      <c r="L477" s="8" t="s">
        <v>38</v>
      </c>
      <c r="M477" s="9"/>
      <c r="N477" s="5"/>
      <c r="O477" s="5"/>
      <c r="P477" s="5"/>
      <c r="Q477" s="5"/>
      <c r="R477" s="5" t="str">
        <f>'Ingest Template'!D477</f>
        <v/>
      </c>
      <c r="S477" s="5" t="str">
        <f>'Ingest Template'!G477</f>
        <v/>
      </c>
      <c r="T477" s="5" t="str">
        <f>'Ingest Template'!H477</f>
        <v/>
      </c>
      <c r="U477" s="5" t="str">
        <f>LOWER(SUBSTITUTE(SUBSTITUTE(SUBSTITUTE(SUBSTITUTE(SUBSTITUTE('Ingest Template'!I477,"https:",""),"www.",""),"/",""),"?hl=en",""),"instagram.com",""))</f>
        <v/>
      </c>
      <c r="V477" s="10" t="str">
        <f>'Ingest Template'!J477</f>
        <v/>
      </c>
      <c r="W477" s="10" t="str">
        <f>'Ingest Template'!K477</f>
        <v/>
      </c>
      <c r="X477" s="5"/>
      <c r="Y477" s="5" t="str">
        <f>SUBSTITUTE(SUBSTITUTE(SUBSTITUTE('Ingest Template'!L477,"http:",""),"https:",""),"/","")</f>
        <v/>
      </c>
      <c r="Z477" s="5" t="str">
        <f t="array" ref="Z477">IF('Ingest Template'!A477="Standard",(IF(ISBLANK('Ingest Template'!M477),"", 'Ingest Template'!M477&amp;"|DAR")),(IF(ISBLANK('Ingest Template'!M477),"", 'Ingest Template'!M477&amp;"|Operations - Core Title")))</f>
        <v/>
      </c>
      <c r="AA477" s="5"/>
      <c r="AB477" s="5" t="str">
        <f>'Ingest Template'!F477</f>
        <v/>
      </c>
      <c r="AC477" s="5"/>
      <c r="AD477" s="5"/>
      <c r="AE477" s="5"/>
      <c r="AF477" s="8"/>
      <c r="AG477" s="5" t="str">
        <f t="array" ref="AG477">IF('Ingest Template'!A477="Standard",(CONCATENATE(IF(ISBLANK('Ingest Template'!N477),"", 'Ingest Template'!N477&amp;"|DAR"),CHAR(10), IF(ISBLANK('Ingest Template'!O477),"", 'Ingest Template'!O477&amp;"|DAR"),CHAR(10), IF(ISBLANK('Ingest Template'!P477),"", 'Ingest Template'!P477&amp;"|DAR"))),(CONCATENATE(IF(ISBLANK('Ingest Template'!N477),"", 'Ingest Template'!N477&amp;"|Operations - Core Title"),CHAR(10), IF(ISBLANK('Ingest Template'!O477),"", 'Ingest Template'!O477&amp;"|Operations - Core Title"),CHAR(10), IF(ISBLANK('Ingest Template'!P477),"", 'Ingest Template'!P477&amp;"|Operations - Core Title"))))</f>
        <v>#|Operations - Core Title
</v>
      </c>
      <c r="AH477" s="5"/>
      <c r="AI477" s="5"/>
      <c r="AJ477" s="5"/>
      <c r="AK477" s="5"/>
      <c r="AL477" s="5"/>
    </row>
    <row r="478">
      <c r="A478" s="5"/>
      <c r="B478" s="5" t="str">
        <f>'Ingest Template'!B478&amp;IF('Ingest Template'!A478 = "Standard", " - DAR","")</f>
        <v/>
      </c>
      <c r="C478" s="6" t="str">
        <f>'Ingest Template'!C478</f>
        <v/>
      </c>
      <c r="D478" s="7" t="str">
        <f>'Ingest Template'!E478</f>
        <v/>
      </c>
      <c r="E478" s="5"/>
      <c r="F478" s="5"/>
      <c r="G478" s="5"/>
      <c r="H478" s="7"/>
      <c r="I478" s="5"/>
      <c r="J478" s="7" t="str">
        <f>'Ingest Template'!Q478</f>
        <v/>
      </c>
      <c r="K478" s="5" t="str">
        <f>'Ingest Template'!R478</f>
        <v/>
      </c>
      <c r="L478" s="8" t="s">
        <v>38</v>
      </c>
      <c r="M478" s="9"/>
      <c r="N478" s="5"/>
      <c r="O478" s="5"/>
      <c r="P478" s="5"/>
      <c r="Q478" s="5"/>
      <c r="R478" s="5" t="str">
        <f>'Ingest Template'!D478</f>
        <v/>
      </c>
      <c r="S478" s="5" t="str">
        <f>'Ingest Template'!G478</f>
        <v/>
      </c>
      <c r="T478" s="5" t="str">
        <f>'Ingest Template'!H478</f>
        <v/>
      </c>
      <c r="U478" s="5" t="str">
        <f>LOWER(SUBSTITUTE(SUBSTITUTE(SUBSTITUTE(SUBSTITUTE(SUBSTITUTE('Ingest Template'!I478,"https:",""),"www.",""),"/",""),"?hl=en",""),"instagram.com",""))</f>
        <v/>
      </c>
      <c r="V478" s="10" t="str">
        <f>'Ingest Template'!J478</f>
        <v/>
      </c>
      <c r="W478" s="10" t="str">
        <f>'Ingest Template'!K478</f>
        <v/>
      </c>
      <c r="X478" s="5"/>
      <c r="Y478" s="5" t="str">
        <f>SUBSTITUTE(SUBSTITUTE(SUBSTITUTE('Ingest Template'!L478,"http:",""),"https:",""),"/","")</f>
        <v/>
      </c>
      <c r="Z478" s="5" t="str">
        <f t="array" ref="Z478">IF('Ingest Template'!A478="Standard",(IF(ISBLANK('Ingest Template'!M478),"", 'Ingest Template'!M478&amp;"|DAR")),(IF(ISBLANK('Ingest Template'!M478),"", 'Ingest Template'!M478&amp;"|Operations - Core Title")))</f>
        <v/>
      </c>
      <c r="AA478" s="5"/>
      <c r="AB478" s="5" t="str">
        <f>'Ingest Template'!F478</f>
        <v/>
      </c>
      <c r="AC478" s="5"/>
      <c r="AD478" s="5"/>
      <c r="AE478" s="5"/>
      <c r="AF478" s="8"/>
      <c r="AG478" s="5" t="str">
        <f t="array" ref="AG478">IF('Ingest Template'!A478="Standard",(CONCATENATE(IF(ISBLANK('Ingest Template'!N478),"", 'Ingest Template'!N478&amp;"|DAR"),CHAR(10), IF(ISBLANK('Ingest Template'!O478),"", 'Ingest Template'!O478&amp;"|DAR"),CHAR(10), IF(ISBLANK('Ingest Template'!P478),"", 'Ingest Template'!P478&amp;"|DAR"))),(CONCATENATE(IF(ISBLANK('Ingest Template'!N478),"", 'Ingest Template'!N478&amp;"|Operations - Core Title"),CHAR(10), IF(ISBLANK('Ingest Template'!O478),"", 'Ingest Template'!O478&amp;"|Operations - Core Title"),CHAR(10), IF(ISBLANK('Ingest Template'!P478),"", 'Ingest Template'!P478&amp;"|Operations - Core Title"))))</f>
        <v>#|Operations - Core Title
</v>
      </c>
      <c r="AH478" s="5"/>
      <c r="AI478" s="5"/>
      <c r="AJ478" s="5"/>
      <c r="AK478" s="5"/>
      <c r="AL478" s="5"/>
    </row>
    <row r="479">
      <c r="A479" s="5"/>
      <c r="B479" s="5" t="str">
        <f>'Ingest Template'!B479&amp;IF('Ingest Template'!A479 = "Standard", " - DAR","")</f>
        <v/>
      </c>
      <c r="C479" s="6" t="str">
        <f>'Ingest Template'!C479</f>
        <v/>
      </c>
      <c r="D479" s="7" t="str">
        <f>'Ingest Template'!E479</f>
        <v/>
      </c>
      <c r="E479" s="5"/>
      <c r="F479" s="5"/>
      <c r="G479" s="5"/>
      <c r="H479" s="7"/>
      <c r="I479" s="5"/>
      <c r="J479" s="7" t="str">
        <f>'Ingest Template'!Q479</f>
        <v/>
      </c>
      <c r="K479" s="5" t="str">
        <f>'Ingest Template'!R479</f>
        <v/>
      </c>
      <c r="L479" s="8" t="s">
        <v>38</v>
      </c>
      <c r="M479" s="9"/>
      <c r="N479" s="5"/>
      <c r="O479" s="5"/>
      <c r="P479" s="5"/>
      <c r="Q479" s="5"/>
      <c r="R479" s="5" t="str">
        <f>'Ingest Template'!D479</f>
        <v/>
      </c>
      <c r="S479" s="5" t="str">
        <f>'Ingest Template'!G479</f>
        <v/>
      </c>
      <c r="T479" s="5" t="str">
        <f>'Ingest Template'!H479</f>
        <v/>
      </c>
      <c r="U479" s="5" t="str">
        <f>LOWER(SUBSTITUTE(SUBSTITUTE(SUBSTITUTE(SUBSTITUTE(SUBSTITUTE('Ingest Template'!I479,"https:",""),"www.",""),"/",""),"?hl=en",""),"instagram.com",""))</f>
        <v/>
      </c>
      <c r="V479" s="10" t="str">
        <f>'Ingest Template'!J479</f>
        <v/>
      </c>
      <c r="W479" s="10" t="str">
        <f>'Ingest Template'!K479</f>
        <v/>
      </c>
      <c r="X479" s="5"/>
      <c r="Y479" s="5" t="str">
        <f>SUBSTITUTE(SUBSTITUTE(SUBSTITUTE('Ingest Template'!L479,"http:",""),"https:",""),"/","")</f>
        <v/>
      </c>
      <c r="Z479" s="5" t="str">
        <f t="array" ref="Z479">IF('Ingest Template'!A479="Standard",(IF(ISBLANK('Ingest Template'!M479),"", 'Ingest Template'!M479&amp;"|DAR")),(IF(ISBLANK('Ingest Template'!M479),"", 'Ingest Template'!M479&amp;"|Operations - Core Title")))</f>
        <v/>
      </c>
      <c r="AA479" s="5"/>
      <c r="AB479" s="5" t="str">
        <f>'Ingest Template'!F479</f>
        <v/>
      </c>
      <c r="AC479" s="5"/>
      <c r="AD479" s="5"/>
      <c r="AE479" s="5"/>
      <c r="AF479" s="8"/>
      <c r="AG479" s="5" t="str">
        <f t="array" ref="AG479">IF('Ingest Template'!A479="Standard",(CONCATENATE(IF(ISBLANK('Ingest Template'!N479),"", 'Ingest Template'!N479&amp;"|DAR"),CHAR(10), IF(ISBLANK('Ingest Template'!O479),"", 'Ingest Template'!O479&amp;"|DAR"),CHAR(10), IF(ISBLANK('Ingest Template'!P479),"", 'Ingest Template'!P479&amp;"|DAR"))),(CONCATENATE(IF(ISBLANK('Ingest Template'!N479),"", 'Ingest Template'!N479&amp;"|Operations - Core Title"),CHAR(10), IF(ISBLANK('Ingest Template'!O479),"", 'Ingest Template'!O479&amp;"|Operations - Core Title"),CHAR(10), IF(ISBLANK('Ingest Template'!P479),"", 'Ingest Template'!P479&amp;"|Operations - Core Title"))))</f>
        <v>#|Operations - Core Title
</v>
      </c>
      <c r="AH479" s="5"/>
      <c r="AI479" s="5"/>
      <c r="AJ479" s="5"/>
      <c r="AK479" s="5"/>
      <c r="AL479" s="5"/>
    </row>
    <row r="480">
      <c r="A480" s="5"/>
      <c r="B480" s="5" t="str">
        <f>'Ingest Template'!B480&amp;IF('Ingest Template'!A480 = "Standard", " - DAR","")</f>
        <v/>
      </c>
      <c r="C480" s="6" t="str">
        <f>'Ingest Template'!C480</f>
        <v/>
      </c>
      <c r="D480" s="7" t="str">
        <f>'Ingest Template'!E480</f>
        <v/>
      </c>
      <c r="E480" s="5"/>
      <c r="F480" s="5"/>
      <c r="G480" s="5"/>
      <c r="H480" s="7"/>
      <c r="I480" s="5"/>
      <c r="J480" s="7" t="str">
        <f>'Ingest Template'!Q480</f>
        <v/>
      </c>
      <c r="K480" s="5" t="str">
        <f>'Ingest Template'!R480</f>
        <v/>
      </c>
      <c r="L480" s="8" t="s">
        <v>38</v>
      </c>
      <c r="M480" s="9"/>
      <c r="N480" s="5"/>
      <c r="O480" s="5"/>
      <c r="P480" s="5"/>
      <c r="Q480" s="5"/>
      <c r="R480" s="5" t="str">
        <f>'Ingest Template'!D480</f>
        <v/>
      </c>
      <c r="S480" s="5" t="str">
        <f>'Ingest Template'!G480</f>
        <v/>
      </c>
      <c r="T480" s="5" t="str">
        <f>'Ingest Template'!H480</f>
        <v/>
      </c>
      <c r="U480" s="5" t="str">
        <f>LOWER(SUBSTITUTE(SUBSTITUTE(SUBSTITUTE(SUBSTITUTE(SUBSTITUTE('Ingest Template'!I480,"https:",""),"www.",""),"/",""),"?hl=en",""),"instagram.com",""))</f>
        <v/>
      </c>
      <c r="V480" s="10" t="str">
        <f>'Ingest Template'!J480</f>
        <v/>
      </c>
      <c r="W480" s="10" t="str">
        <f>'Ingest Template'!K480</f>
        <v/>
      </c>
      <c r="X480" s="5"/>
      <c r="Y480" s="5" t="str">
        <f>SUBSTITUTE(SUBSTITUTE(SUBSTITUTE('Ingest Template'!L480,"http:",""),"https:",""),"/","")</f>
        <v/>
      </c>
      <c r="Z480" s="5" t="str">
        <f t="array" ref="Z480">IF('Ingest Template'!A480="Standard",(IF(ISBLANK('Ingest Template'!M480),"", 'Ingest Template'!M480&amp;"|DAR")),(IF(ISBLANK('Ingest Template'!M480),"", 'Ingest Template'!M480&amp;"|Operations - Core Title")))</f>
        <v/>
      </c>
      <c r="AA480" s="5"/>
      <c r="AB480" s="5" t="str">
        <f>'Ingest Template'!F480</f>
        <v/>
      </c>
      <c r="AC480" s="5"/>
      <c r="AD480" s="5"/>
      <c r="AE480" s="5"/>
      <c r="AF480" s="8"/>
      <c r="AG480" s="5" t="str">
        <f t="array" ref="AG480">IF('Ingest Template'!A480="Standard",(CONCATENATE(IF(ISBLANK('Ingest Template'!N480),"", 'Ingest Template'!N480&amp;"|DAR"),CHAR(10), IF(ISBLANK('Ingest Template'!O480),"", 'Ingest Template'!O480&amp;"|DAR"),CHAR(10), IF(ISBLANK('Ingest Template'!P480),"", 'Ingest Template'!P480&amp;"|DAR"))),(CONCATENATE(IF(ISBLANK('Ingest Template'!N480),"", 'Ingest Template'!N480&amp;"|Operations - Core Title"),CHAR(10), IF(ISBLANK('Ingest Template'!O480),"", 'Ingest Template'!O480&amp;"|Operations - Core Title"),CHAR(10), IF(ISBLANK('Ingest Template'!P480),"", 'Ingest Template'!P480&amp;"|Operations - Core Title"))))</f>
        <v>#|Operations - Core Title
</v>
      </c>
      <c r="AH480" s="5"/>
      <c r="AI480" s="5"/>
      <c r="AJ480" s="5"/>
      <c r="AK480" s="5"/>
      <c r="AL480" s="5"/>
    </row>
    <row r="481">
      <c r="A481" s="5"/>
      <c r="B481" s="5" t="str">
        <f>'Ingest Template'!B481&amp;IF('Ingest Template'!A481 = "Standard", " - DAR","")</f>
        <v/>
      </c>
      <c r="C481" s="6" t="str">
        <f>'Ingest Template'!C481</f>
        <v/>
      </c>
      <c r="D481" s="7" t="str">
        <f>'Ingest Template'!E481</f>
        <v/>
      </c>
      <c r="E481" s="5"/>
      <c r="F481" s="5"/>
      <c r="G481" s="5"/>
      <c r="H481" s="7"/>
      <c r="I481" s="5"/>
      <c r="J481" s="7" t="str">
        <f>'Ingest Template'!Q481</f>
        <v/>
      </c>
      <c r="K481" s="5" t="str">
        <f>'Ingest Template'!R481</f>
        <v/>
      </c>
      <c r="L481" s="8" t="s">
        <v>38</v>
      </c>
      <c r="M481" s="9"/>
      <c r="N481" s="5"/>
      <c r="O481" s="5"/>
      <c r="P481" s="5"/>
      <c r="Q481" s="5"/>
      <c r="R481" s="5" t="str">
        <f>'Ingest Template'!D481</f>
        <v/>
      </c>
      <c r="S481" s="5" t="str">
        <f>'Ingest Template'!G481</f>
        <v/>
      </c>
      <c r="T481" s="5" t="str">
        <f>'Ingest Template'!H481</f>
        <v/>
      </c>
      <c r="U481" s="5" t="str">
        <f>LOWER(SUBSTITUTE(SUBSTITUTE(SUBSTITUTE(SUBSTITUTE(SUBSTITUTE('Ingest Template'!I481,"https:",""),"www.",""),"/",""),"?hl=en",""),"instagram.com",""))</f>
        <v/>
      </c>
      <c r="V481" s="10" t="str">
        <f>'Ingest Template'!J481</f>
        <v/>
      </c>
      <c r="W481" s="10" t="str">
        <f>'Ingest Template'!K481</f>
        <v/>
      </c>
      <c r="X481" s="5"/>
      <c r="Y481" s="5" t="str">
        <f>SUBSTITUTE(SUBSTITUTE(SUBSTITUTE('Ingest Template'!L481,"http:",""),"https:",""),"/","")</f>
        <v/>
      </c>
      <c r="Z481" s="5" t="str">
        <f t="array" ref="Z481">IF('Ingest Template'!A481="Standard",(IF(ISBLANK('Ingest Template'!M481),"", 'Ingest Template'!M481&amp;"|DAR")),(IF(ISBLANK('Ingest Template'!M481),"", 'Ingest Template'!M481&amp;"|Operations - Core Title")))</f>
        <v/>
      </c>
      <c r="AA481" s="5"/>
      <c r="AB481" s="5" t="str">
        <f>'Ingest Template'!F481</f>
        <v/>
      </c>
      <c r="AC481" s="5"/>
      <c r="AD481" s="5"/>
      <c r="AE481" s="5"/>
      <c r="AF481" s="8"/>
      <c r="AG481" s="5" t="str">
        <f t="array" ref="AG481">IF('Ingest Template'!A481="Standard",(CONCATENATE(IF(ISBLANK('Ingest Template'!N481),"", 'Ingest Template'!N481&amp;"|DAR"),CHAR(10), IF(ISBLANK('Ingest Template'!O481),"", 'Ingest Template'!O481&amp;"|DAR"),CHAR(10), IF(ISBLANK('Ingest Template'!P481),"", 'Ingest Template'!P481&amp;"|DAR"))),(CONCATENATE(IF(ISBLANK('Ingest Template'!N481),"", 'Ingest Template'!N481&amp;"|Operations - Core Title"),CHAR(10), IF(ISBLANK('Ingest Template'!O481),"", 'Ingest Template'!O481&amp;"|Operations - Core Title"),CHAR(10), IF(ISBLANK('Ingest Template'!P481),"", 'Ingest Template'!P481&amp;"|Operations - Core Title"))))</f>
        <v>#|Operations - Core Title
</v>
      </c>
      <c r="AH481" s="5"/>
      <c r="AI481" s="5"/>
      <c r="AJ481" s="5"/>
      <c r="AK481" s="5"/>
      <c r="AL481" s="5"/>
    </row>
    <row r="482">
      <c r="A482" s="5"/>
      <c r="B482" s="5" t="str">
        <f>'Ingest Template'!B482&amp;IF('Ingest Template'!A482 = "Standard", " - DAR","")</f>
        <v/>
      </c>
      <c r="C482" s="6" t="str">
        <f>'Ingest Template'!C482</f>
        <v/>
      </c>
      <c r="D482" s="7" t="str">
        <f>'Ingest Template'!E482</f>
        <v/>
      </c>
      <c r="E482" s="5"/>
      <c r="F482" s="5"/>
      <c r="G482" s="5"/>
      <c r="H482" s="7"/>
      <c r="I482" s="5"/>
      <c r="J482" s="7" t="str">
        <f>'Ingest Template'!Q482</f>
        <v/>
      </c>
      <c r="K482" s="5" t="str">
        <f>'Ingest Template'!R482</f>
        <v/>
      </c>
      <c r="L482" s="8" t="s">
        <v>38</v>
      </c>
      <c r="M482" s="9"/>
      <c r="N482" s="5"/>
      <c r="O482" s="5"/>
      <c r="P482" s="5"/>
      <c r="Q482" s="5"/>
      <c r="R482" s="5" t="str">
        <f>'Ingest Template'!D482</f>
        <v/>
      </c>
      <c r="S482" s="5" t="str">
        <f>'Ingest Template'!G482</f>
        <v/>
      </c>
      <c r="T482" s="5" t="str">
        <f>'Ingest Template'!H482</f>
        <v/>
      </c>
      <c r="U482" s="5" t="str">
        <f>LOWER(SUBSTITUTE(SUBSTITUTE(SUBSTITUTE(SUBSTITUTE(SUBSTITUTE('Ingest Template'!I482,"https:",""),"www.",""),"/",""),"?hl=en",""),"instagram.com",""))</f>
        <v/>
      </c>
      <c r="V482" s="10" t="str">
        <f>'Ingest Template'!J482</f>
        <v/>
      </c>
      <c r="W482" s="10" t="str">
        <f>'Ingest Template'!K482</f>
        <v/>
      </c>
      <c r="X482" s="5"/>
      <c r="Y482" s="5" t="str">
        <f>SUBSTITUTE(SUBSTITUTE(SUBSTITUTE('Ingest Template'!L482,"http:",""),"https:",""),"/","")</f>
        <v/>
      </c>
      <c r="Z482" s="5" t="str">
        <f t="array" ref="Z482">IF('Ingest Template'!A482="Standard",(IF(ISBLANK('Ingest Template'!M482),"", 'Ingest Template'!M482&amp;"|DAR")),(IF(ISBLANK('Ingest Template'!M482),"", 'Ingest Template'!M482&amp;"|Operations - Core Title")))</f>
        <v/>
      </c>
      <c r="AA482" s="5"/>
      <c r="AB482" s="5" t="str">
        <f>'Ingest Template'!F482</f>
        <v/>
      </c>
      <c r="AC482" s="5"/>
      <c r="AD482" s="5"/>
      <c r="AE482" s="5"/>
      <c r="AF482" s="8"/>
      <c r="AG482" s="5" t="str">
        <f t="array" ref="AG482">IF('Ingest Template'!A482="Standard",(CONCATENATE(IF(ISBLANK('Ingest Template'!N482),"", 'Ingest Template'!N482&amp;"|DAR"),CHAR(10), IF(ISBLANK('Ingest Template'!O482),"", 'Ingest Template'!O482&amp;"|DAR"),CHAR(10), IF(ISBLANK('Ingest Template'!P482),"", 'Ingest Template'!P482&amp;"|DAR"))),(CONCATENATE(IF(ISBLANK('Ingest Template'!N482),"", 'Ingest Template'!N482&amp;"|Operations - Core Title"),CHAR(10), IF(ISBLANK('Ingest Template'!O482),"", 'Ingest Template'!O482&amp;"|Operations - Core Title"),CHAR(10), IF(ISBLANK('Ingest Template'!P482),"", 'Ingest Template'!P482&amp;"|Operations - Core Title"))))</f>
        <v>#|Operations - Core Title
</v>
      </c>
      <c r="AH482" s="5"/>
      <c r="AI482" s="5"/>
      <c r="AJ482" s="5"/>
      <c r="AK482" s="5"/>
      <c r="AL482" s="5"/>
    </row>
    <row r="483">
      <c r="A483" s="5"/>
      <c r="B483" s="5" t="str">
        <f>'Ingest Template'!B483&amp;IF('Ingest Template'!A483 = "Standard", " - DAR","")</f>
        <v/>
      </c>
      <c r="C483" s="6" t="str">
        <f>'Ingest Template'!C483</f>
        <v/>
      </c>
      <c r="D483" s="7" t="str">
        <f>'Ingest Template'!E483</f>
        <v/>
      </c>
      <c r="E483" s="5"/>
      <c r="F483" s="5"/>
      <c r="G483" s="5"/>
      <c r="H483" s="7"/>
      <c r="I483" s="5"/>
      <c r="J483" s="7" t="str">
        <f>'Ingest Template'!Q483</f>
        <v/>
      </c>
      <c r="K483" s="5" t="str">
        <f>'Ingest Template'!R483</f>
        <v/>
      </c>
      <c r="L483" s="8" t="s">
        <v>38</v>
      </c>
      <c r="M483" s="9"/>
      <c r="N483" s="5"/>
      <c r="O483" s="5"/>
      <c r="P483" s="5"/>
      <c r="Q483" s="5"/>
      <c r="R483" s="5" t="str">
        <f>'Ingest Template'!D483</f>
        <v/>
      </c>
      <c r="S483" s="5" t="str">
        <f>'Ingest Template'!G483</f>
        <v/>
      </c>
      <c r="T483" s="5" t="str">
        <f>'Ingest Template'!H483</f>
        <v/>
      </c>
      <c r="U483" s="5" t="str">
        <f>LOWER(SUBSTITUTE(SUBSTITUTE(SUBSTITUTE(SUBSTITUTE(SUBSTITUTE('Ingest Template'!I483,"https:",""),"www.",""),"/",""),"?hl=en",""),"instagram.com",""))</f>
        <v/>
      </c>
      <c r="V483" s="10" t="str">
        <f>'Ingest Template'!J483</f>
        <v/>
      </c>
      <c r="W483" s="10" t="str">
        <f>'Ingest Template'!K483</f>
        <v/>
      </c>
      <c r="X483" s="5"/>
      <c r="Y483" s="5" t="str">
        <f>SUBSTITUTE(SUBSTITUTE(SUBSTITUTE('Ingest Template'!L483,"http:",""),"https:",""),"/","")</f>
        <v/>
      </c>
      <c r="Z483" s="5" t="str">
        <f t="array" ref="Z483">IF('Ingest Template'!A483="Standard",(IF(ISBLANK('Ingest Template'!M483),"", 'Ingest Template'!M483&amp;"|DAR")),(IF(ISBLANK('Ingest Template'!M483),"", 'Ingest Template'!M483&amp;"|Operations - Core Title")))</f>
        <v/>
      </c>
      <c r="AA483" s="5"/>
      <c r="AB483" s="5" t="str">
        <f>'Ingest Template'!F483</f>
        <v/>
      </c>
      <c r="AC483" s="5"/>
      <c r="AD483" s="5"/>
      <c r="AE483" s="5"/>
      <c r="AF483" s="8"/>
      <c r="AG483" s="5" t="str">
        <f t="array" ref="AG483">IF('Ingest Template'!A483="Standard",(CONCATENATE(IF(ISBLANK('Ingest Template'!N483),"", 'Ingest Template'!N483&amp;"|DAR"),CHAR(10), IF(ISBLANK('Ingest Template'!O483),"", 'Ingest Template'!O483&amp;"|DAR"),CHAR(10), IF(ISBLANK('Ingest Template'!P483),"", 'Ingest Template'!P483&amp;"|DAR"))),(CONCATENATE(IF(ISBLANK('Ingest Template'!N483),"", 'Ingest Template'!N483&amp;"|Operations - Core Title"),CHAR(10), IF(ISBLANK('Ingest Template'!O483),"", 'Ingest Template'!O483&amp;"|Operations - Core Title"),CHAR(10), IF(ISBLANK('Ingest Template'!P483),"", 'Ingest Template'!P483&amp;"|Operations - Core Title"))))</f>
        <v>#|Operations - Core Title
</v>
      </c>
      <c r="AH483" s="5"/>
      <c r="AI483" s="5"/>
      <c r="AJ483" s="5"/>
      <c r="AK483" s="5"/>
      <c r="AL483" s="5"/>
    </row>
    <row r="484">
      <c r="A484" s="5"/>
      <c r="B484" s="5" t="str">
        <f>'Ingest Template'!B484&amp;IF('Ingest Template'!A484 = "Standard", " - DAR","")</f>
        <v/>
      </c>
      <c r="C484" s="6" t="str">
        <f>'Ingest Template'!C484</f>
        <v/>
      </c>
      <c r="D484" s="7" t="str">
        <f>'Ingest Template'!E484</f>
        <v/>
      </c>
      <c r="E484" s="5"/>
      <c r="F484" s="5"/>
      <c r="G484" s="5"/>
      <c r="H484" s="7"/>
      <c r="I484" s="5"/>
      <c r="J484" s="7" t="str">
        <f>'Ingest Template'!Q484</f>
        <v/>
      </c>
      <c r="K484" s="5" t="str">
        <f>'Ingest Template'!R484</f>
        <v/>
      </c>
      <c r="L484" s="8" t="s">
        <v>38</v>
      </c>
      <c r="M484" s="9"/>
      <c r="N484" s="5"/>
      <c r="O484" s="5"/>
      <c r="P484" s="5"/>
      <c r="Q484" s="5"/>
      <c r="R484" s="5" t="str">
        <f>'Ingest Template'!D484</f>
        <v/>
      </c>
      <c r="S484" s="5" t="str">
        <f>'Ingest Template'!G484</f>
        <v/>
      </c>
      <c r="T484" s="5" t="str">
        <f>'Ingest Template'!H484</f>
        <v/>
      </c>
      <c r="U484" s="5" t="str">
        <f>LOWER(SUBSTITUTE(SUBSTITUTE(SUBSTITUTE(SUBSTITUTE(SUBSTITUTE('Ingest Template'!I484,"https:",""),"www.",""),"/",""),"?hl=en",""),"instagram.com",""))</f>
        <v/>
      </c>
      <c r="V484" s="10" t="str">
        <f>'Ingest Template'!J484</f>
        <v/>
      </c>
      <c r="W484" s="10" t="str">
        <f>'Ingest Template'!K484</f>
        <v/>
      </c>
      <c r="X484" s="5"/>
      <c r="Y484" s="5" t="str">
        <f>SUBSTITUTE(SUBSTITUTE(SUBSTITUTE('Ingest Template'!L484,"http:",""),"https:",""),"/","")</f>
        <v/>
      </c>
      <c r="Z484" s="5" t="str">
        <f t="array" ref="Z484">IF('Ingest Template'!A484="Standard",(IF(ISBLANK('Ingest Template'!M484),"", 'Ingest Template'!M484&amp;"|DAR")),(IF(ISBLANK('Ingest Template'!M484),"", 'Ingest Template'!M484&amp;"|Operations - Core Title")))</f>
        <v/>
      </c>
      <c r="AA484" s="5"/>
      <c r="AB484" s="5" t="str">
        <f>'Ingest Template'!F484</f>
        <v/>
      </c>
      <c r="AC484" s="5"/>
      <c r="AD484" s="5"/>
      <c r="AE484" s="5"/>
      <c r="AF484" s="8"/>
      <c r="AG484" s="5" t="str">
        <f t="array" ref="AG484">IF('Ingest Template'!A484="Standard",(CONCATENATE(IF(ISBLANK('Ingest Template'!N484),"", 'Ingest Template'!N484&amp;"|DAR"),CHAR(10), IF(ISBLANK('Ingest Template'!O484),"", 'Ingest Template'!O484&amp;"|DAR"),CHAR(10), IF(ISBLANK('Ingest Template'!P484),"", 'Ingest Template'!P484&amp;"|DAR"))),(CONCATENATE(IF(ISBLANK('Ingest Template'!N484),"", 'Ingest Template'!N484&amp;"|Operations - Core Title"),CHAR(10), IF(ISBLANK('Ingest Template'!O484),"", 'Ingest Template'!O484&amp;"|Operations - Core Title"),CHAR(10), IF(ISBLANK('Ingest Template'!P484),"", 'Ingest Template'!P484&amp;"|Operations - Core Title"))))</f>
        <v>#|Operations - Core Title
</v>
      </c>
      <c r="AH484" s="5"/>
      <c r="AI484" s="5"/>
      <c r="AJ484" s="5"/>
      <c r="AK484" s="5"/>
      <c r="AL484" s="5"/>
    </row>
    <row r="485">
      <c r="A485" s="5"/>
      <c r="B485" s="5" t="str">
        <f>'Ingest Template'!B485&amp;IF('Ingest Template'!A485 = "Standard", " - DAR","")</f>
        <v/>
      </c>
      <c r="C485" s="6" t="str">
        <f>'Ingest Template'!C485</f>
        <v/>
      </c>
      <c r="D485" s="7" t="str">
        <f>'Ingest Template'!E485</f>
        <v/>
      </c>
      <c r="E485" s="5"/>
      <c r="F485" s="5"/>
      <c r="G485" s="5"/>
      <c r="H485" s="7"/>
      <c r="I485" s="5"/>
      <c r="J485" s="7" t="str">
        <f>'Ingest Template'!Q485</f>
        <v/>
      </c>
      <c r="K485" s="5" t="str">
        <f>'Ingest Template'!R485</f>
        <v/>
      </c>
      <c r="L485" s="8" t="s">
        <v>38</v>
      </c>
      <c r="M485" s="9"/>
      <c r="N485" s="5"/>
      <c r="O485" s="5"/>
      <c r="P485" s="5"/>
      <c r="Q485" s="5"/>
      <c r="R485" s="5" t="str">
        <f>'Ingest Template'!D485</f>
        <v/>
      </c>
      <c r="S485" s="5" t="str">
        <f>'Ingest Template'!G485</f>
        <v/>
      </c>
      <c r="T485" s="5" t="str">
        <f>'Ingest Template'!H485</f>
        <v/>
      </c>
      <c r="U485" s="5" t="str">
        <f>LOWER(SUBSTITUTE(SUBSTITUTE(SUBSTITUTE(SUBSTITUTE(SUBSTITUTE('Ingest Template'!I485,"https:",""),"www.",""),"/",""),"?hl=en",""),"instagram.com",""))</f>
        <v/>
      </c>
      <c r="V485" s="10" t="str">
        <f>'Ingest Template'!J485</f>
        <v/>
      </c>
      <c r="W485" s="10" t="str">
        <f>'Ingest Template'!K485</f>
        <v/>
      </c>
      <c r="X485" s="5"/>
      <c r="Y485" s="5" t="str">
        <f>SUBSTITUTE(SUBSTITUTE(SUBSTITUTE('Ingest Template'!L485,"http:",""),"https:",""),"/","")</f>
        <v/>
      </c>
      <c r="Z485" s="5" t="str">
        <f t="array" ref="Z485">IF('Ingest Template'!A485="Standard",(IF(ISBLANK('Ingest Template'!M485),"", 'Ingest Template'!M485&amp;"|DAR")),(IF(ISBLANK('Ingest Template'!M485),"", 'Ingest Template'!M485&amp;"|Operations - Core Title")))</f>
        <v/>
      </c>
      <c r="AA485" s="5"/>
      <c r="AB485" s="5" t="str">
        <f>'Ingest Template'!F485</f>
        <v/>
      </c>
      <c r="AC485" s="5"/>
      <c r="AD485" s="5"/>
      <c r="AE485" s="5"/>
      <c r="AF485" s="8"/>
      <c r="AG485" s="5" t="str">
        <f t="array" ref="AG485">IF('Ingest Template'!A485="Standard",(CONCATENATE(IF(ISBLANK('Ingest Template'!N485),"", 'Ingest Template'!N485&amp;"|DAR"),CHAR(10), IF(ISBLANK('Ingest Template'!O485),"", 'Ingest Template'!O485&amp;"|DAR"),CHAR(10), IF(ISBLANK('Ingest Template'!P485),"", 'Ingest Template'!P485&amp;"|DAR"))),(CONCATENATE(IF(ISBLANK('Ingest Template'!N485),"", 'Ingest Template'!N485&amp;"|Operations - Core Title"),CHAR(10), IF(ISBLANK('Ingest Template'!O485),"", 'Ingest Template'!O485&amp;"|Operations - Core Title"),CHAR(10), IF(ISBLANK('Ingest Template'!P485),"", 'Ingest Template'!P485&amp;"|Operations - Core Title"))))</f>
        <v>#|Operations - Core Title
</v>
      </c>
      <c r="AH485" s="5"/>
      <c r="AI485" s="5"/>
      <c r="AJ485" s="5"/>
      <c r="AK485" s="5"/>
      <c r="AL485" s="5"/>
    </row>
    <row r="486">
      <c r="A486" s="5"/>
      <c r="B486" s="5" t="str">
        <f>'Ingest Template'!B486&amp;IF('Ingest Template'!A486 = "Standard", " - DAR","")</f>
        <v/>
      </c>
      <c r="C486" s="6" t="str">
        <f>'Ingest Template'!C486</f>
        <v/>
      </c>
      <c r="D486" s="7" t="str">
        <f>'Ingest Template'!E486</f>
        <v/>
      </c>
      <c r="E486" s="5"/>
      <c r="F486" s="5"/>
      <c r="G486" s="5"/>
      <c r="H486" s="7"/>
      <c r="I486" s="5"/>
      <c r="J486" s="7" t="str">
        <f>'Ingest Template'!Q486</f>
        <v/>
      </c>
      <c r="K486" s="5" t="str">
        <f>'Ingest Template'!R486</f>
        <v/>
      </c>
      <c r="L486" s="8" t="s">
        <v>38</v>
      </c>
      <c r="M486" s="9"/>
      <c r="N486" s="5"/>
      <c r="O486" s="5"/>
      <c r="P486" s="5"/>
      <c r="Q486" s="5"/>
      <c r="R486" s="5" t="str">
        <f>'Ingest Template'!D486</f>
        <v/>
      </c>
      <c r="S486" s="5" t="str">
        <f>'Ingest Template'!G486</f>
        <v/>
      </c>
      <c r="T486" s="5" t="str">
        <f>'Ingest Template'!H486</f>
        <v/>
      </c>
      <c r="U486" s="5" t="str">
        <f>LOWER(SUBSTITUTE(SUBSTITUTE(SUBSTITUTE(SUBSTITUTE(SUBSTITUTE('Ingest Template'!I486,"https:",""),"www.",""),"/",""),"?hl=en",""),"instagram.com",""))</f>
        <v/>
      </c>
      <c r="V486" s="10" t="str">
        <f>'Ingest Template'!J486</f>
        <v/>
      </c>
      <c r="W486" s="10" t="str">
        <f>'Ingest Template'!K486</f>
        <v/>
      </c>
      <c r="X486" s="5"/>
      <c r="Y486" s="5" t="str">
        <f>SUBSTITUTE(SUBSTITUTE(SUBSTITUTE('Ingest Template'!L486,"http:",""),"https:",""),"/","")</f>
        <v/>
      </c>
      <c r="Z486" s="5" t="str">
        <f t="array" ref="Z486">IF('Ingest Template'!A486="Standard",(IF(ISBLANK('Ingest Template'!M486),"", 'Ingest Template'!M486&amp;"|DAR")),(IF(ISBLANK('Ingest Template'!M486),"", 'Ingest Template'!M486&amp;"|Operations - Core Title")))</f>
        <v/>
      </c>
      <c r="AA486" s="5"/>
      <c r="AB486" s="5" t="str">
        <f>'Ingest Template'!F486</f>
        <v/>
      </c>
      <c r="AC486" s="5"/>
      <c r="AD486" s="5"/>
      <c r="AE486" s="5"/>
      <c r="AF486" s="8"/>
      <c r="AG486" s="5" t="str">
        <f t="array" ref="AG486">IF('Ingest Template'!A486="Standard",(CONCATENATE(IF(ISBLANK('Ingest Template'!N486),"", 'Ingest Template'!N486&amp;"|DAR"),CHAR(10), IF(ISBLANK('Ingest Template'!O486),"", 'Ingest Template'!O486&amp;"|DAR"),CHAR(10), IF(ISBLANK('Ingest Template'!P486),"", 'Ingest Template'!P486&amp;"|DAR"))),(CONCATENATE(IF(ISBLANK('Ingest Template'!N486),"", 'Ingest Template'!N486&amp;"|Operations - Core Title"),CHAR(10), IF(ISBLANK('Ingest Template'!O486),"", 'Ingest Template'!O486&amp;"|Operations - Core Title"),CHAR(10), IF(ISBLANK('Ingest Template'!P486),"", 'Ingest Template'!P486&amp;"|Operations - Core Title"))))</f>
        <v>#|Operations - Core Title
</v>
      </c>
      <c r="AH486" s="5"/>
      <c r="AI486" s="5"/>
      <c r="AJ486" s="5"/>
      <c r="AK486" s="5"/>
      <c r="AL486" s="5"/>
    </row>
    <row r="487">
      <c r="A487" s="5"/>
      <c r="B487" s="5" t="str">
        <f>'Ingest Template'!B487&amp;IF('Ingest Template'!A487 = "Standard", " - DAR","")</f>
        <v/>
      </c>
      <c r="C487" s="6" t="str">
        <f>'Ingest Template'!C487</f>
        <v/>
      </c>
      <c r="D487" s="7" t="str">
        <f>'Ingest Template'!E487</f>
        <v/>
      </c>
      <c r="E487" s="5"/>
      <c r="F487" s="5"/>
      <c r="G487" s="5"/>
      <c r="H487" s="7"/>
      <c r="I487" s="5"/>
      <c r="J487" s="7" t="str">
        <f>'Ingest Template'!Q487</f>
        <v/>
      </c>
      <c r="K487" s="5" t="str">
        <f>'Ingest Template'!R487</f>
        <v/>
      </c>
      <c r="L487" s="8" t="s">
        <v>38</v>
      </c>
      <c r="M487" s="9"/>
      <c r="N487" s="5"/>
      <c r="O487" s="5"/>
      <c r="P487" s="5"/>
      <c r="Q487" s="5"/>
      <c r="R487" s="5" t="str">
        <f>'Ingest Template'!D487</f>
        <v/>
      </c>
      <c r="S487" s="5" t="str">
        <f>'Ingest Template'!G487</f>
        <v/>
      </c>
      <c r="T487" s="5" t="str">
        <f>'Ingest Template'!H487</f>
        <v/>
      </c>
      <c r="U487" s="5" t="str">
        <f>LOWER(SUBSTITUTE(SUBSTITUTE(SUBSTITUTE(SUBSTITUTE(SUBSTITUTE('Ingest Template'!I487,"https:",""),"www.",""),"/",""),"?hl=en",""),"instagram.com",""))</f>
        <v/>
      </c>
      <c r="V487" s="10" t="str">
        <f>'Ingest Template'!J487</f>
        <v/>
      </c>
      <c r="W487" s="10" t="str">
        <f>'Ingest Template'!K487</f>
        <v/>
      </c>
      <c r="X487" s="5"/>
      <c r="Y487" s="5" t="str">
        <f>SUBSTITUTE(SUBSTITUTE(SUBSTITUTE('Ingest Template'!L487,"http:",""),"https:",""),"/","")</f>
        <v/>
      </c>
      <c r="Z487" s="5" t="str">
        <f t="array" ref="Z487">IF('Ingest Template'!A487="Standard",(IF(ISBLANK('Ingest Template'!M487),"", 'Ingest Template'!M487&amp;"|DAR")),(IF(ISBLANK('Ingest Template'!M487),"", 'Ingest Template'!M487&amp;"|Operations - Core Title")))</f>
        <v/>
      </c>
      <c r="AA487" s="5"/>
      <c r="AB487" s="5" t="str">
        <f>'Ingest Template'!F487</f>
        <v/>
      </c>
      <c r="AC487" s="5"/>
      <c r="AD487" s="5"/>
      <c r="AE487" s="5"/>
      <c r="AF487" s="8"/>
      <c r="AG487" s="5" t="str">
        <f t="array" ref="AG487">IF('Ingest Template'!A487="Standard",(CONCATENATE(IF(ISBLANK('Ingest Template'!N487),"", 'Ingest Template'!N487&amp;"|DAR"),CHAR(10), IF(ISBLANK('Ingest Template'!O487),"", 'Ingest Template'!O487&amp;"|DAR"),CHAR(10), IF(ISBLANK('Ingest Template'!P487),"", 'Ingest Template'!P487&amp;"|DAR"))),(CONCATENATE(IF(ISBLANK('Ingest Template'!N487),"", 'Ingest Template'!N487&amp;"|Operations - Core Title"),CHAR(10), IF(ISBLANK('Ingest Template'!O487),"", 'Ingest Template'!O487&amp;"|Operations - Core Title"),CHAR(10), IF(ISBLANK('Ingest Template'!P487),"", 'Ingest Template'!P487&amp;"|Operations - Core Title"))))</f>
        <v>#|Operations - Core Title
</v>
      </c>
      <c r="AH487" s="5"/>
      <c r="AI487" s="5"/>
      <c r="AJ487" s="5"/>
      <c r="AK487" s="5"/>
      <c r="AL487" s="5"/>
    </row>
    <row r="488">
      <c r="A488" s="5"/>
      <c r="B488" s="5" t="str">
        <f>'Ingest Template'!B488&amp;IF('Ingest Template'!A488 = "Standard", " - DAR","")</f>
        <v/>
      </c>
      <c r="C488" s="6" t="str">
        <f>'Ingest Template'!C488</f>
        <v/>
      </c>
      <c r="D488" s="7" t="str">
        <f>'Ingest Template'!E488</f>
        <v/>
      </c>
      <c r="E488" s="5"/>
      <c r="F488" s="5"/>
      <c r="G488" s="5"/>
      <c r="H488" s="7"/>
      <c r="I488" s="5"/>
      <c r="J488" s="7" t="str">
        <f>'Ingest Template'!Q488</f>
        <v/>
      </c>
      <c r="K488" s="5" t="str">
        <f>'Ingest Template'!R488</f>
        <v/>
      </c>
      <c r="L488" s="8" t="s">
        <v>38</v>
      </c>
      <c r="M488" s="9"/>
      <c r="N488" s="5"/>
      <c r="O488" s="5"/>
      <c r="P488" s="5"/>
      <c r="Q488" s="5"/>
      <c r="R488" s="5" t="str">
        <f>'Ingest Template'!D488</f>
        <v/>
      </c>
      <c r="S488" s="5" t="str">
        <f>'Ingest Template'!G488</f>
        <v/>
      </c>
      <c r="T488" s="5" t="str">
        <f>'Ingest Template'!H488</f>
        <v/>
      </c>
      <c r="U488" s="5" t="str">
        <f>LOWER(SUBSTITUTE(SUBSTITUTE(SUBSTITUTE(SUBSTITUTE(SUBSTITUTE('Ingest Template'!I488,"https:",""),"www.",""),"/",""),"?hl=en",""),"instagram.com",""))</f>
        <v/>
      </c>
      <c r="V488" s="10" t="str">
        <f>'Ingest Template'!J488</f>
        <v/>
      </c>
      <c r="W488" s="10" t="str">
        <f>'Ingest Template'!K488</f>
        <v/>
      </c>
      <c r="X488" s="5"/>
      <c r="Y488" s="5" t="str">
        <f>SUBSTITUTE(SUBSTITUTE(SUBSTITUTE('Ingest Template'!L488,"http:",""),"https:",""),"/","")</f>
        <v/>
      </c>
      <c r="Z488" s="5" t="str">
        <f t="array" ref="Z488">IF('Ingest Template'!A488="Standard",(IF(ISBLANK('Ingest Template'!M488),"", 'Ingest Template'!M488&amp;"|DAR")),(IF(ISBLANK('Ingest Template'!M488),"", 'Ingest Template'!M488&amp;"|Operations - Core Title")))</f>
        <v/>
      </c>
      <c r="AA488" s="5"/>
      <c r="AB488" s="5" t="str">
        <f>'Ingest Template'!F488</f>
        <v/>
      </c>
      <c r="AC488" s="5"/>
      <c r="AD488" s="5"/>
      <c r="AE488" s="5"/>
      <c r="AF488" s="8"/>
      <c r="AG488" s="5" t="str">
        <f t="array" ref="AG488">IF('Ingest Template'!A488="Standard",(CONCATENATE(IF(ISBLANK('Ingest Template'!N488),"", 'Ingest Template'!N488&amp;"|DAR"),CHAR(10), IF(ISBLANK('Ingest Template'!O488),"", 'Ingest Template'!O488&amp;"|DAR"),CHAR(10), IF(ISBLANK('Ingest Template'!P488),"", 'Ingest Template'!P488&amp;"|DAR"))),(CONCATENATE(IF(ISBLANK('Ingest Template'!N488),"", 'Ingest Template'!N488&amp;"|Operations - Core Title"),CHAR(10), IF(ISBLANK('Ingest Template'!O488),"", 'Ingest Template'!O488&amp;"|Operations - Core Title"),CHAR(10), IF(ISBLANK('Ingest Template'!P488),"", 'Ingest Template'!P488&amp;"|Operations - Core Title"))))</f>
        <v>#|Operations - Core Title
</v>
      </c>
      <c r="AH488" s="5"/>
      <c r="AI488" s="5"/>
      <c r="AJ488" s="5"/>
      <c r="AK488" s="5"/>
      <c r="AL488" s="5"/>
    </row>
    <row r="489">
      <c r="A489" s="5"/>
      <c r="B489" s="5" t="str">
        <f>'Ingest Template'!B489&amp;IF('Ingest Template'!A489 = "Standard", " - DAR","")</f>
        <v/>
      </c>
      <c r="C489" s="6" t="str">
        <f>'Ingest Template'!C489</f>
        <v/>
      </c>
      <c r="D489" s="7" t="str">
        <f>'Ingest Template'!E489</f>
        <v/>
      </c>
      <c r="E489" s="5"/>
      <c r="F489" s="5"/>
      <c r="G489" s="5"/>
      <c r="H489" s="7"/>
      <c r="I489" s="5"/>
      <c r="J489" s="7" t="str">
        <f>'Ingest Template'!Q489</f>
        <v/>
      </c>
      <c r="K489" s="5" t="str">
        <f>'Ingest Template'!R489</f>
        <v/>
      </c>
      <c r="L489" s="8" t="s">
        <v>38</v>
      </c>
      <c r="M489" s="9"/>
      <c r="N489" s="5"/>
      <c r="O489" s="5"/>
      <c r="P489" s="5"/>
      <c r="Q489" s="5"/>
      <c r="R489" s="5" t="str">
        <f>'Ingest Template'!D489</f>
        <v/>
      </c>
      <c r="S489" s="5" t="str">
        <f>'Ingest Template'!G489</f>
        <v/>
      </c>
      <c r="T489" s="5" t="str">
        <f>'Ingest Template'!H489</f>
        <v/>
      </c>
      <c r="U489" s="5" t="str">
        <f>LOWER(SUBSTITUTE(SUBSTITUTE(SUBSTITUTE(SUBSTITUTE(SUBSTITUTE('Ingest Template'!I489,"https:",""),"www.",""),"/",""),"?hl=en",""),"instagram.com",""))</f>
        <v/>
      </c>
      <c r="V489" s="10" t="str">
        <f>'Ingest Template'!J489</f>
        <v/>
      </c>
      <c r="W489" s="10" t="str">
        <f>'Ingest Template'!K489</f>
        <v/>
      </c>
      <c r="X489" s="5"/>
      <c r="Y489" s="5" t="str">
        <f>SUBSTITUTE(SUBSTITUTE(SUBSTITUTE('Ingest Template'!L489,"http:",""),"https:",""),"/","")</f>
        <v/>
      </c>
      <c r="Z489" s="5" t="str">
        <f t="array" ref="Z489">IF('Ingest Template'!A489="Standard",(IF(ISBLANK('Ingest Template'!M489),"", 'Ingest Template'!M489&amp;"|DAR")),(IF(ISBLANK('Ingest Template'!M489),"", 'Ingest Template'!M489&amp;"|Operations - Core Title")))</f>
        <v/>
      </c>
      <c r="AA489" s="5"/>
      <c r="AB489" s="5" t="str">
        <f>'Ingest Template'!F489</f>
        <v/>
      </c>
      <c r="AC489" s="5"/>
      <c r="AD489" s="5"/>
      <c r="AE489" s="5"/>
      <c r="AF489" s="8"/>
      <c r="AG489" s="5" t="str">
        <f t="array" ref="AG489">IF('Ingest Template'!A489="Standard",(CONCATENATE(IF(ISBLANK('Ingest Template'!N489),"", 'Ingest Template'!N489&amp;"|DAR"),CHAR(10), IF(ISBLANK('Ingest Template'!O489),"", 'Ingest Template'!O489&amp;"|DAR"),CHAR(10), IF(ISBLANK('Ingest Template'!P489),"", 'Ingest Template'!P489&amp;"|DAR"))),(CONCATENATE(IF(ISBLANK('Ingest Template'!N489),"", 'Ingest Template'!N489&amp;"|Operations - Core Title"),CHAR(10), IF(ISBLANK('Ingest Template'!O489),"", 'Ingest Template'!O489&amp;"|Operations - Core Title"),CHAR(10), IF(ISBLANK('Ingest Template'!P489),"", 'Ingest Template'!P489&amp;"|Operations - Core Title"))))</f>
        <v>#|Operations - Core Title
</v>
      </c>
      <c r="AH489" s="5"/>
      <c r="AI489" s="5"/>
      <c r="AJ489" s="5"/>
      <c r="AK489" s="5"/>
      <c r="AL489" s="5"/>
    </row>
    <row r="490">
      <c r="A490" s="5"/>
      <c r="B490" s="5" t="str">
        <f>'Ingest Template'!B490&amp;IF('Ingest Template'!A490 = "Standard", " - DAR","")</f>
        <v/>
      </c>
      <c r="C490" s="6" t="str">
        <f>'Ingest Template'!C490</f>
        <v/>
      </c>
      <c r="D490" s="7" t="str">
        <f>'Ingest Template'!E490</f>
        <v/>
      </c>
      <c r="E490" s="5"/>
      <c r="F490" s="5"/>
      <c r="G490" s="5"/>
      <c r="H490" s="7"/>
      <c r="I490" s="5"/>
      <c r="J490" s="7" t="str">
        <f>'Ingest Template'!Q490</f>
        <v/>
      </c>
      <c r="K490" s="5" t="str">
        <f>'Ingest Template'!R490</f>
        <v/>
      </c>
      <c r="L490" s="8" t="s">
        <v>38</v>
      </c>
      <c r="M490" s="9"/>
      <c r="N490" s="5"/>
      <c r="O490" s="5"/>
      <c r="P490" s="5"/>
      <c r="Q490" s="5"/>
      <c r="R490" s="5" t="str">
        <f>'Ingest Template'!D490</f>
        <v/>
      </c>
      <c r="S490" s="5" t="str">
        <f>'Ingest Template'!G490</f>
        <v/>
      </c>
      <c r="T490" s="5" t="str">
        <f>'Ingest Template'!H490</f>
        <v/>
      </c>
      <c r="U490" s="5" t="str">
        <f>LOWER(SUBSTITUTE(SUBSTITUTE(SUBSTITUTE(SUBSTITUTE(SUBSTITUTE('Ingest Template'!I490,"https:",""),"www.",""),"/",""),"?hl=en",""),"instagram.com",""))</f>
        <v/>
      </c>
      <c r="V490" s="10" t="str">
        <f>'Ingest Template'!J490</f>
        <v/>
      </c>
      <c r="W490" s="10" t="str">
        <f>'Ingest Template'!K490</f>
        <v/>
      </c>
      <c r="X490" s="5"/>
      <c r="Y490" s="5" t="str">
        <f>SUBSTITUTE(SUBSTITUTE(SUBSTITUTE('Ingest Template'!L490,"http:",""),"https:",""),"/","")</f>
        <v/>
      </c>
      <c r="Z490" s="5" t="str">
        <f t="array" ref="Z490">IF('Ingest Template'!A490="Standard",(IF(ISBLANK('Ingest Template'!M490),"", 'Ingest Template'!M490&amp;"|DAR")),(IF(ISBLANK('Ingest Template'!M490),"", 'Ingest Template'!M490&amp;"|Operations - Core Title")))</f>
        <v/>
      </c>
      <c r="AA490" s="5"/>
      <c r="AB490" s="5" t="str">
        <f>'Ingest Template'!F490</f>
        <v/>
      </c>
      <c r="AC490" s="5"/>
      <c r="AD490" s="5"/>
      <c r="AE490" s="5"/>
      <c r="AF490" s="8"/>
      <c r="AG490" s="5" t="str">
        <f t="array" ref="AG490">IF('Ingest Template'!A490="Standard",(CONCATENATE(IF(ISBLANK('Ingest Template'!N490),"", 'Ingest Template'!N490&amp;"|DAR"),CHAR(10), IF(ISBLANK('Ingest Template'!O490),"", 'Ingest Template'!O490&amp;"|DAR"),CHAR(10), IF(ISBLANK('Ingest Template'!P490),"", 'Ingest Template'!P490&amp;"|DAR"))),(CONCATENATE(IF(ISBLANK('Ingest Template'!N490),"", 'Ingest Template'!N490&amp;"|Operations - Core Title"),CHAR(10), IF(ISBLANK('Ingest Template'!O490),"", 'Ingest Template'!O490&amp;"|Operations - Core Title"),CHAR(10), IF(ISBLANK('Ingest Template'!P490),"", 'Ingest Template'!P490&amp;"|Operations - Core Title"))))</f>
        <v>#|Operations - Core Title
</v>
      </c>
      <c r="AH490" s="5"/>
      <c r="AI490" s="5"/>
      <c r="AJ490" s="5"/>
      <c r="AK490" s="5"/>
      <c r="AL490" s="5"/>
    </row>
    <row r="491">
      <c r="A491" s="5"/>
      <c r="B491" s="5" t="str">
        <f>'Ingest Template'!B491&amp;IF('Ingest Template'!A491 = "Standard", " - DAR","")</f>
        <v/>
      </c>
      <c r="C491" s="6" t="str">
        <f>'Ingest Template'!C491</f>
        <v/>
      </c>
      <c r="D491" s="7" t="str">
        <f>'Ingest Template'!E491</f>
        <v/>
      </c>
      <c r="E491" s="5"/>
      <c r="F491" s="5"/>
      <c r="G491" s="5"/>
      <c r="H491" s="7"/>
      <c r="I491" s="5"/>
      <c r="J491" s="7" t="str">
        <f>'Ingest Template'!Q491</f>
        <v/>
      </c>
      <c r="K491" s="5" t="str">
        <f>'Ingest Template'!R491</f>
        <v/>
      </c>
      <c r="L491" s="8" t="s">
        <v>38</v>
      </c>
      <c r="M491" s="9"/>
      <c r="N491" s="5"/>
      <c r="O491" s="5"/>
      <c r="P491" s="5"/>
      <c r="Q491" s="5"/>
      <c r="R491" s="5" t="str">
        <f>'Ingest Template'!D491</f>
        <v/>
      </c>
      <c r="S491" s="5" t="str">
        <f>'Ingest Template'!G491</f>
        <v/>
      </c>
      <c r="T491" s="5" t="str">
        <f>'Ingest Template'!H491</f>
        <v/>
      </c>
      <c r="U491" s="5" t="str">
        <f>LOWER(SUBSTITUTE(SUBSTITUTE(SUBSTITUTE(SUBSTITUTE(SUBSTITUTE('Ingest Template'!I491,"https:",""),"www.",""),"/",""),"?hl=en",""),"instagram.com",""))</f>
        <v/>
      </c>
      <c r="V491" s="10" t="str">
        <f>'Ingest Template'!J491</f>
        <v/>
      </c>
      <c r="W491" s="10" t="str">
        <f>'Ingest Template'!K491</f>
        <v/>
      </c>
      <c r="X491" s="5"/>
      <c r="Y491" s="5" t="str">
        <f>SUBSTITUTE(SUBSTITUTE(SUBSTITUTE('Ingest Template'!L491,"http:",""),"https:",""),"/","")</f>
        <v/>
      </c>
      <c r="Z491" s="5" t="str">
        <f t="array" ref="Z491">IF('Ingest Template'!A491="Standard",(IF(ISBLANK('Ingest Template'!M491),"", 'Ingest Template'!M491&amp;"|DAR")),(IF(ISBLANK('Ingest Template'!M491),"", 'Ingest Template'!M491&amp;"|Operations - Core Title")))</f>
        <v/>
      </c>
      <c r="AA491" s="5"/>
      <c r="AB491" s="5" t="str">
        <f>'Ingest Template'!F491</f>
        <v/>
      </c>
      <c r="AC491" s="5"/>
      <c r="AD491" s="5"/>
      <c r="AE491" s="5"/>
      <c r="AF491" s="8"/>
      <c r="AG491" s="5" t="str">
        <f t="array" ref="AG491">IF('Ingest Template'!A491="Standard",(CONCATENATE(IF(ISBLANK('Ingest Template'!N491),"", 'Ingest Template'!N491&amp;"|DAR"),CHAR(10), IF(ISBLANK('Ingest Template'!O491),"", 'Ingest Template'!O491&amp;"|DAR"),CHAR(10), IF(ISBLANK('Ingest Template'!P491),"", 'Ingest Template'!P491&amp;"|DAR"))),(CONCATENATE(IF(ISBLANK('Ingest Template'!N491),"", 'Ingest Template'!N491&amp;"|Operations - Core Title"),CHAR(10), IF(ISBLANK('Ingest Template'!O491),"", 'Ingest Template'!O491&amp;"|Operations - Core Title"),CHAR(10), IF(ISBLANK('Ingest Template'!P491),"", 'Ingest Template'!P491&amp;"|Operations - Core Title"))))</f>
        <v>#|Operations - Core Title
</v>
      </c>
      <c r="AH491" s="5"/>
      <c r="AI491" s="5"/>
      <c r="AJ491" s="5"/>
      <c r="AK491" s="5"/>
      <c r="AL491" s="5"/>
    </row>
    <row r="492">
      <c r="A492" s="5"/>
      <c r="B492" s="5" t="str">
        <f>'Ingest Template'!B492&amp;IF('Ingest Template'!A492 = "Standard", " - DAR","")</f>
        <v/>
      </c>
      <c r="C492" s="6" t="str">
        <f>'Ingest Template'!C492</f>
        <v/>
      </c>
      <c r="D492" s="7" t="str">
        <f>'Ingest Template'!E492</f>
        <v/>
      </c>
      <c r="E492" s="5"/>
      <c r="F492" s="5"/>
      <c r="G492" s="5"/>
      <c r="H492" s="7"/>
      <c r="I492" s="5"/>
      <c r="J492" s="7" t="str">
        <f>'Ingest Template'!Q492</f>
        <v/>
      </c>
      <c r="K492" s="5" t="str">
        <f>'Ingest Template'!R492</f>
        <v/>
      </c>
      <c r="L492" s="8" t="s">
        <v>38</v>
      </c>
      <c r="M492" s="9"/>
      <c r="N492" s="5"/>
      <c r="O492" s="5"/>
      <c r="P492" s="5"/>
      <c r="Q492" s="5"/>
      <c r="R492" s="5" t="str">
        <f>'Ingest Template'!D492</f>
        <v/>
      </c>
      <c r="S492" s="5" t="str">
        <f>'Ingest Template'!G492</f>
        <v/>
      </c>
      <c r="T492" s="5" t="str">
        <f>'Ingest Template'!H492</f>
        <v/>
      </c>
      <c r="U492" s="5" t="str">
        <f>LOWER(SUBSTITUTE(SUBSTITUTE(SUBSTITUTE(SUBSTITUTE(SUBSTITUTE('Ingest Template'!I492,"https:",""),"www.",""),"/",""),"?hl=en",""),"instagram.com",""))</f>
        <v/>
      </c>
      <c r="V492" s="10" t="str">
        <f>'Ingest Template'!J492</f>
        <v/>
      </c>
      <c r="W492" s="10" t="str">
        <f>'Ingest Template'!K492</f>
        <v/>
      </c>
      <c r="X492" s="5"/>
      <c r="Y492" s="5" t="str">
        <f>SUBSTITUTE(SUBSTITUTE(SUBSTITUTE('Ingest Template'!L492,"http:",""),"https:",""),"/","")</f>
        <v/>
      </c>
      <c r="Z492" s="5" t="str">
        <f t="array" ref="Z492">IF('Ingest Template'!A492="Standard",(IF(ISBLANK('Ingest Template'!M492),"", 'Ingest Template'!M492&amp;"|DAR")),(IF(ISBLANK('Ingest Template'!M492),"", 'Ingest Template'!M492&amp;"|Operations - Core Title")))</f>
        <v/>
      </c>
      <c r="AA492" s="5"/>
      <c r="AB492" s="5" t="str">
        <f>'Ingest Template'!F492</f>
        <v/>
      </c>
      <c r="AC492" s="5"/>
      <c r="AD492" s="5"/>
      <c r="AE492" s="5"/>
      <c r="AF492" s="8"/>
      <c r="AG492" s="5" t="str">
        <f t="array" ref="AG492">IF('Ingest Template'!A492="Standard",(CONCATENATE(IF(ISBLANK('Ingest Template'!N492),"", 'Ingest Template'!N492&amp;"|DAR"),CHAR(10), IF(ISBLANK('Ingest Template'!O492),"", 'Ingest Template'!O492&amp;"|DAR"),CHAR(10), IF(ISBLANK('Ingest Template'!P492),"", 'Ingest Template'!P492&amp;"|DAR"))),(CONCATENATE(IF(ISBLANK('Ingest Template'!N492),"", 'Ingest Template'!N492&amp;"|Operations - Core Title"),CHAR(10), IF(ISBLANK('Ingest Template'!O492),"", 'Ingest Template'!O492&amp;"|Operations - Core Title"),CHAR(10), IF(ISBLANK('Ingest Template'!P492),"", 'Ingest Template'!P492&amp;"|Operations - Core Title"))))</f>
        <v>#|Operations - Core Title
</v>
      </c>
      <c r="AH492" s="5"/>
      <c r="AI492" s="5"/>
      <c r="AJ492" s="5"/>
      <c r="AK492" s="5"/>
      <c r="AL492" s="5"/>
    </row>
    <row r="493">
      <c r="A493" s="5"/>
      <c r="B493" s="5" t="str">
        <f>'Ingest Template'!B493&amp;IF('Ingest Template'!A493 = "Standard", " - DAR","")</f>
        <v/>
      </c>
      <c r="C493" s="6" t="str">
        <f>'Ingest Template'!C493</f>
        <v/>
      </c>
      <c r="D493" s="7" t="str">
        <f>'Ingest Template'!E493</f>
        <v/>
      </c>
      <c r="E493" s="5"/>
      <c r="F493" s="5"/>
      <c r="G493" s="5"/>
      <c r="H493" s="7"/>
      <c r="I493" s="5"/>
      <c r="J493" s="7" t="str">
        <f>'Ingest Template'!Q493</f>
        <v/>
      </c>
      <c r="K493" s="5" t="str">
        <f>'Ingest Template'!R493</f>
        <v/>
      </c>
      <c r="L493" s="8" t="s">
        <v>38</v>
      </c>
      <c r="M493" s="9"/>
      <c r="N493" s="5"/>
      <c r="O493" s="5"/>
      <c r="P493" s="5"/>
      <c r="Q493" s="5"/>
      <c r="R493" s="5" t="str">
        <f>'Ingest Template'!D493</f>
        <v/>
      </c>
      <c r="S493" s="5" t="str">
        <f>'Ingest Template'!G493</f>
        <v/>
      </c>
      <c r="T493" s="5" t="str">
        <f>'Ingest Template'!H493</f>
        <v/>
      </c>
      <c r="U493" s="5" t="str">
        <f>LOWER(SUBSTITUTE(SUBSTITUTE(SUBSTITUTE(SUBSTITUTE(SUBSTITUTE('Ingest Template'!I493,"https:",""),"www.",""),"/",""),"?hl=en",""),"instagram.com",""))</f>
        <v/>
      </c>
      <c r="V493" s="10" t="str">
        <f>'Ingest Template'!J493</f>
        <v/>
      </c>
      <c r="W493" s="10" t="str">
        <f>'Ingest Template'!K493</f>
        <v/>
      </c>
      <c r="X493" s="5"/>
      <c r="Y493" s="5" t="str">
        <f>SUBSTITUTE(SUBSTITUTE(SUBSTITUTE('Ingest Template'!L493,"http:",""),"https:",""),"/","")</f>
        <v/>
      </c>
      <c r="Z493" s="5" t="str">
        <f t="array" ref="Z493">IF('Ingest Template'!A493="Standard",(IF(ISBLANK('Ingest Template'!M493),"", 'Ingest Template'!M493&amp;"|DAR")),(IF(ISBLANK('Ingest Template'!M493),"", 'Ingest Template'!M493&amp;"|Operations - Core Title")))</f>
        <v/>
      </c>
      <c r="AA493" s="5"/>
      <c r="AB493" s="5" t="str">
        <f>'Ingest Template'!F493</f>
        <v/>
      </c>
      <c r="AC493" s="5"/>
      <c r="AD493" s="5"/>
      <c r="AE493" s="5"/>
      <c r="AF493" s="8"/>
      <c r="AG493" s="5" t="str">
        <f t="array" ref="AG493">IF('Ingest Template'!A493="Standard",(CONCATENATE(IF(ISBLANK('Ingest Template'!N493),"", 'Ingest Template'!N493&amp;"|DAR"),CHAR(10), IF(ISBLANK('Ingest Template'!O493),"", 'Ingest Template'!O493&amp;"|DAR"),CHAR(10), IF(ISBLANK('Ingest Template'!P493),"", 'Ingest Template'!P493&amp;"|DAR"))),(CONCATENATE(IF(ISBLANK('Ingest Template'!N493),"", 'Ingest Template'!N493&amp;"|Operations - Core Title"),CHAR(10), IF(ISBLANK('Ingest Template'!O493),"", 'Ingest Template'!O493&amp;"|Operations - Core Title"),CHAR(10), IF(ISBLANK('Ingest Template'!P493),"", 'Ingest Template'!P493&amp;"|Operations - Core Title"))))</f>
        <v>#|Operations - Core Title
</v>
      </c>
      <c r="AH493" s="5"/>
      <c r="AI493" s="5"/>
      <c r="AJ493" s="5"/>
      <c r="AK493" s="5"/>
      <c r="AL493" s="5"/>
    </row>
    <row r="494">
      <c r="A494" s="5"/>
      <c r="B494" s="5" t="str">
        <f>'Ingest Template'!B494&amp;IF('Ingest Template'!A494 = "Standard", " - DAR","")</f>
        <v/>
      </c>
      <c r="C494" s="6" t="str">
        <f>'Ingest Template'!C494</f>
        <v/>
      </c>
      <c r="D494" s="7" t="str">
        <f>'Ingest Template'!E494</f>
        <v/>
      </c>
      <c r="E494" s="5"/>
      <c r="F494" s="5"/>
      <c r="G494" s="5"/>
      <c r="H494" s="7"/>
      <c r="I494" s="5"/>
      <c r="J494" s="7" t="str">
        <f>'Ingest Template'!Q494</f>
        <v/>
      </c>
      <c r="K494" s="5" t="str">
        <f>'Ingest Template'!R494</f>
        <v/>
      </c>
      <c r="L494" s="8" t="s">
        <v>38</v>
      </c>
      <c r="M494" s="9"/>
      <c r="N494" s="5"/>
      <c r="O494" s="5"/>
      <c r="P494" s="5"/>
      <c r="Q494" s="5"/>
      <c r="R494" s="5" t="str">
        <f>'Ingest Template'!D494</f>
        <v/>
      </c>
      <c r="S494" s="5" t="str">
        <f>'Ingest Template'!G494</f>
        <v/>
      </c>
      <c r="T494" s="5" t="str">
        <f>'Ingest Template'!H494</f>
        <v/>
      </c>
      <c r="U494" s="5" t="str">
        <f>LOWER(SUBSTITUTE(SUBSTITUTE(SUBSTITUTE(SUBSTITUTE(SUBSTITUTE('Ingest Template'!I494,"https:",""),"www.",""),"/",""),"?hl=en",""),"instagram.com",""))</f>
        <v/>
      </c>
      <c r="V494" s="10" t="str">
        <f>'Ingest Template'!J494</f>
        <v/>
      </c>
      <c r="W494" s="10" t="str">
        <f>'Ingest Template'!K494</f>
        <v/>
      </c>
      <c r="X494" s="5"/>
      <c r="Y494" s="5" t="str">
        <f>SUBSTITUTE(SUBSTITUTE(SUBSTITUTE('Ingest Template'!L494,"http:",""),"https:",""),"/","")</f>
        <v/>
      </c>
      <c r="Z494" s="5" t="str">
        <f t="array" ref="Z494">IF('Ingest Template'!A494="Standard",(IF(ISBLANK('Ingest Template'!M494),"", 'Ingest Template'!M494&amp;"|DAR")),(IF(ISBLANK('Ingest Template'!M494),"", 'Ingest Template'!M494&amp;"|Operations - Core Title")))</f>
        <v/>
      </c>
      <c r="AA494" s="5"/>
      <c r="AB494" s="5" t="str">
        <f>'Ingest Template'!F494</f>
        <v/>
      </c>
      <c r="AC494" s="5"/>
      <c r="AD494" s="5"/>
      <c r="AE494" s="5"/>
      <c r="AF494" s="8"/>
      <c r="AG494" s="5" t="str">
        <f t="array" ref="AG494">IF('Ingest Template'!A494="Standard",(CONCATENATE(IF(ISBLANK('Ingest Template'!N494),"", 'Ingest Template'!N494&amp;"|DAR"),CHAR(10), IF(ISBLANK('Ingest Template'!O494),"", 'Ingest Template'!O494&amp;"|DAR"),CHAR(10), IF(ISBLANK('Ingest Template'!P494),"", 'Ingest Template'!P494&amp;"|DAR"))),(CONCATENATE(IF(ISBLANK('Ingest Template'!N494),"", 'Ingest Template'!N494&amp;"|Operations - Core Title"),CHAR(10), IF(ISBLANK('Ingest Template'!O494),"", 'Ingest Template'!O494&amp;"|Operations - Core Title"),CHAR(10), IF(ISBLANK('Ingest Template'!P494),"", 'Ingest Template'!P494&amp;"|Operations - Core Title"))))</f>
        <v>#|Operations - Core Title
</v>
      </c>
      <c r="AH494" s="5"/>
      <c r="AI494" s="5"/>
      <c r="AJ494" s="5"/>
      <c r="AK494" s="5"/>
      <c r="AL494" s="5"/>
    </row>
    <row r="495">
      <c r="A495" s="5"/>
      <c r="B495" s="5" t="str">
        <f>'Ingest Template'!B495&amp;IF('Ingest Template'!A495 = "Standard", " - DAR","")</f>
        <v/>
      </c>
      <c r="C495" s="6" t="str">
        <f>'Ingest Template'!C495</f>
        <v/>
      </c>
      <c r="D495" s="7" t="str">
        <f>'Ingest Template'!E495</f>
        <v/>
      </c>
      <c r="E495" s="5"/>
      <c r="F495" s="5"/>
      <c r="G495" s="5"/>
      <c r="H495" s="7"/>
      <c r="I495" s="5"/>
      <c r="J495" s="7" t="str">
        <f>'Ingest Template'!Q495</f>
        <v/>
      </c>
      <c r="K495" s="5" t="str">
        <f>'Ingest Template'!R495</f>
        <v/>
      </c>
      <c r="L495" s="8" t="s">
        <v>38</v>
      </c>
      <c r="M495" s="9"/>
      <c r="N495" s="5"/>
      <c r="O495" s="5"/>
      <c r="P495" s="5"/>
      <c r="Q495" s="5"/>
      <c r="R495" s="5" t="str">
        <f>'Ingest Template'!D495</f>
        <v/>
      </c>
      <c r="S495" s="5" t="str">
        <f>'Ingest Template'!G495</f>
        <v/>
      </c>
      <c r="T495" s="5" t="str">
        <f>'Ingest Template'!H495</f>
        <v/>
      </c>
      <c r="U495" s="5" t="str">
        <f>LOWER(SUBSTITUTE(SUBSTITUTE(SUBSTITUTE(SUBSTITUTE(SUBSTITUTE('Ingest Template'!I495,"https:",""),"www.",""),"/",""),"?hl=en",""),"instagram.com",""))</f>
        <v/>
      </c>
      <c r="V495" s="10" t="str">
        <f>'Ingest Template'!J495</f>
        <v/>
      </c>
      <c r="W495" s="10" t="str">
        <f>'Ingest Template'!K495</f>
        <v/>
      </c>
      <c r="X495" s="5"/>
      <c r="Y495" s="5" t="str">
        <f>SUBSTITUTE(SUBSTITUTE(SUBSTITUTE('Ingest Template'!L495,"http:",""),"https:",""),"/","")</f>
        <v/>
      </c>
      <c r="Z495" s="5" t="str">
        <f t="array" ref="Z495">IF('Ingest Template'!A495="Standard",(IF(ISBLANK('Ingest Template'!M495),"", 'Ingest Template'!M495&amp;"|DAR")),(IF(ISBLANK('Ingest Template'!M495),"", 'Ingest Template'!M495&amp;"|Operations - Core Title")))</f>
        <v/>
      </c>
      <c r="AA495" s="5"/>
      <c r="AB495" s="5" t="str">
        <f>'Ingest Template'!F495</f>
        <v/>
      </c>
      <c r="AC495" s="5"/>
      <c r="AD495" s="5"/>
      <c r="AE495" s="5"/>
      <c r="AF495" s="8"/>
      <c r="AG495" s="5" t="str">
        <f t="array" ref="AG495">IF('Ingest Template'!A495="Standard",(CONCATENATE(IF(ISBLANK('Ingest Template'!N495),"", 'Ingest Template'!N495&amp;"|DAR"),CHAR(10), IF(ISBLANK('Ingest Template'!O495),"", 'Ingest Template'!O495&amp;"|DAR"),CHAR(10), IF(ISBLANK('Ingest Template'!P495),"", 'Ingest Template'!P495&amp;"|DAR"))),(CONCATENATE(IF(ISBLANK('Ingest Template'!N495),"", 'Ingest Template'!N495&amp;"|Operations - Core Title"),CHAR(10), IF(ISBLANK('Ingest Template'!O495),"", 'Ingest Template'!O495&amp;"|Operations - Core Title"),CHAR(10), IF(ISBLANK('Ingest Template'!P495),"", 'Ingest Template'!P495&amp;"|Operations - Core Title"))))</f>
        <v>#|Operations - Core Title
</v>
      </c>
      <c r="AH495" s="5"/>
      <c r="AI495" s="5"/>
      <c r="AJ495" s="5"/>
      <c r="AK495" s="5"/>
      <c r="AL495" s="5"/>
    </row>
    <row r="496">
      <c r="A496" s="5"/>
      <c r="B496" s="5" t="str">
        <f>'Ingest Template'!B496&amp;IF('Ingest Template'!A496 = "Standard", " - DAR","")</f>
        <v/>
      </c>
      <c r="C496" s="6" t="str">
        <f>'Ingest Template'!C496</f>
        <v/>
      </c>
      <c r="D496" s="7" t="str">
        <f>'Ingest Template'!E496</f>
        <v/>
      </c>
      <c r="E496" s="5"/>
      <c r="F496" s="5"/>
      <c r="G496" s="5"/>
      <c r="H496" s="7"/>
      <c r="I496" s="5"/>
      <c r="J496" s="7" t="str">
        <f>'Ingest Template'!Q496</f>
        <v/>
      </c>
      <c r="K496" s="5" t="str">
        <f>'Ingest Template'!R496</f>
        <v/>
      </c>
      <c r="L496" s="8" t="s">
        <v>38</v>
      </c>
      <c r="M496" s="9"/>
      <c r="N496" s="5"/>
      <c r="O496" s="5"/>
      <c r="P496" s="5"/>
      <c r="Q496" s="5"/>
      <c r="R496" s="5" t="str">
        <f>'Ingest Template'!D496</f>
        <v/>
      </c>
      <c r="S496" s="5" t="str">
        <f>'Ingest Template'!G496</f>
        <v/>
      </c>
      <c r="T496" s="5" t="str">
        <f>'Ingest Template'!H496</f>
        <v/>
      </c>
      <c r="U496" s="5" t="str">
        <f>LOWER(SUBSTITUTE(SUBSTITUTE(SUBSTITUTE(SUBSTITUTE(SUBSTITUTE('Ingest Template'!I496,"https:",""),"www.",""),"/",""),"?hl=en",""),"instagram.com",""))</f>
        <v/>
      </c>
      <c r="V496" s="10" t="str">
        <f>'Ingest Template'!J496</f>
        <v/>
      </c>
      <c r="W496" s="10" t="str">
        <f>'Ingest Template'!K496</f>
        <v/>
      </c>
      <c r="X496" s="5"/>
      <c r="Y496" s="5" t="str">
        <f>SUBSTITUTE(SUBSTITUTE(SUBSTITUTE('Ingest Template'!L496,"http:",""),"https:",""),"/","")</f>
        <v/>
      </c>
      <c r="Z496" s="5" t="str">
        <f t="array" ref="Z496">IF('Ingest Template'!A496="Standard",(IF(ISBLANK('Ingest Template'!M496),"", 'Ingest Template'!M496&amp;"|DAR")),(IF(ISBLANK('Ingest Template'!M496),"", 'Ingest Template'!M496&amp;"|Operations - Core Title")))</f>
        <v/>
      </c>
      <c r="AA496" s="5"/>
      <c r="AB496" s="5" t="str">
        <f>'Ingest Template'!F496</f>
        <v/>
      </c>
      <c r="AC496" s="5"/>
      <c r="AD496" s="5"/>
      <c r="AE496" s="5"/>
      <c r="AF496" s="8"/>
      <c r="AG496" s="5" t="str">
        <f t="array" ref="AG496">IF('Ingest Template'!A496="Standard",(CONCATENATE(IF(ISBLANK('Ingest Template'!N496),"", 'Ingest Template'!N496&amp;"|DAR"),CHAR(10), IF(ISBLANK('Ingest Template'!O496),"", 'Ingest Template'!O496&amp;"|DAR"),CHAR(10), IF(ISBLANK('Ingest Template'!P496),"", 'Ingest Template'!P496&amp;"|DAR"))),(CONCATENATE(IF(ISBLANK('Ingest Template'!N496),"", 'Ingest Template'!N496&amp;"|Operations - Core Title"),CHAR(10), IF(ISBLANK('Ingest Template'!O496),"", 'Ingest Template'!O496&amp;"|Operations - Core Title"),CHAR(10), IF(ISBLANK('Ingest Template'!P496),"", 'Ingest Template'!P496&amp;"|Operations - Core Title"))))</f>
        <v>#|Operations - Core Title
</v>
      </c>
      <c r="AH496" s="5"/>
      <c r="AI496" s="5"/>
      <c r="AJ496" s="5"/>
      <c r="AK496" s="5"/>
      <c r="AL496" s="5"/>
    </row>
    <row r="497">
      <c r="A497" s="5"/>
      <c r="B497" s="5" t="str">
        <f>'Ingest Template'!B497&amp;IF('Ingest Template'!A497 = "Standard", " - DAR","")</f>
        <v/>
      </c>
      <c r="C497" s="6" t="str">
        <f>'Ingest Template'!C497</f>
        <v/>
      </c>
      <c r="D497" s="7" t="str">
        <f>'Ingest Template'!E497</f>
        <v/>
      </c>
      <c r="E497" s="5"/>
      <c r="F497" s="5"/>
      <c r="G497" s="5"/>
      <c r="H497" s="7"/>
      <c r="I497" s="5"/>
      <c r="J497" s="7" t="str">
        <f>'Ingest Template'!Q497</f>
        <v/>
      </c>
      <c r="K497" s="5" t="str">
        <f>'Ingest Template'!R497</f>
        <v/>
      </c>
      <c r="L497" s="8" t="s">
        <v>38</v>
      </c>
      <c r="M497" s="9"/>
      <c r="N497" s="5"/>
      <c r="O497" s="5"/>
      <c r="P497" s="5"/>
      <c r="Q497" s="5"/>
      <c r="R497" s="5" t="str">
        <f>'Ingest Template'!D497</f>
        <v/>
      </c>
      <c r="S497" s="5" t="str">
        <f>'Ingest Template'!G497</f>
        <v/>
      </c>
      <c r="T497" s="5" t="str">
        <f>'Ingest Template'!H497</f>
        <v/>
      </c>
      <c r="U497" s="5" t="str">
        <f>LOWER(SUBSTITUTE(SUBSTITUTE(SUBSTITUTE(SUBSTITUTE(SUBSTITUTE('Ingest Template'!I497,"https:",""),"www.",""),"/",""),"?hl=en",""),"instagram.com",""))</f>
        <v/>
      </c>
      <c r="V497" s="10" t="str">
        <f>'Ingest Template'!J497</f>
        <v/>
      </c>
      <c r="W497" s="10" t="str">
        <f>'Ingest Template'!K497</f>
        <v/>
      </c>
      <c r="X497" s="5"/>
      <c r="Y497" s="5" t="str">
        <f>SUBSTITUTE(SUBSTITUTE(SUBSTITUTE('Ingest Template'!L497,"http:",""),"https:",""),"/","")</f>
        <v/>
      </c>
      <c r="Z497" s="5" t="str">
        <f t="array" ref="Z497">IF('Ingest Template'!A497="Standard",(IF(ISBLANK('Ingest Template'!M497),"", 'Ingest Template'!M497&amp;"|DAR")),(IF(ISBLANK('Ingest Template'!M497),"", 'Ingest Template'!M497&amp;"|Operations - Core Title")))</f>
        <v/>
      </c>
      <c r="AA497" s="5"/>
      <c r="AB497" s="5" t="str">
        <f>'Ingest Template'!F497</f>
        <v/>
      </c>
      <c r="AC497" s="5"/>
      <c r="AD497" s="5"/>
      <c r="AE497" s="5"/>
      <c r="AF497" s="8"/>
      <c r="AG497" s="5" t="str">
        <f t="array" ref="AG497">IF('Ingest Template'!A497="Standard",(CONCATENATE(IF(ISBLANK('Ingest Template'!N497),"", 'Ingest Template'!N497&amp;"|DAR"),CHAR(10), IF(ISBLANK('Ingest Template'!O497),"", 'Ingest Template'!O497&amp;"|DAR"),CHAR(10), IF(ISBLANK('Ingest Template'!P497),"", 'Ingest Template'!P497&amp;"|DAR"))),(CONCATENATE(IF(ISBLANK('Ingest Template'!N497),"", 'Ingest Template'!N497&amp;"|Operations - Core Title"),CHAR(10), IF(ISBLANK('Ingest Template'!O497),"", 'Ingest Template'!O497&amp;"|Operations - Core Title"),CHAR(10), IF(ISBLANK('Ingest Template'!P497),"", 'Ingest Template'!P497&amp;"|Operations - Core Title"))))</f>
        <v>#|Operations - Core Title
</v>
      </c>
      <c r="AH497" s="5"/>
      <c r="AI497" s="5"/>
      <c r="AJ497" s="5"/>
      <c r="AK497" s="5"/>
      <c r="AL497" s="5"/>
    </row>
    <row r="498">
      <c r="A498" s="5"/>
      <c r="B498" s="5" t="str">
        <f>'Ingest Template'!B498&amp;IF('Ingest Template'!A498 = "Standard", " - DAR","")</f>
        <v/>
      </c>
      <c r="C498" s="6" t="str">
        <f>'Ingest Template'!C498</f>
        <v/>
      </c>
      <c r="D498" s="7" t="str">
        <f>'Ingest Template'!E498</f>
        <v/>
      </c>
      <c r="E498" s="5"/>
      <c r="F498" s="5"/>
      <c r="G498" s="5"/>
      <c r="H498" s="7"/>
      <c r="I498" s="5"/>
      <c r="J498" s="7" t="str">
        <f>'Ingest Template'!Q498</f>
        <v/>
      </c>
      <c r="K498" s="5" t="str">
        <f>'Ingest Template'!R498</f>
        <v/>
      </c>
      <c r="L498" s="8" t="s">
        <v>38</v>
      </c>
      <c r="M498" s="9"/>
      <c r="N498" s="5"/>
      <c r="O498" s="5"/>
      <c r="P498" s="5"/>
      <c r="Q498" s="5"/>
      <c r="R498" s="5" t="str">
        <f>'Ingest Template'!D498</f>
        <v/>
      </c>
      <c r="S498" s="5" t="str">
        <f>'Ingest Template'!G498</f>
        <v/>
      </c>
      <c r="T498" s="5" t="str">
        <f>'Ingest Template'!H498</f>
        <v/>
      </c>
      <c r="U498" s="5" t="str">
        <f>LOWER(SUBSTITUTE(SUBSTITUTE(SUBSTITUTE(SUBSTITUTE(SUBSTITUTE('Ingest Template'!I498,"https:",""),"www.",""),"/",""),"?hl=en",""),"instagram.com",""))</f>
        <v/>
      </c>
      <c r="V498" s="10" t="str">
        <f>'Ingest Template'!J498</f>
        <v/>
      </c>
      <c r="W498" s="10" t="str">
        <f>'Ingest Template'!K498</f>
        <v/>
      </c>
      <c r="X498" s="5"/>
      <c r="Y498" s="5" t="str">
        <f>SUBSTITUTE(SUBSTITUTE(SUBSTITUTE('Ingest Template'!L498,"http:",""),"https:",""),"/","")</f>
        <v/>
      </c>
      <c r="Z498" s="5" t="str">
        <f t="array" ref="Z498">IF('Ingest Template'!A498="Standard",(IF(ISBLANK('Ingest Template'!M498),"", 'Ingest Template'!M498&amp;"|DAR")),(IF(ISBLANK('Ingest Template'!M498),"", 'Ingest Template'!M498&amp;"|Operations - Core Title")))</f>
        <v/>
      </c>
      <c r="AA498" s="5"/>
      <c r="AB498" s="5" t="str">
        <f>'Ingest Template'!F498</f>
        <v/>
      </c>
      <c r="AC498" s="5"/>
      <c r="AD498" s="5"/>
      <c r="AE498" s="5"/>
      <c r="AF498" s="8"/>
      <c r="AG498" s="5" t="str">
        <f t="array" ref="AG498">IF('Ingest Template'!A498="Standard",(CONCATENATE(IF(ISBLANK('Ingest Template'!N498),"", 'Ingest Template'!N498&amp;"|DAR"),CHAR(10), IF(ISBLANK('Ingest Template'!O498),"", 'Ingest Template'!O498&amp;"|DAR"),CHAR(10), IF(ISBLANK('Ingest Template'!P498),"", 'Ingest Template'!P498&amp;"|DAR"))),(CONCATENATE(IF(ISBLANK('Ingest Template'!N498),"", 'Ingest Template'!N498&amp;"|Operations - Core Title"),CHAR(10), IF(ISBLANK('Ingest Template'!O498),"", 'Ingest Template'!O498&amp;"|Operations - Core Title"),CHAR(10), IF(ISBLANK('Ingest Template'!P498),"", 'Ingest Template'!P498&amp;"|Operations - Core Title"))))</f>
        <v>#|Operations - Core Title
</v>
      </c>
      <c r="AH498" s="5"/>
      <c r="AI498" s="5"/>
      <c r="AJ498" s="5"/>
      <c r="AK498" s="5"/>
      <c r="AL498" s="5"/>
    </row>
    <row r="499">
      <c r="A499" s="5"/>
      <c r="B499" s="5" t="str">
        <f>'Ingest Template'!B499&amp;IF('Ingest Template'!A499 = "Standard", " - DAR","")</f>
        <v/>
      </c>
      <c r="C499" s="6" t="str">
        <f>'Ingest Template'!C499</f>
        <v/>
      </c>
      <c r="D499" s="7" t="str">
        <f>'Ingest Template'!E499</f>
        <v/>
      </c>
      <c r="E499" s="5"/>
      <c r="F499" s="5"/>
      <c r="G499" s="5"/>
      <c r="H499" s="7"/>
      <c r="I499" s="5"/>
      <c r="J499" s="7" t="str">
        <f>'Ingest Template'!Q499</f>
        <v/>
      </c>
      <c r="K499" s="5" t="str">
        <f>'Ingest Template'!R499</f>
        <v/>
      </c>
      <c r="L499" s="8" t="s">
        <v>38</v>
      </c>
      <c r="M499" s="9"/>
      <c r="N499" s="5"/>
      <c r="O499" s="5"/>
      <c r="P499" s="5"/>
      <c r="Q499" s="5"/>
      <c r="R499" s="5" t="str">
        <f>'Ingest Template'!D499</f>
        <v/>
      </c>
      <c r="S499" s="5" t="str">
        <f>'Ingest Template'!G499</f>
        <v/>
      </c>
      <c r="T499" s="5" t="str">
        <f>'Ingest Template'!H499</f>
        <v/>
      </c>
      <c r="U499" s="5" t="str">
        <f>LOWER(SUBSTITUTE(SUBSTITUTE(SUBSTITUTE(SUBSTITUTE(SUBSTITUTE('Ingest Template'!I499,"https:",""),"www.",""),"/",""),"?hl=en",""),"instagram.com",""))</f>
        <v/>
      </c>
      <c r="V499" s="10" t="str">
        <f>'Ingest Template'!J499</f>
        <v/>
      </c>
      <c r="W499" s="10" t="str">
        <f>'Ingest Template'!K499</f>
        <v/>
      </c>
      <c r="X499" s="5"/>
      <c r="Y499" s="5" t="str">
        <f>SUBSTITUTE(SUBSTITUTE(SUBSTITUTE('Ingest Template'!L499,"http:",""),"https:",""),"/","")</f>
        <v/>
      </c>
      <c r="Z499" s="5" t="str">
        <f t="array" ref="Z499">IF('Ingest Template'!A499="Standard",(IF(ISBLANK('Ingest Template'!M499),"", 'Ingest Template'!M499&amp;"|DAR")),(IF(ISBLANK('Ingest Template'!M499),"", 'Ingest Template'!M499&amp;"|Operations - Core Title")))</f>
        <v/>
      </c>
      <c r="AA499" s="5"/>
      <c r="AB499" s="5" t="str">
        <f>'Ingest Template'!F499</f>
        <v/>
      </c>
      <c r="AC499" s="5"/>
      <c r="AD499" s="5"/>
      <c r="AE499" s="5"/>
      <c r="AF499" s="8"/>
      <c r="AG499" s="5" t="str">
        <f t="array" ref="AG499">IF('Ingest Template'!A499="Standard",(CONCATENATE(IF(ISBLANK('Ingest Template'!N499),"", 'Ingest Template'!N499&amp;"|DAR"),CHAR(10), IF(ISBLANK('Ingest Template'!O499),"", 'Ingest Template'!O499&amp;"|DAR"),CHAR(10), IF(ISBLANK('Ingest Template'!P499),"", 'Ingest Template'!P499&amp;"|DAR"))),(CONCATENATE(IF(ISBLANK('Ingest Template'!N499),"", 'Ingest Template'!N499&amp;"|Operations - Core Title"),CHAR(10), IF(ISBLANK('Ingest Template'!O499),"", 'Ingest Template'!O499&amp;"|Operations - Core Title"),CHAR(10), IF(ISBLANK('Ingest Template'!P499),"", 'Ingest Template'!P499&amp;"|Operations - Core Title"))))</f>
        <v>#|Operations - Core Title
</v>
      </c>
      <c r="AH499" s="5"/>
      <c r="AI499" s="5"/>
      <c r="AJ499" s="5"/>
      <c r="AK499" s="5"/>
      <c r="AL499" s="5"/>
    </row>
    <row r="500">
      <c r="A500" s="5"/>
      <c r="B500" s="5" t="str">
        <f>'Ingest Template'!B500&amp;IF('Ingest Template'!A500 = "Standard", " - DAR","")</f>
        <v/>
      </c>
      <c r="C500" s="6" t="str">
        <f>'Ingest Template'!C500</f>
        <v/>
      </c>
      <c r="D500" s="7" t="str">
        <f>'Ingest Template'!E500</f>
        <v/>
      </c>
      <c r="E500" s="5"/>
      <c r="F500" s="5"/>
      <c r="G500" s="5"/>
      <c r="H500" s="7"/>
      <c r="I500" s="5"/>
      <c r="J500" s="7" t="str">
        <f>'Ingest Template'!Q500</f>
        <v/>
      </c>
      <c r="K500" s="5" t="str">
        <f>'Ingest Template'!R500</f>
        <v/>
      </c>
      <c r="L500" s="8" t="s">
        <v>38</v>
      </c>
      <c r="M500" s="9"/>
      <c r="N500" s="5"/>
      <c r="O500" s="5"/>
      <c r="P500" s="5"/>
      <c r="Q500" s="5"/>
      <c r="R500" s="5" t="str">
        <f>'Ingest Template'!D500</f>
        <v/>
      </c>
      <c r="S500" s="5" t="str">
        <f>'Ingest Template'!G500</f>
        <v/>
      </c>
      <c r="T500" s="5" t="str">
        <f>'Ingest Template'!H500</f>
        <v/>
      </c>
      <c r="U500" s="5" t="str">
        <f>LOWER(SUBSTITUTE(SUBSTITUTE(SUBSTITUTE(SUBSTITUTE(SUBSTITUTE('Ingest Template'!I500,"https:",""),"www.",""),"/",""),"?hl=en",""),"instagram.com",""))</f>
        <v/>
      </c>
      <c r="V500" s="10" t="str">
        <f>'Ingest Template'!J500</f>
        <v/>
      </c>
      <c r="W500" s="10" t="str">
        <f>'Ingest Template'!K500</f>
        <v/>
      </c>
      <c r="X500" s="5"/>
      <c r="Y500" s="5" t="str">
        <f>SUBSTITUTE(SUBSTITUTE(SUBSTITUTE('Ingest Template'!L500,"http:",""),"https:",""),"/","")</f>
        <v/>
      </c>
      <c r="Z500" s="5" t="str">
        <f t="array" ref="Z500">IF('Ingest Template'!A500="Standard",(IF(ISBLANK('Ingest Template'!M500),"", 'Ingest Template'!M500&amp;"|DAR")),(IF(ISBLANK('Ingest Template'!M500),"", 'Ingest Template'!M500&amp;"|Operations - Core Title")))</f>
        <v/>
      </c>
      <c r="AA500" s="5"/>
      <c r="AB500" s="5" t="str">
        <f>'Ingest Template'!F500</f>
        <v/>
      </c>
      <c r="AC500" s="5"/>
      <c r="AD500" s="5"/>
      <c r="AE500" s="5"/>
      <c r="AF500" s="8"/>
      <c r="AG500" s="5" t="str">
        <f t="array" ref="AG500">IF('Ingest Template'!A500="Standard",(CONCATENATE(IF(ISBLANK('Ingest Template'!N500),"", 'Ingest Template'!N500&amp;"|DAR"),CHAR(10), IF(ISBLANK('Ingest Template'!O500),"", 'Ingest Template'!O500&amp;"|DAR"),CHAR(10), IF(ISBLANK('Ingest Template'!P500),"", 'Ingest Template'!P500&amp;"|DAR"))),(CONCATENATE(IF(ISBLANK('Ingest Template'!N500),"", 'Ingest Template'!N500&amp;"|Operations - Core Title"),CHAR(10), IF(ISBLANK('Ingest Template'!O500),"", 'Ingest Template'!O500&amp;"|Operations - Core Title"),CHAR(10), IF(ISBLANK('Ingest Template'!P500),"", 'Ingest Template'!P500&amp;"|Operations - Core Title"))))</f>
        <v>#|Operations - Core Title
</v>
      </c>
      <c r="AH500" s="5"/>
      <c r="AI500" s="5"/>
      <c r="AJ500" s="5"/>
      <c r="AK500" s="5"/>
      <c r="AL500" s="5"/>
    </row>
    <row r="501">
      <c r="A501" s="5"/>
      <c r="B501" s="5" t="str">
        <f>'Ingest Template'!B501&amp;IF('Ingest Template'!A501 = "Standard", " - DAR","")</f>
        <v/>
      </c>
      <c r="C501" s="6" t="str">
        <f>'Ingest Template'!C501</f>
        <v/>
      </c>
      <c r="D501" s="7" t="str">
        <f>'Ingest Template'!E501</f>
        <v/>
      </c>
      <c r="E501" s="5"/>
      <c r="F501" s="5"/>
      <c r="G501" s="5"/>
      <c r="H501" s="7"/>
      <c r="I501" s="5"/>
      <c r="J501" s="7" t="str">
        <f>'Ingest Template'!Q501</f>
        <v/>
      </c>
      <c r="K501" s="5" t="str">
        <f>'Ingest Template'!R501</f>
        <v/>
      </c>
      <c r="L501" s="8" t="s">
        <v>38</v>
      </c>
      <c r="M501" s="9"/>
      <c r="N501" s="5"/>
      <c r="O501" s="5"/>
      <c r="P501" s="5"/>
      <c r="Q501" s="5"/>
      <c r="R501" s="5" t="str">
        <f>'Ingest Template'!D501</f>
        <v/>
      </c>
      <c r="S501" s="5" t="str">
        <f>'Ingest Template'!G501</f>
        <v/>
      </c>
      <c r="T501" s="5" t="str">
        <f>'Ingest Template'!H501</f>
        <v/>
      </c>
      <c r="U501" s="5" t="str">
        <f>LOWER(SUBSTITUTE(SUBSTITUTE(SUBSTITUTE(SUBSTITUTE(SUBSTITUTE('Ingest Template'!I501,"https:",""),"www.",""),"/",""),"?hl=en",""),"instagram.com",""))</f>
        <v/>
      </c>
      <c r="V501" s="10" t="str">
        <f>'Ingest Template'!J501</f>
        <v/>
      </c>
      <c r="W501" s="10" t="str">
        <f>'Ingest Template'!K501</f>
        <v/>
      </c>
      <c r="X501" s="5"/>
      <c r="Y501" s="5" t="str">
        <f>SUBSTITUTE(SUBSTITUTE(SUBSTITUTE('Ingest Template'!L501,"http:",""),"https:",""),"/","")</f>
        <v/>
      </c>
      <c r="Z501" s="5" t="str">
        <f t="array" ref="Z501">IF('Ingest Template'!A501="Standard",(IF(ISBLANK('Ingest Template'!M501),"", 'Ingest Template'!M501&amp;"|DAR")),(IF(ISBLANK('Ingest Template'!M501),"", 'Ingest Template'!M501&amp;"|Operations - Core Title")))</f>
        <v/>
      </c>
      <c r="AA501" s="5"/>
      <c r="AB501" s="5" t="str">
        <f>'Ingest Template'!F501</f>
        <v/>
      </c>
      <c r="AC501" s="5"/>
      <c r="AD501" s="5"/>
      <c r="AE501" s="5"/>
      <c r="AF501" s="8"/>
      <c r="AG501" s="5" t="str">
        <f t="array" ref="AG501">IF('Ingest Template'!A501="Standard",(CONCATENATE(IF(ISBLANK('Ingest Template'!N501),"", 'Ingest Template'!N501&amp;"|DAR"),CHAR(10), IF(ISBLANK('Ingest Template'!O501),"", 'Ingest Template'!O501&amp;"|DAR"),CHAR(10), IF(ISBLANK('Ingest Template'!P501),"", 'Ingest Template'!P501&amp;"|DAR"))),(CONCATENATE(IF(ISBLANK('Ingest Template'!N501),"", 'Ingest Template'!N501&amp;"|Operations - Core Title"),CHAR(10), IF(ISBLANK('Ingest Template'!O501),"", 'Ingest Template'!O501&amp;"|Operations - Core Title"),CHAR(10), IF(ISBLANK('Ingest Template'!P501),"", 'Ingest Template'!P501&amp;"|Operations - Core Title"))))</f>
        <v>#|Operations - Core Title
</v>
      </c>
      <c r="AH501" s="5"/>
      <c r="AI501" s="5"/>
      <c r="AJ501" s="5"/>
      <c r="AK501" s="5"/>
      <c r="AL501" s="5"/>
    </row>
    <row r="502">
      <c r="A502" s="5"/>
      <c r="B502" s="5" t="str">
        <f>'Ingest Template'!B502&amp;IF('Ingest Template'!A502 = "Standard", " - DAR","")</f>
        <v/>
      </c>
      <c r="C502" s="6" t="str">
        <f>'Ingest Template'!C502</f>
        <v/>
      </c>
      <c r="D502" s="7" t="str">
        <f>'Ingest Template'!E502</f>
        <v/>
      </c>
      <c r="E502" s="5"/>
      <c r="F502" s="5"/>
      <c r="G502" s="5"/>
      <c r="H502" s="7"/>
      <c r="I502" s="5"/>
      <c r="J502" s="7" t="str">
        <f>'Ingest Template'!Q502</f>
        <v/>
      </c>
      <c r="K502" s="5" t="str">
        <f>'Ingest Template'!R502</f>
        <v/>
      </c>
      <c r="L502" s="8" t="s">
        <v>38</v>
      </c>
      <c r="M502" s="9"/>
      <c r="N502" s="5"/>
      <c r="O502" s="5"/>
      <c r="P502" s="5"/>
      <c r="Q502" s="5"/>
      <c r="R502" s="5" t="str">
        <f>'Ingest Template'!D502</f>
        <v/>
      </c>
      <c r="S502" s="5" t="str">
        <f>'Ingest Template'!G502</f>
        <v/>
      </c>
      <c r="T502" s="5" t="str">
        <f>'Ingest Template'!H502</f>
        <v/>
      </c>
      <c r="U502" s="5" t="str">
        <f>LOWER(SUBSTITUTE(SUBSTITUTE(SUBSTITUTE(SUBSTITUTE(SUBSTITUTE('Ingest Template'!I502,"https:",""),"www.",""),"/",""),"?hl=en",""),"instagram.com",""))</f>
        <v/>
      </c>
      <c r="V502" s="10" t="str">
        <f>'Ingest Template'!J502</f>
        <v/>
      </c>
      <c r="W502" s="10" t="str">
        <f>'Ingest Template'!K502</f>
        <v/>
      </c>
      <c r="X502" s="5"/>
      <c r="Y502" s="5" t="str">
        <f>SUBSTITUTE(SUBSTITUTE(SUBSTITUTE('Ingest Template'!L502,"http:",""),"https:",""),"/","")</f>
        <v/>
      </c>
      <c r="Z502" s="5" t="str">
        <f t="array" ref="Z502">IF('Ingest Template'!A502="Standard",(IF(ISBLANK('Ingest Template'!M502),"", 'Ingest Template'!M502&amp;"|DAR")),(IF(ISBLANK('Ingest Template'!M502),"", 'Ingest Template'!M502&amp;"|Operations - Core Title")))</f>
        <v/>
      </c>
      <c r="AA502" s="5"/>
      <c r="AB502" s="5" t="str">
        <f>'Ingest Template'!F502</f>
        <v/>
      </c>
      <c r="AC502" s="5"/>
      <c r="AD502" s="5"/>
      <c r="AE502" s="5"/>
      <c r="AF502" s="8"/>
      <c r="AG502" s="5" t="str">
        <f t="array" ref="AG502">IF('Ingest Template'!A502="Standard",(CONCATENATE(IF(ISBLANK('Ingest Template'!N502),"", 'Ingest Template'!N502&amp;"|DAR"),CHAR(10), IF(ISBLANK('Ingest Template'!O502),"", 'Ingest Template'!O502&amp;"|DAR"),CHAR(10), IF(ISBLANK('Ingest Template'!P502),"", 'Ingest Template'!P502&amp;"|DAR"))),(CONCATENATE(IF(ISBLANK('Ingest Template'!N502),"", 'Ingest Template'!N502&amp;"|Operations - Core Title"),CHAR(10), IF(ISBLANK('Ingest Template'!O502),"", 'Ingest Template'!O502&amp;"|Operations - Core Title"),CHAR(10), IF(ISBLANK('Ingest Template'!P502),"", 'Ingest Template'!P502&amp;"|Operations - Core Title"))))</f>
        <v>#|Operations - Core Title
</v>
      </c>
      <c r="AH502" s="5"/>
      <c r="AI502" s="5"/>
      <c r="AJ502" s="5"/>
      <c r="AK502" s="5"/>
      <c r="AL502" s="5"/>
    </row>
    <row r="503">
      <c r="A503" s="5"/>
      <c r="B503" s="5" t="str">
        <f>'Ingest Template'!B503&amp;IF('Ingest Template'!A503 = "Standard", " - DAR","")</f>
        <v/>
      </c>
      <c r="C503" s="6" t="str">
        <f>'Ingest Template'!C503</f>
        <v/>
      </c>
      <c r="D503" s="7" t="str">
        <f>'Ingest Template'!E503</f>
        <v/>
      </c>
      <c r="E503" s="5"/>
      <c r="F503" s="5"/>
      <c r="G503" s="5"/>
      <c r="H503" s="7"/>
      <c r="I503" s="5"/>
      <c r="J503" s="7" t="str">
        <f>'Ingest Template'!Q503</f>
        <v/>
      </c>
      <c r="K503" s="5" t="str">
        <f>'Ingest Template'!R503</f>
        <v/>
      </c>
      <c r="L503" s="8" t="s">
        <v>38</v>
      </c>
      <c r="M503" s="9"/>
      <c r="N503" s="5"/>
      <c r="O503" s="5"/>
      <c r="P503" s="5"/>
      <c r="Q503" s="5"/>
      <c r="R503" s="5" t="str">
        <f>'Ingest Template'!D503</f>
        <v/>
      </c>
      <c r="S503" s="5" t="str">
        <f>'Ingest Template'!G503</f>
        <v/>
      </c>
      <c r="T503" s="5" t="str">
        <f>'Ingest Template'!H503</f>
        <v/>
      </c>
      <c r="U503" s="5" t="str">
        <f>LOWER(SUBSTITUTE(SUBSTITUTE(SUBSTITUTE(SUBSTITUTE(SUBSTITUTE('Ingest Template'!I503,"https:",""),"www.",""),"/",""),"?hl=en",""),"instagram.com",""))</f>
        <v/>
      </c>
      <c r="V503" s="10" t="str">
        <f>'Ingest Template'!J503</f>
        <v/>
      </c>
      <c r="W503" s="10" t="str">
        <f>'Ingest Template'!K503</f>
        <v/>
      </c>
      <c r="X503" s="5"/>
      <c r="Y503" s="5" t="str">
        <f>SUBSTITUTE(SUBSTITUTE(SUBSTITUTE('Ingest Template'!L503,"http:",""),"https:",""),"/","")</f>
        <v/>
      </c>
      <c r="Z503" s="5" t="str">
        <f t="array" ref="Z503">IF('Ingest Template'!A503="Standard",(IF(ISBLANK('Ingest Template'!M503),"", 'Ingest Template'!M503&amp;"|DAR")),(IF(ISBLANK('Ingest Template'!M503),"", 'Ingest Template'!M503&amp;"|Operations - Core Title")))</f>
        <v/>
      </c>
      <c r="AA503" s="5"/>
      <c r="AB503" s="5" t="str">
        <f>'Ingest Template'!F503</f>
        <v/>
      </c>
      <c r="AC503" s="5"/>
      <c r="AD503" s="5"/>
      <c r="AE503" s="5"/>
      <c r="AF503" s="8"/>
      <c r="AG503" s="5" t="str">
        <f t="array" ref="AG503">IF('Ingest Template'!A503="Standard",(CONCATENATE(IF(ISBLANK('Ingest Template'!N503),"", 'Ingest Template'!N503&amp;"|DAR"),CHAR(10), IF(ISBLANK('Ingest Template'!O503),"", 'Ingest Template'!O503&amp;"|DAR"),CHAR(10), IF(ISBLANK('Ingest Template'!P503),"", 'Ingest Template'!P503&amp;"|DAR"))),(CONCATENATE(IF(ISBLANK('Ingest Template'!N503),"", 'Ingest Template'!N503&amp;"|Operations - Core Title"),CHAR(10), IF(ISBLANK('Ingest Template'!O503),"", 'Ingest Template'!O503&amp;"|Operations - Core Title"),CHAR(10), IF(ISBLANK('Ingest Template'!P503),"", 'Ingest Template'!P503&amp;"|Operations - Core Title"))))</f>
        <v>#|Operations - Core Title
</v>
      </c>
      <c r="AH503" s="5"/>
      <c r="AI503" s="5"/>
      <c r="AJ503" s="5"/>
      <c r="AK503" s="5"/>
      <c r="AL503" s="5"/>
    </row>
    <row r="504">
      <c r="A504" s="5"/>
      <c r="B504" s="5" t="str">
        <f>'Ingest Template'!B504&amp;IF('Ingest Template'!A504 = "Standard", " - DAR","")</f>
        <v/>
      </c>
      <c r="C504" s="6" t="str">
        <f>'Ingest Template'!C504</f>
        <v/>
      </c>
      <c r="D504" s="7" t="str">
        <f>'Ingest Template'!E504</f>
        <v/>
      </c>
      <c r="E504" s="5"/>
      <c r="F504" s="5"/>
      <c r="G504" s="5"/>
      <c r="H504" s="7"/>
      <c r="I504" s="5"/>
      <c r="J504" s="7" t="str">
        <f>'Ingest Template'!Q504</f>
        <v/>
      </c>
      <c r="K504" s="5" t="str">
        <f>'Ingest Template'!R504</f>
        <v/>
      </c>
      <c r="L504" s="8" t="s">
        <v>38</v>
      </c>
      <c r="M504" s="9"/>
      <c r="N504" s="5"/>
      <c r="O504" s="5"/>
      <c r="P504" s="5"/>
      <c r="Q504" s="5"/>
      <c r="R504" s="5" t="str">
        <f>'Ingest Template'!D504</f>
        <v/>
      </c>
      <c r="S504" s="5" t="str">
        <f>'Ingest Template'!G504</f>
        <v/>
      </c>
      <c r="T504" s="5" t="str">
        <f>'Ingest Template'!H504</f>
        <v/>
      </c>
      <c r="U504" s="5" t="str">
        <f>LOWER(SUBSTITUTE(SUBSTITUTE(SUBSTITUTE(SUBSTITUTE(SUBSTITUTE('Ingest Template'!I504,"https:",""),"www.",""),"/",""),"?hl=en",""),"instagram.com",""))</f>
        <v/>
      </c>
      <c r="V504" s="10" t="str">
        <f>'Ingest Template'!J504</f>
        <v/>
      </c>
      <c r="W504" s="10" t="str">
        <f>'Ingest Template'!K504</f>
        <v/>
      </c>
      <c r="X504" s="5"/>
      <c r="Y504" s="5" t="str">
        <f>SUBSTITUTE(SUBSTITUTE(SUBSTITUTE('Ingest Template'!L504,"http:",""),"https:",""),"/","")</f>
        <v/>
      </c>
      <c r="Z504" s="5" t="str">
        <f t="array" ref="Z504">IF('Ingest Template'!A504="Standard",(IF(ISBLANK('Ingest Template'!M504),"", 'Ingest Template'!M504&amp;"|DAR")),(IF(ISBLANK('Ingest Template'!M504),"", 'Ingest Template'!M504&amp;"|Operations - Core Title")))</f>
        <v/>
      </c>
      <c r="AA504" s="5"/>
      <c r="AB504" s="5" t="str">
        <f>'Ingest Template'!F504</f>
        <v/>
      </c>
      <c r="AC504" s="5"/>
      <c r="AD504" s="5"/>
      <c r="AE504" s="5"/>
      <c r="AF504" s="8"/>
      <c r="AG504" s="5" t="str">
        <f t="array" ref="AG504">IF('Ingest Template'!A504="Standard",(CONCATENATE(IF(ISBLANK('Ingest Template'!N504),"", 'Ingest Template'!N504&amp;"|DAR"),CHAR(10), IF(ISBLANK('Ingest Template'!O504),"", 'Ingest Template'!O504&amp;"|DAR"),CHAR(10), IF(ISBLANK('Ingest Template'!P504),"", 'Ingest Template'!P504&amp;"|DAR"))),(CONCATENATE(IF(ISBLANK('Ingest Template'!N504),"", 'Ingest Template'!N504&amp;"|Operations - Core Title"),CHAR(10), IF(ISBLANK('Ingest Template'!O504),"", 'Ingest Template'!O504&amp;"|Operations - Core Title"),CHAR(10), IF(ISBLANK('Ingest Template'!P504),"", 'Ingest Template'!P504&amp;"|Operations - Core Title"))))</f>
        <v>#|Operations - Core Title
</v>
      </c>
      <c r="AH504" s="5"/>
      <c r="AI504" s="5"/>
      <c r="AJ504" s="5"/>
      <c r="AK504" s="5"/>
      <c r="AL504" s="5"/>
    </row>
    <row r="505">
      <c r="A505" s="5"/>
      <c r="B505" s="5" t="str">
        <f>'Ingest Template'!B505&amp;IF('Ingest Template'!A505 = "Standard", " - DAR","")</f>
        <v/>
      </c>
      <c r="C505" s="6" t="str">
        <f>'Ingest Template'!C505</f>
        <v/>
      </c>
      <c r="D505" s="7" t="str">
        <f>'Ingest Template'!E505</f>
        <v/>
      </c>
      <c r="E505" s="5"/>
      <c r="F505" s="5"/>
      <c r="G505" s="5"/>
      <c r="H505" s="7"/>
      <c r="I505" s="5"/>
      <c r="J505" s="7" t="str">
        <f>'Ingest Template'!Q505</f>
        <v/>
      </c>
      <c r="K505" s="5" t="str">
        <f>'Ingest Template'!R505</f>
        <v/>
      </c>
      <c r="L505" s="8" t="s">
        <v>38</v>
      </c>
      <c r="M505" s="9"/>
      <c r="N505" s="5"/>
      <c r="O505" s="5"/>
      <c r="P505" s="5"/>
      <c r="Q505" s="5"/>
      <c r="R505" s="5" t="str">
        <f>'Ingest Template'!D505</f>
        <v/>
      </c>
      <c r="S505" s="5" t="str">
        <f>'Ingest Template'!G505</f>
        <v/>
      </c>
      <c r="T505" s="5" t="str">
        <f>'Ingest Template'!H505</f>
        <v/>
      </c>
      <c r="U505" s="5" t="str">
        <f>LOWER(SUBSTITUTE(SUBSTITUTE(SUBSTITUTE(SUBSTITUTE(SUBSTITUTE('Ingest Template'!I505,"https:",""),"www.",""),"/",""),"?hl=en",""),"instagram.com",""))</f>
        <v/>
      </c>
      <c r="V505" s="10" t="str">
        <f>'Ingest Template'!J505</f>
        <v/>
      </c>
      <c r="W505" s="10" t="str">
        <f>'Ingest Template'!K505</f>
        <v/>
      </c>
      <c r="X505" s="5"/>
      <c r="Y505" s="5" t="str">
        <f>SUBSTITUTE(SUBSTITUTE(SUBSTITUTE('Ingest Template'!L505,"http:",""),"https:",""),"/","")</f>
        <v/>
      </c>
      <c r="Z505" s="5" t="str">
        <f t="array" ref="Z505">IF('Ingest Template'!A505="Standard",(IF(ISBLANK('Ingest Template'!M505),"", 'Ingest Template'!M505&amp;"|DAR")),(IF(ISBLANK('Ingest Template'!M505),"", 'Ingest Template'!M505&amp;"|Operations - Core Title")))</f>
        <v/>
      </c>
      <c r="AA505" s="5"/>
      <c r="AB505" s="5" t="str">
        <f>'Ingest Template'!F505</f>
        <v/>
      </c>
      <c r="AC505" s="5"/>
      <c r="AD505" s="5"/>
      <c r="AE505" s="5"/>
      <c r="AF505" s="8"/>
      <c r="AG505" s="5" t="str">
        <f t="array" ref="AG505">IF('Ingest Template'!A505="Standard",(CONCATENATE(IF(ISBLANK('Ingest Template'!N505),"", 'Ingest Template'!N505&amp;"|DAR"),CHAR(10), IF(ISBLANK('Ingest Template'!O505),"", 'Ingest Template'!O505&amp;"|DAR"),CHAR(10), IF(ISBLANK('Ingest Template'!P505),"", 'Ingest Template'!P505&amp;"|DAR"))),(CONCATENATE(IF(ISBLANK('Ingest Template'!N505),"", 'Ingest Template'!N505&amp;"|Operations - Core Title"),CHAR(10), IF(ISBLANK('Ingest Template'!O505),"", 'Ingest Template'!O505&amp;"|Operations - Core Title"),CHAR(10), IF(ISBLANK('Ingest Template'!P505),"", 'Ingest Template'!P505&amp;"|Operations - Core Title"))))</f>
        <v>#|Operations - Core Title
</v>
      </c>
      <c r="AH505" s="5"/>
      <c r="AI505" s="5"/>
      <c r="AJ505" s="5"/>
      <c r="AK505" s="5"/>
      <c r="AL505" s="5"/>
    </row>
    <row r="506">
      <c r="A506" s="5"/>
      <c r="B506" s="5" t="str">
        <f>'Ingest Template'!B506&amp;IF('Ingest Template'!A506 = "Standard", " - DAR","")</f>
        <v/>
      </c>
      <c r="C506" s="6" t="str">
        <f>'Ingest Template'!C506</f>
        <v/>
      </c>
      <c r="D506" s="7" t="str">
        <f>'Ingest Template'!E506</f>
        <v/>
      </c>
      <c r="E506" s="5"/>
      <c r="F506" s="5"/>
      <c r="G506" s="5"/>
      <c r="H506" s="7"/>
      <c r="I506" s="5"/>
      <c r="J506" s="7" t="str">
        <f>'Ingest Template'!Q506</f>
        <v/>
      </c>
      <c r="K506" s="5" t="str">
        <f>'Ingest Template'!R506</f>
        <v/>
      </c>
      <c r="L506" s="8" t="s">
        <v>38</v>
      </c>
      <c r="M506" s="9"/>
      <c r="N506" s="5"/>
      <c r="O506" s="5"/>
      <c r="P506" s="5"/>
      <c r="Q506" s="5"/>
      <c r="R506" s="5" t="str">
        <f>'Ingest Template'!D506</f>
        <v/>
      </c>
      <c r="S506" s="5" t="str">
        <f>'Ingest Template'!G506</f>
        <v/>
      </c>
      <c r="T506" s="5" t="str">
        <f>'Ingest Template'!H506</f>
        <v/>
      </c>
      <c r="U506" s="5" t="str">
        <f>LOWER(SUBSTITUTE(SUBSTITUTE(SUBSTITUTE(SUBSTITUTE(SUBSTITUTE('Ingest Template'!I506,"https:",""),"www.",""),"/",""),"?hl=en",""),"instagram.com",""))</f>
        <v/>
      </c>
      <c r="V506" s="10" t="str">
        <f>'Ingest Template'!J506</f>
        <v/>
      </c>
      <c r="W506" s="10" t="str">
        <f>'Ingest Template'!K506</f>
        <v/>
      </c>
      <c r="X506" s="5"/>
      <c r="Y506" s="5" t="str">
        <f>SUBSTITUTE(SUBSTITUTE(SUBSTITUTE('Ingest Template'!L506,"http:",""),"https:",""),"/","")</f>
        <v/>
      </c>
      <c r="Z506" s="5" t="str">
        <f t="array" ref="Z506">IF('Ingest Template'!A506="Standard",(IF(ISBLANK('Ingest Template'!M506),"", 'Ingest Template'!M506&amp;"|DAR")),(IF(ISBLANK('Ingest Template'!M506),"", 'Ingest Template'!M506&amp;"|Operations - Core Title")))</f>
        <v/>
      </c>
      <c r="AA506" s="5"/>
      <c r="AB506" s="5" t="str">
        <f>'Ingest Template'!F506</f>
        <v/>
      </c>
      <c r="AC506" s="5"/>
      <c r="AD506" s="5"/>
      <c r="AE506" s="5"/>
      <c r="AF506" s="8"/>
      <c r="AG506" s="5" t="str">
        <f t="array" ref="AG506">IF('Ingest Template'!A506="Standard",(CONCATENATE(IF(ISBLANK('Ingest Template'!N506),"", 'Ingest Template'!N506&amp;"|DAR"),CHAR(10), IF(ISBLANK('Ingest Template'!O506),"", 'Ingest Template'!O506&amp;"|DAR"),CHAR(10), IF(ISBLANK('Ingest Template'!P506),"", 'Ingest Template'!P506&amp;"|DAR"))),(CONCATENATE(IF(ISBLANK('Ingest Template'!N506),"", 'Ingest Template'!N506&amp;"|Operations - Core Title"),CHAR(10), IF(ISBLANK('Ingest Template'!O506),"", 'Ingest Template'!O506&amp;"|Operations - Core Title"),CHAR(10), IF(ISBLANK('Ingest Template'!P506),"", 'Ingest Template'!P506&amp;"|Operations - Core Title"))))</f>
        <v>#|Operations - Core Title
</v>
      </c>
      <c r="AH506" s="5"/>
      <c r="AI506" s="5"/>
      <c r="AJ506" s="5"/>
      <c r="AK506" s="5"/>
      <c r="AL506" s="5"/>
    </row>
    <row r="507">
      <c r="A507" s="5"/>
      <c r="B507" s="5" t="str">
        <f>'Ingest Template'!B507&amp;IF('Ingest Template'!A507 = "Standard", " - DAR","")</f>
        <v/>
      </c>
      <c r="C507" s="6" t="str">
        <f>'Ingest Template'!C507</f>
        <v/>
      </c>
      <c r="D507" s="7" t="str">
        <f>'Ingest Template'!E507</f>
        <v/>
      </c>
      <c r="E507" s="5"/>
      <c r="F507" s="5"/>
      <c r="G507" s="5"/>
      <c r="H507" s="7"/>
      <c r="I507" s="5"/>
      <c r="J507" s="7" t="str">
        <f>'Ingest Template'!Q507</f>
        <v/>
      </c>
      <c r="K507" s="5" t="str">
        <f>'Ingest Template'!R507</f>
        <v/>
      </c>
      <c r="L507" s="8" t="s">
        <v>38</v>
      </c>
      <c r="M507" s="9"/>
      <c r="N507" s="5"/>
      <c r="O507" s="5"/>
      <c r="P507" s="5"/>
      <c r="Q507" s="5"/>
      <c r="R507" s="5" t="str">
        <f>'Ingest Template'!D507</f>
        <v/>
      </c>
      <c r="S507" s="5" t="str">
        <f>'Ingest Template'!G507</f>
        <v/>
      </c>
      <c r="T507" s="5" t="str">
        <f>'Ingest Template'!H507</f>
        <v/>
      </c>
      <c r="U507" s="5" t="str">
        <f>LOWER(SUBSTITUTE(SUBSTITUTE(SUBSTITUTE(SUBSTITUTE(SUBSTITUTE('Ingest Template'!I507,"https:",""),"www.",""),"/",""),"?hl=en",""),"instagram.com",""))</f>
        <v/>
      </c>
      <c r="V507" s="10" t="str">
        <f>'Ingest Template'!J507</f>
        <v/>
      </c>
      <c r="W507" s="10" t="str">
        <f>'Ingest Template'!K507</f>
        <v/>
      </c>
      <c r="X507" s="5"/>
      <c r="Y507" s="5" t="str">
        <f>SUBSTITUTE(SUBSTITUTE(SUBSTITUTE('Ingest Template'!L507,"http:",""),"https:",""),"/","")</f>
        <v/>
      </c>
      <c r="Z507" s="5" t="str">
        <f t="array" ref="Z507">IF('Ingest Template'!A507="Standard",(IF(ISBLANK('Ingest Template'!M507),"", 'Ingest Template'!M507&amp;"|DAR")),(IF(ISBLANK('Ingest Template'!M507),"", 'Ingest Template'!M507&amp;"|Operations - Core Title")))</f>
        <v/>
      </c>
      <c r="AA507" s="5"/>
      <c r="AB507" s="5" t="str">
        <f>'Ingest Template'!F507</f>
        <v/>
      </c>
      <c r="AC507" s="5"/>
      <c r="AD507" s="5"/>
      <c r="AE507" s="5"/>
      <c r="AF507" s="8"/>
      <c r="AG507" s="5" t="str">
        <f t="array" ref="AG507">IF('Ingest Template'!A507="Standard",(CONCATENATE(IF(ISBLANK('Ingest Template'!N507),"", 'Ingest Template'!N507&amp;"|DAR"),CHAR(10), IF(ISBLANK('Ingest Template'!O507),"", 'Ingest Template'!O507&amp;"|DAR"),CHAR(10), IF(ISBLANK('Ingest Template'!P507),"", 'Ingest Template'!P507&amp;"|DAR"))),(CONCATENATE(IF(ISBLANK('Ingest Template'!N507),"", 'Ingest Template'!N507&amp;"|Operations - Core Title"),CHAR(10), IF(ISBLANK('Ingest Template'!O507),"", 'Ingest Template'!O507&amp;"|Operations - Core Title"),CHAR(10), IF(ISBLANK('Ingest Template'!P507),"", 'Ingest Template'!P507&amp;"|Operations - Core Title"))))</f>
        <v>#|Operations - Core Title
</v>
      </c>
      <c r="AH507" s="5"/>
      <c r="AI507" s="5"/>
      <c r="AJ507" s="5"/>
      <c r="AK507" s="5"/>
      <c r="AL507" s="5"/>
    </row>
    <row r="508">
      <c r="A508" s="5"/>
      <c r="B508" s="5" t="str">
        <f>'Ingest Template'!B508&amp;IF('Ingest Template'!A508 = "Standard", " - DAR","")</f>
        <v/>
      </c>
      <c r="C508" s="6" t="str">
        <f>'Ingest Template'!C508</f>
        <v/>
      </c>
      <c r="D508" s="7" t="str">
        <f>'Ingest Template'!E508</f>
        <v/>
      </c>
      <c r="E508" s="5"/>
      <c r="F508" s="5"/>
      <c r="G508" s="5"/>
      <c r="H508" s="7"/>
      <c r="I508" s="5"/>
      <c r="J508" s="7" t="str">
        <f>'Ingest Template'!Q508</f>
        <v/>
      </c>
      <c r="K508" s="5" t="str">
        <f>'Ingest Template'!R508</f>
        <v/>
      </c>
      <c r="L508" s="8" t="s">
        <v>38</v>
      </c>
      <c r="M508" s="9"/>
      <c r="N508" s="5"/>
      <c r="O508" s="5"/>
      <c r="P508" s="5"/>
      <c r="Q508" s="5"/>
      <c r="R508" s="5" t="str">
        <f>'Ingest Template'!D508</f>
        <v/>
      </c>
      <c r="S508" s="5" t="str">
        <f>'Ingest Template'!G508</f>
        <v/>
      </c>
      <c r="T508" s="5" t="str">
        <f>'Ingest Template'!H508</f>
        <v/>
      </c>
      <c r="U508" s="5" t="str">
        <f>LOWER(SUBSTITUTE(SUBSTITUTE(SUBSTITUTE(SUBSTITUTE(SUBSTITUTE('Ingest Template'!I508,"https:",""),"www.",""),"/",""),"?hl=en",""),"instagram.com",""))</f>
        <v/>
      </c>
      <c r="V508" s="10" t="str">
        <f>'Ingest Template'!J508</f>
        <v/>
      </c>
      <c r="W508" s="10" t="str">
        <f>'Ingest Template'!K508</f>
        <v/>
      </c>
      <c r="X508" s="5"/>
      <c r="Y508" s="5" t="str">
        <f>SUBSTITUTE(SUBSTITUTE(SUBSTITUTE('Ingest Template'!L508,"http:",""),"https:",""),"/","")</f>
        <v/>
      </c>
      <c r="Z508" s="5" t="str">
        <f t="array" ref="Z508">IF('Ingest Template'!A508="Standard",(IF(ISBLANK('Ingest Template'!M508),"", 'Ingest Template'!M508&amp;"|DAR")),(IF(ISBLANK('Ingest Template'!M508),"", 'Ingest Template'!M508&amp;"|Operations - Core Title")))</f>
        <v/>
      </c>
      <c r="AA508" s="5"/>
      <c r="AB508" s="5" t="str">
        <f>'Ingest Template'!F508</f>
        <v/>
      </c>
      <c r="AC508" s="5"/>
      <c r="AD508" s="5"/>
      <c r="AE508" s="5"/>
      <c r="AF508" s="8"/>
      <c r="AG508" s="5" t="str">
        <f t="array" ref="AG508">IF('Ingest Template'!A508="Standard",(CONCATENATE(IF(ISBLANK('Ingest Template'!N508),"", 'Ingest Template'!N508&amp;"|DAR"),CHAR(10), IF(ISBLANK('Ingest Template'!O508),"", 'Ingest Template'!O508&amp;"|DAR"),CHAR(10), IF(ISBLANK('Ingest Template'!P508),"", 'Ingest Template'!P508&amp;"|DAR"))),(CONCATENATE(IF(ISBLANK('Ingest Template'!N508),"", 'Ingest Template'!N508&amp;"|Operations - Core Title"),CHAR(10), IF(ISBLANK('Ingest Template'!O508),"", 'Ingest Template'!O508&amp;"|Operations - Core Title"),CHAR(10), IF(ISBLANK('Ingest Template'!P508),"", 'Ingest Template'!P508&amp;"|Operations - Core Title"))))</f>
        <v>#|Operations - Core Title
</v>
      </c>
      <c r="AH508" s="5"/>
      <c r="AI508" s="5"/>
      <c r="AJ508" s="5"/>
      <c r="AK508" s="5"/>
      <c r="AL508" s="5"/>
    </row>
    <row r="509">
      <c r="A509" s="5"/>
      <c r="B509" s="5" t="str">
        <f>'Ingest Template'!B509&amp;IF('Ingest Template'!A509 = "Standard", " - DAR","")</f>
        <v/>
      </c>
      <c r="C509" s="6" t="str">
        <f>'Ingest Template'!C509</f>
        <v/>
      </c>
      <c r="D509" s="7" t="str">
        <f>'Ingest Template'!E509</f>
        <v/>
      </c>
      <c r="E509" s="5"/>
      <c r="F509" s="5"/>
      <c r="G509" s="5"/>
      <c r="H509" s="7"/>
      <c r="I509" s="5"/>
      <c r="J509" s="7" t="str">
        <f>'Ingest Template'!Q509</f>
        <v/>
      </c>
      <c r="K509" s="5" t="str">
        <f>'Ingest Template'!R509</f>
        <v/>
      </c>
      <c r="L509" s="8" t="s">
        <v>38</v>
      </c>
      <c r="M509" s="9"/>
      <c r="N509" s="5"/>
      <c r="O509" s="5"/>
      <c r="P509" s="5"/>
      <c r="Q509" s="5"/>
      <c r="R509" s="5" t="str">
        <f>'Ingest Template'!D509</f>
        <v/>
      </c>
      <c r="S509" s="5" t="str">
        <f>'Ingest Template'!G509</f>
        <v/>
      </c>
      <c r="T509" s="5" t="str">
        <f>'Ingest Template'!H509</f>
        <v/>
      </c>
      <c r="U509" s="5" t="str">
        <f>LOWER(SUBSTITUTE(SUBSTITUTE(SUBSTITUTE(SUBSTITUTE(SUBSTITUTE('Ingest Template'!I509,"https:",""),"www.",""),"/",""),"?hl=en",""),"instagram.com",""))</f>
        <v/>
      </c>
      <c r="V509" s="10" t="str">
        <f>'Ingest Template'!J509</f>
        <v/>
      </c>
      <c r="W509" s="10" t="str">
        <f>'Ingest Template'!K509</f>
        <v/>
      </c>
      <c r="X509" s="5"/>
      <c r="Y509" s="5" t="str">
        <f>SUBSTITUTE(SUBSTITUTE(SUBSTITUTE('Ingest Template'!L509,"http:",""),"https:",""),"/","")</f>
        <v/>
      </c>
      <c r="Z509" s="5" t="str">
        <f t="array" ref="Z509">IF('Ingest Template'!A509="Standard",(IF(ISBLANK('Ingest Template'!M509),"", 'Ingest Template'!M509&amp;"|DAR")),(IF(ISBLANK('Ingest Template'!M509),"", 'Ingest Template'!M509&amp;"|Operations - Core Title")))</f>
        <v/>
      </c>
      <c r="AA509" s="5"/>
      <c r="AB509" s="5" t="str">
        <f>'Ingest Template'!F509</f>
        <v/>
      </c>
      <c r="AC509" s="5"/>
      <c r="AD509" s="5"/>
      <c r="AE509" s="5"/>
      <c r="AF509" s="8"/>
      <c r="AG509" s="5" t="str">
        <f t="array" ref="AG509">IF('Ingest Template'!A509="Standard",(CONCATENATE(IF(ISBLANK('Ingest Template'!N509),"", 'Ingest Template'!N509&amp;"|DAR"),CHAR(10), IF(ISBLANK('Ingest Template'!O509),"", 'Ingest Template'!O509&amp;"|DAR"),CHAR(10), IF(ISBLANK('Ingest Template'!P509),"", 'Ingest Template'!P509&amp;"|DAR"))),(CONCATENATE(IF(ISBLANK('Ingest Template'!N509),"", 'Ingest Template'!N509&amp;"|Operations - Core Title"),CHAR(10), IF(ISBLANK('Ingest Template'!O509),"", 'Ingest Template'!O509&amp;"|Operations - Core Title"),CHAR(10), IF(ISBLANK('Ingest Template'!P509),"", 'Ingest Template'!P509&amp;"|Operations - Core Title"))))</f>
        <v>#|Operations - Core Title
</v>
      </c>
      <c r="AH509" s="5"/>
      <c r="AI509" s="5"/>
      <c r="AJ509" s="5"/>
      <c r="AK509" s="5"/>
      <c r="AL509" s="5"/>
    </row>
    <row r="510">
      <c r="A510" s="5"/>
      <c r="B510" s="5" t="str">
        <f>'Ingest Template'!B510&amp;IF('Ingest Template'!A510 = "Standard", " - DAR","")</f>
        <v/>
      </c>
      <c r="C510" s="6" t="str">
        <f>'Ingest Template'!C510</f>
        <v/>
      </c>
      <c r="D510" s="7" t="str">
        <f>'Ingest Template'!E510</f>
        <v/>
      </c>
      <c r="E510" s="5"/>
      <c r="F510" s="5"/>
      <c r="G510" s="5"/>
      <c r="H510" s="7"/>
      <c r="I510" s="5"/>
      <c r="J510" s="7" t="str">
        <f>'Ingest Template'!Q510</f>
        <v/>
      </c>
      <c r="K510" s="5" t="str">
        <f>'Ingest Template'!R510</f>
        <v/>
      </c>
      <c r="L510" s="8" t="s">
        <v>38</v>
      </c>
      <c r="M510" s="9"/>
      <c r="N510" s="5"/>
      <c r="O510" s="5"/>
      <c r="P510" s="5"/>
      <c r="Q510" s="5"/>
      <c r="R510" s="5" t="str">
        <f>'Ingest Template'!D510</f>
        <v/>
      </c>
      <c r="S510" s="5" t="str">
        <f>'Ingest Template'!G510</f>
        <v/>
      </c>
      <c r="T510" s="5" t="str">
        <f>'Ingest Template'!H510</f>
        <v/>
      </c>
      <c r="U510" s="5" t="str">
        <f>LOWER(SUBSTITUTE(SUBSTITUTE(SUBSTITUTE(SUBSTITUTE(SUBSTITUTE('Ingest Template'!I510,"https:",""),"www.",""),"/",""),"?hl=en",""),"instagram.com",""))</f>
        <v/>
      </c>
      <c r="V510" s="10" t="str">
        <f>'Ingest Template'!J510</f>
        <v/>
      </c>
      <c r="W510" s="10" t="str">
        <f>'Ingest Template'!K510</f>
        <v/>
      </c>
      <c r="X510" s="5"/>
      <c r="Y510" s="5" t="str">
        <f>SUBSTITUTE(SUBSTITUTE(SUBSTITUTE('Ingest Template'!L510,"http:",""),"https:",""),"/","")</f>
        <v/>
      </c>
      <c r="Z510" s="5" t="str">
        <f t="array" ref="Z510">IF('Ingest Template'!A510="Standard",(IF(ISBLANK('Ingest Template'!M510),"", 'Ingest Template'!M510&amp;"|DAR")),(IF(ISBLANK('Ingest Template'!M510),"", 'Ingest Template'!M510&amp;"|Operations - Core Title")))</f>
        <v/>
      </c>
      <c r="AA510" s="5"/>
      <c r="AB510" s="5" t="str">
        <f>'Ingest Template'!F510</f>
        <v/>
      </c>
      <c r="AC510" s="5"/>
      <c r="AD510" s="5"/>
      <c r="AE510" s="5"/>
      <c r="AF510" s="8"/>
      <c r="AG510" s="5" t="str">
        <f t="array" ref="AG510">IF('Ingest Template'!A510="Standard",(CONCATENATE(IF(ISBLANK('Ingest Template'!N510),"", 'Ingest Template'!N510&amp;"|DAR"),CHAR(10), IF(ISBLANK('Ingest Template'!O510),"", 'Ingest Template'!O510&amp;"|DAR"),CHAR(10), IF(ISBLANK('Ingest Template'!P510),"", 'Ingest Template'!P510&amp;"|DAR"))),(CONCATENATE(IF(ISBLANK('Ingest Template'!N510),"", 'Ingest Template'!N510&amp;"|Operations - Core Title"),CHAR(10), IF(ISBLANK('Ingest Template'!O510),"", 'Ingest Template'!O510&amp;"|Operations - Core Title"),CHAR(10), IF(ISBLANK('Ingest Template'!P510),"", 'Ingest Template'!P510&amp;"|Operations - Core Title"))))</f>
        <v>#|Operations - Core Title
</v>
      </c>
      <c r="AH510" s="5"/>
      <c r="AI510" s="5"/>
      <c r="AJ510" s="5"/>
      <c r="AK510" s="5"/>
      <c r="AL510" s="5"/>
    </row>
    <row r="511">
      <c r="A511" s="5"/>
      <c r="B511" s="5" t="str">
        <f>'Ingest Template'!B511&amp;IF('Ingest Template'!A511 = "Standard", " - DAR","")</f>
        <v/>
      </c>
      <c r="C511" s="6" t="str">
        <f>'Ingest Template'!C511</f>
        <v/>
      </c>
      <c r="D511" s="7" t="str">
        <f>'Ingest Template'!E511</f>
        <v/>
      </c>
      <c r="E511" s="5"/>
      <c r="F511" s="5"/>
      <c r="G511" s="5"/>
      <c r="H511" s="7"/>
      <c r="I511" s="5"/>
      <c r="J511" s="7" t="str">
        <f>'Ingest Template'!Q511</f>
        <v/>
      </c>
      <c r="K511" s="5" t="str">
        <f>'Ingest Template'!R511</f>
        <v/>
      </c>
      <c r="L511" s="8" t="s">
        <v>38</v>
      </c>
      <c r="M511" s="9"/>
      <c r="N511" s="5"/>
      <c r="O511" s="5"/>
      <c r="P511" s="5"/>
      <c r="Q511" s="5"/>
      <c r="R511" s="5" t="str">
        <f>'Ingest Template'!D511</f>
        <v/>
      </c>
      <c r="S511" s="5" t="str">
        <f>'Ingest Template'!G511</f>
        <v/>
      </c>
      <c r="T511" s="5" t="str">
        <f>'Ingest Template'!H511</f>
        <v/>
      </c>
      <c r="U511" s="5" t="str">
        <f>LOWER(SUBSTITUTE(SUBSTITUTE(SUBSTITUTE(SUBSTITUTE(SUBSTITUTE('Ingest Template'!I511,"https:",""),"www.",""),"/",""),"?hl=en",""),"instagram.com",""))</f>
        <v/>
      </c>
      <c r="V511" s="10" t="str">
        <f>'Ingest Template'!J511</f>
        <v/>
      </c>
      <c r="W511" s="10" t="str">
        <f>'Ingest Template'!K511</f>
        <v/>
      </c>
      <c r="X511" s="5"/>
      <c r="Y511" s="5" t="str">
        <f>SUBSTITUTE(SUBSTITUTE(SUBSTITUTE('Ingest Template'!L511,"http:",""),"https:",""),"/","")</f>
        <v/>
      </c>
      <c r="Z511" s="5" t="str">
        <f t="array" ref="Z511">IF('Ingest Template'!A511="Standard",(IF(ISBLANK('Ingest Template'!M511),"", 'Ingest Template'!M511&amp;"|DAR")),(IF(ISBLANK('Ingest Template'!M511),"", 'Ingest Template'!M511&amp;"|Operations - Core Title")))</f>
        <v/>
      </c>
      <c r="AA511" s="5"/>
      <c r="AB511" s="5" t="str">
        <f>'Ingest Template'!F511</f>
        <v/>
      </c>
      <c r="AC511" s="5"/>
      <c r="AD511" s="5"/>
      <c r="AE511" s="5"/>
      <c r="AF511" s="8"/>
      <c r="AG511" s="5" t="str">
        <f t="array" ref="AG511">IF('Ingest Template'!A511="Standard",(CONCATENATE(IF(ISBLANK('Ingest Template'!N511),"", 'Ingest Template'!N511&amp;"|DAR"),CHAR(10), IF(ISBLANK('Ingest Template'!O511),"", 'Ingest Template'!O511&amp;"|DAR"),CHAR(10), IF(ISBLANK('Ingest Template'!P511),"", 'Ingest Template'!P511&amp;"|DAR"))),(CONCATENATE(IF(ISBLANK('Ingest Template'!N511),"", 'Ingest Template'!N511&amp;"|Operations - Core Title"),CHAR(10), IF(ISBLANK('Ingest Template'!O511),"", 'Ingest Template'!O511&amp;"|Operations - Core Title"),CHAR(10), IF(ISBLANK('Ingest Template'!P511),"", 'Ingest Template'!P511&amp;"|Operations - Core Title"))))</f>
        <v>#|Operations - Core Title
</v>
      </c>
      <c r="AH511" s="5"/>
      <c r="AI511" s="5"/>
      <c r="AJ511" s="5"/>
      <c r="AK511" s="5"/>
      <c r="AL511" s="5"/>
    </row>
    <row r="512">
      <c r="A512" s="5"/>
      <c r="B512" s="5" t="str">
        <f>'Ingest Template'!B512&amp;IF('Ingest Template'!A512 = "Standard", " - DAR","")</f>
        <v/>
      </c>
      <c r="C512" s="6" t="str">
        <f>'Ingest Template'!C512</f>
        <v/>
      </c>
      <c r="D512" s="7" t="str">
        <f>'Ingest Template'!E512</f>
        <v/>
      </c>
      <c r="E512" s="5"/>
      <c r="F512" s="5"/>
      <c r="G512" s="5"/>
      <c r="H512" s="7"/>
      <c r="I512" s="5"/>
      <c r="J512" s="7" t="str">
        <f>'Ingest Template'!Q512</f>
        <v/>
      </c>
      <c r="K512" s="5" t="str">
        <f>'Ingest Template'!R512</f>
        <v/>
      </c>
      <c r="L512" s="8" t="s">
        <v>38</v>
      </c>
      <c r="M512" s="9"/>
      <c r="N512" s="5"/>
      <c r="O512" s="5"/>
      <c r="P512" s="5"/>
      <c r="Q512" s="5"/>
      <c r="R512" s="5" t="str">
        <f>'Ingest Template'!D512</f>
        <v/>
      </c>
      <c r="S512" s="5" t="str">
        <f>'Ingest Template'!G512</f>
        <v/>
      </c>
      <c r="T512" s="5" t="str">
        <f>'Ingest Template'!H512</f>
        <v/>
      </c>
      <c r="U512" s="5" t="str">
        <f>LOWER(SUBSTITUTE(SUBSTITUTE(SUBSTITUTE(SUBSTITUTE(SUBSTITUTE('Ingest Template'!I512,"https:",""),"www.",""),"/",""),"?hl=en",""),"instagram.com",""))</f>
        <v/>
      </c>
      <c r="V512" s="10" t="str">
        <f>'Ingest Template'!J512</f>
        <v/>
      </c>
      <c r="W512" s="10" t="str">
        <f>'Ingest Template'!K512</f>
        <v/>
      </c>
      <c r="X512" s="5"/>
      <c r="Y512" s="5" t="str">
        <f>SUBSTITUTE(SUBSTITUTE(SUBSTITUTE('Ingest Template'!L512,"http:",""),"https:",""),"/","")</f>
        <v/>
      </c>
      <c r="Z512" s="5" t="str">
        <f t="array" ref="Z512">IF('Ingest Template'!A512="Standard",(IF(ISBLANK('Ingest Template'!M512),"", 'Ingest Template'!M512&amp;"|DAR")),(IF(ISBLANK('Ingest Template'!M512),"", 'Ingest Template'!M512&amp;"|Operations - Core Title")))</f>
        <v/>
      </c>
      <c r="AA512" s="5"/>
      <c r="AB512" s="5" t="str">
        <f>'Ingest Template'!F512</f>
        <v/>
      </c>
      <c r="AC512" s="5"/>
      <c r="AD512" s="5"/>
      <c r="AE512" s="5"/>
      <c r="AF512" s="8"/>
      <c r="AG512" s="5" t="str">
        <f t="array" ref="AG512">IF('Ingest Template'!A512="Standard",(CONCATENATE(IF(ISBLANK('Ingest Template'!N512),"", 'Ingest Template'!N512&amp;"|DAR"),CHAR(10), IF(ISBLANK('Ingest Template'!O512),"", 'Ingest Template'!O512&amp;"|DAR"),CHAR(10), IF(ISBLANK('Ingest Template'!P512),"", 'Ingest Template'!P512&amp;"|DAR"))),(CONCATENATE(IF(ISBLANK('Ingest Template'!N512),"", 'Ingest Template'!N512&amp;"|Operations - Core Title"),CHAR(10), IF(ISBLANK('Ingest Template'!O512),"", 'Ingest Template'!O512&amp;"|Operations - Core Title"),CHAR(10), IF(ISBLANK('Ingest Template'!P512),"", 'Ingest Template'!P512&amp;"|Operations - Core Title"))))</f>
        <v>#|Operations - Core Title
</v>
      </c>
      <c r="AH512" s="5"/>
      <c r="AI512" s="5"/>
      <c r="AJ512" s="5"/>
      <c r="AK512" s="5"/>
      <c r="AL512" s="5"/>
    </row>
    <row r="513">
      <c r="A513" s="5"/>
      <c r="B513" s="5" t="str">
        <f>'Ingest Template'!B513&amp;IF('Ingest Template'!A513 = "Standard", " - DAR","")</f>
        <v/>
      </c>
      <c r="C513" s="6" t="str">
        <f>'Ingest Template'!C513</f>
        <v/>
      </c>
      <c r="D513" s="7" t="str">
        <f>'Ingest Template'!E513</f>
        <v/>
      </c>
      <c r="E513" s="5"/>
      <c r="F513" s="5"/>
      <c r="G513" s="5"/>
      <c r="H513" s="7"/>
      <c r="I513" s="5"/>
      <c r="J513" s="7" t="str">
        <f>'Ingest Template'!Q513</f>
        <v/>
      </c>
      <c r="K513" s="5" t="str">
        <f>'Ingest Template'!R513</f>
        <v/>
      </c>
      <c r="L513" s="8" t="s">
        <v>38</v>
      </c>
      <c r="M513" s="9"/>
      <c r="N513" s="5"/>
      <c r="O513" s="5"/>
      <c r="P513" s="5"/>
      <c r="Q513" s="5"/>
      <c r="R513" s="5" t="str">
        <f>'Ingest Template'!D513</f>
        <v/>
      </c>
      <c r="S513" s="5" t="str">
        <f>'Ingest Template'!G513</f>
        <v/>
      </c>
      <c r="T513" s="5" t="str">
        <f>'Ingest Template'!H513</f>
        <v/>
      </c>
      <c r="U513" s="5" t="str">
        <f>LOWER(SUBSTITUTE(SUBSTITUTE(SUBSTITUTE(SUBSTITUTE(SUBSTITUTE('Ingest Template'!I513,"https:",""),"www.",""),"/",""),"?hl=en",""),"instagram.com",""))</f>
        <v/>
      </c>
      <c r="V513" s="10" t="str">
        <f>'Ingest Template'!J513</f>
        <v/>
      </c>
      <c r="W513" s="10" t="str">
        <f>'Ingest Template'!K513</f>
        <v/>
      </c>
      <c r="X513" s="5"/>
      <c r="Y513" s="5" t="str">
        <f>SUBSTITUTE(SUBSTITUTE(SUBSTITUTE('Ingest Template'!L513,"http:",""),"https:",""),"/","")</f>
        <v/>
      </c>
      <c r="Z513" s="5" t="str">
        <f t="array" ref="Z513">IF('Ingest Template'!A513="Standard",(IF(ISBLANK('Ingest Template'!M513),"", 'Ingest Template'!M513&amp;"|DAR")),(IF(ISBLANK('Ingest Template'!M513),"", 'Ingest Template'!M513&amp;"|Operations - Core Title")))</f>
        <v/>
      </c>
      <c r="AA513" s="5"/>
      <c r="AB513" s="5" t="str">
        <f>'Ingest Template'!F513</f>
        <v/>
      </c>
      <c r="AC513" s="5"/>
      <c r="AD513" s="5"/>
      <c r="AE513" s="5"/>
      <c r="AF513" s="8"/>
      <c r="AG513" s="5" t="str">
        <f t="array" ref="AG513">IF('Ingest Template'!A513="Standard",(CONCATENATE(IF(ISBLANK('Ingest Template'!N513),"", 'Ingest Template'!N513&amp;"|DAR"),CHAR(10), IF(ISBLANK('Ingest Template'!O513),"", 'Ingest Template'!O513&amp;"|DAR"),CHAR(10), IF(ISBLANK('Ingest Template'!P513),"", 'Ingest Template'!P513&amp;"|DAR"))),(CONCATENATE(IF(ISBLANK('Ingest Template'!N513),"", 'Ingest Template'!N513&amp;"|Operations - Core Title"),CHAR(10), IF(ISBLANK('Ingest Template'!O513),"", 'Ingest Template'!O513&amp;"|Operations - Core Title"),CHAR(10), IF(ISBLANK('Ingest Template'!P513),"", 'Ingest Template'!P513&amp;"|Operations - Core Title"))))</f>
        <v>#|Operations - Core Title
</v>
      </c>
      <c r="AH513" s="5"/>
      <c r="AI513" s="5"/>
      <c r="AJ513" s="5"/>
      <c r="AK513" s="5"/>
      <c r="AL513" s="5"/>
    </row>
    <row r="514">
      <c r="A514" s="5"/>
      <c r="B514" s="5" t="str">
        <f>'Ingest Template'!B514&amp;IF('Ingest Template'!A514 = "Standard", " - DAR","")</f>
        <v/>
      </c>
      <c r="C514" s="6" t="str">
        <f>'Ingest Template'!C514</f>
        <v/>
      </c>
      <c r="D514" s="7" t="str">
        <f>'Ingest Template'!E514</f>
        <v/>
      </c>
      <c r="E514" s="5"/>
      <c r="F514" s="5"/>
      <c r="G514" s="5"/>
      <c r="H514" s="7"/>
      <c r="I514" s="5"/>
      <c r="J514" s="7" t="str">
        <f>'Ingest Template'!Q514</f>
        <v/>
      </c>
      <c r="K514" s="5" t="str">
        <f>'Ingest Template'!R514</f>
        <v/>
      </c>
      <c r="L514" s="8" t="s">
        <v>38</v>
      </c>
      <c r="M514" s="9"/>
      <c r="N514" s="5"/>
      <c r="O514" s="5"/>
      <c r="P514" s="5"/>
      <c r="Q514" s="5"/>
      <c r="R514" s="5" t="str">
        <f>'Ingest Template'!D514</f>
        <v/>
      </c>
      <c r="S514" s="5" t="str">
        <f>'Ingest Template'!G514</f>
        <v/>
      </c>
      <c r="T514" s="5" t="str">
        <f>'Ingest Template'!H514</f>
        <v/>
      </c>
      <c r="U514" s="5" t="str">
        <f>LOWER(SUBSTITUTE(SUBSTITUTE(SUBSTITUTE(SUBSTITUTE(SUBSTITUTE('Ingest Template'!I514,"https:",""),"www.",""),"/",""),"?hl=en",""),"instagram.com",""))</f>
        <v/>
      </c>
      <c r="V514" s="10" t="str">
        <f>'Ingest Template'!J514</f>
        <v/>
      </c>
      <c r="W514" s="10" t="str">
        <f>'Ingest Template'!K514</f>
        <v/>
      </c>
      <c r="X514" s="5"/>
      <c r="Y514" s="5" t="str">
        <f>SUBSTITUTE(SUBSTITUTE(SUBSTITUTE('Ingest Template'!L514,"http:",""),"https:",""),"/","")</f>
        <v/>
      </c>
      <c r="Z514" s="5" t="str">
        <f t="array" ref="Z514">IF('Ingest Template'!A514="Standard",(IF(ISBLANK('Ingest Template'!M514),"", 'Ingest Template'!M514&amp;"|DAR")),(IF(ISBLANK('Ingest Template'!M514),"", 'Ingest Template'!M514&amp;"|Operations - Core Title")))</f>
        <v/>
      </c>
      <c r="AA514" s="5"/>
      <c r="AB514" s="5" t="str">
        <f>'Ingest Template'!F514</f>
        <v/>
      </c>
      <c r="AC514" s="5"/>
      <c r="AD514" s="5"/>
      <c r="AE514" s="5"/>
      <c r="AF514" s="8"/>
      <c r="AG514" s="5" t="str">
        <f t="array" ref="AG514">IF('Ingest Template'!A514="Standard",(CONCATENATE(IF(ISBLANK('Ingest Template'!N514),"", 'Ingest Template'!N514&amp;"|DAR"),CHAR(10), IF(ISBLANK('Ingest Template'!O514),"", 'Ingest Template'!O514&amp;"|DAR"),CHAR(10), IF(ISBLANK('Ingest Template'!P514),"", 'Ingest Template'!P514&amp;"|DAR"))),(CONCATENATE(IF(ISBLANK('Ingest Template'!N514),"", 'Ingest Template'!N514&amp;"|Operations - Core Title"),CHAR(10), IF(ISBLANK('Ingest Template'!O514),"", 'Ingest Template'!O514&amp;"|Operations - Core Title"),CHAR(10), IF(ISBLANK('Ingest Template'!P514),"", 'Ingest Template'!P514&amp;"|Operations - Core Title"))))</f>
        <v>#|Operations - Core Title
</v>
      </c>
      <c r="AH514" s="5"/>
      <c r="AI514" s="5"/>
      <c r="AJ514" s="5"/>
      <c r="AK514" s="5"/>
      <c r="AL514" s="5"/>
    </row>
    <row r="515">
      <c r="A515" s="5"/>
      <c r="B515" s="5" t="str">
        <f>'Ingest Template'!B515&amp;IF('Ingest Template'!A515 = "Standard", " - DAR","")</f>
        <v/>
      </c>
      <c r="C515" s="6" t="str">
        <f>'Ingest Template'!C515</f>
        <v/>
      </c>
      <c r="D515" s="7" t="str">
        <f>'Ingest Template'!E515</f>
        <v/>
      </c>
      <c r="E515" s="5"/>
      <c r="F515" s="5"/>
      <c r="G515" s="5"/>
      <c r="H515" s="7"/>
      <c r="I515" s="5"/>
      <c r="J515" s="7" t="str">
        <f>'Ingest Template'!Q515</f>
        <v/>
      </c>
      <c r="K515" s="5" t="str">
        <f>'Ingest Template'!R515</f>
        <v/>
      </c>
      <c r="L515" s="8" t="s">
        <v>38</v>
      </c>
      <c r="M515" s="9"/>
      <c r="N515" s="5"/>
      <c r="O515" s="5"/>
      <c r="P515" s="5"/>
      <c r="Q515" s="5"/>
      <c r="R515" s="5" t="str">
        <f>'Ingest Template'!D515</f>
        <v/>
      </c>
      <c r="S515" s="5" t="str">
        <f>'Ingest Template'!G515</f>
        <v/>
      </c>
      <c r="T515" s="5" t="str">
        <f>'Ingest Template'!H515</f>
        <v/>
      </c>
      <c r="U515" s="5" t="str">
        <f>LOWER(SUBSTITUTE(SUBSTITUTE(SUBSTITUTE(SUBSTITUTE(SUBSTITUTE('Ingest Template'!I515,"https:",""),"www.",""),"/",""),"?hl=en",""),"instagram.com",""))</f>
        <v/>
      </c>
      <c r="V515" s="10" t="str">
        <f>'Ingest Template'!J515</f>
        <v/>
      </c>
      <c r="W515" s="10" t="str">
        <f>'Ingest Template'!K515</f>
        <v/>
      </c>
      <c r="X515" s="5"/>
      <c r="Y515" s="5" t="str">
        <f>SUBSTITUTE(SUBSTITUTE(SUBSTITUTE('Ingest Template'!L515,"http:",""),"https:",""),"/","")</f>
        <v/>
      </c>
      <c r="Z515" s="5" t="str">
        <f t="array" ref="Z515">IF('Ingest Template'!A515="Standard",(IF(ISBLANK('Ingest Template'!M515),"", 'Ingest Template'!M515&amp;"|DAR")),(IF(ISBLANK('Ingest Template'!M515),"", 'Ingest Template'!M515&amp;"|Operations - Core Title")))</f>
        <v/>
      </c>
      <c r="AA515" s="5"/>
      <c r="AB515" s="5" t="str">
        <f>'Ingest Template'!F515</f>
        <v/>
      </c>
      <c r="AC515" s="5"/>
      <c r="AD515" s="5"/>
      <c r="AE515" s="5"/>
      <c r="AF515" s="8"/>
      <c r="AG515" s="5" t="str">
        <f t="array" ref="AG515">IF('Ingest Template'!A515="Standard",(CONCATENATE(IF(ISBLANK('Ingest Template'!N515),"", 'Ingest Template'!N515&amp;"|DAR"),CHAR(10), IF(ISBLANK('Ingest Template'!O515),"", 'Ingest Template'!O515&amp;"|DAR"),CHAR(10), IF(ISBLANK('Ingest Template'!P515),"", 'Ingest Template'!P515&amp;"|DAR"))),(CONCATENATE(IF(ISBLANK('Ingest Template'!N515),"", 'Ingest Template'!N515&amp;"|Operations - Core Title"),CHAR(10), IF(ISBLANK('Ingest Template'!O515),"", 'Ingest Template'!O515&amp;"|Operations - Core Title"),CHAR(10), IF(ISBLANK('Ingest Template'!P515),"", 'Ingest Template'!P515&amp;"|Operations - Core Title"))))</f>
        <v>#|Operations - Core Title
</v>
      </c>
      <c r="AH515" s="5"/>
      <c r="AI515" s="5"/>
      <c r="AJ515" s="5"/>
      <c r="AK515" s="5"/>
      <c r="AL515" s="5"/>
    </row>
    <row r="516">
      <c r="A516" s="5"/>
      <c r="B516" s="5" t="str">
        <f>'Ingest Template'!B516&amp;IF('Ingest Template'!A516 = "Standard", " - DAR","")</f>
        <v/>
      </c>
      <c r="C516" s="6" t="str">
        <f>'Ingest Template'!C516</f>
        <v/>
      </c>
      <c r="D516" s="7" t="str">
        <f>'Ingest Template'!E516</f>
        <v/>
      </c>
      <c r="E516" s="5"/>
      <c r="F516" s="5"/>
      <c r="G516" s="5"/>
      <c r="H516" s="7"/>
      <c r="I516" s="5"/>
      <c r="J516" s="7" t="str">
        <f>'Ingest Template'!Q516</f>
        <v/>
      </c>
      <c r="K516" s="5" t="str">
        <f>'Ingest Template'!R516</f>
        <v/>
      </c>
      <c r="L516" s="8" t="s">
        <v>38</v>
      </c>
      <c r="M516" s="9"/>
      <c r="N516" s="5"/>
      <c r="O516" s="5"/>
      <c r="P516" s="5"/>
      <c r="Q516" s="5"/>
      <c r="R516" s="5" t="str">
        <f>'Ingest Template'!D516</f>
        <v/>
      </c>
      <c r="S516" s="5" t="str">
        <f>'Ingest Template'!G516</f>
        <v/>
      </c>
      <c r="T516" s="5" t="str">
        <f>'Ingest Template'!H516</f>
        <v/>
      </c>
      <c r="U516" s="5" t="str">
        <f>LOWER(SUBSTITUTE(SUBSTITUTE(SUBSTITUTE(SUBSTITUTE(SUBSTITUTE('Ingest Template'!I516,"https:",""),"www.",""),"/",""),"?hl=en",""),"instagram.com",""))</f>
        <v/>
      </c>
      <c r="V516" s="10" t="str">
        <f>'Ingest Template'!J516</f>
        <v/>
      </c>
      <c r="W516" s="10" t="str">
        <f>'Ingest Template'!K516</f>
        <v/>
      </c>
      <c r="X516" s="5"/>
      <c r="Y516" s="5" t="str">
        <f>SUBSTITUTE(SUBSTITUTE(SUBSTITUTE('Ingest Template'!L516,"http:",""),"https:",""),"/","")</f>
        <v/>
      </c>
      <c r="Z516" s="5" t="str">
        <f t="array" ref="Z516">IF('Ingest Template'!A516="Standard",(IF(ISBLANK('Ingest Template'!M516),"", 'Ingest Template'!M516&amp;"|DAR")),(IF(ISBLANK('Ingest Template'!M516),"", 'Ingest Template'!M516&amp;"|Operations - Core Title")))</f>
        <v/>
      </c>
      <c r="AA516" s="5"/>
      <c r="AB516" s="5" t="str">
        <f>'Ingest Template'!F516</f>
        <v/>
      </c>
      <c r="AC516" s="5"/>
      <c r="AD516" s="5"/>
      <c r="AE516" s="5"/>
      <c r="AF516" s="8"/>
      <c r="AG516" s="5" t="str">
        <f t="array" ref="AG516">IF('Ingest Template'!A516="Standard",(CONCATENATE(IF(ISBLANK('Ingest Template'!N516),"", 'Ingest Template'!N516&amp;"|DAR"),CHAR(10), IF(ISBLANK('Ingest Template'!O516),"", 'Ingest Template'!O516&amp;"|DAR"),CHAR(10), IF(ISBLANK('Ingest Template'!P516),"", 'Ingest Template'!P516&amp;"|DAR"))),(CONCATENATE(IF(ISBLANK('Ingest Template'!N516),"", 'Ingest Template'!N516&amp;"|Operations - Core Title"),CHAR(10), IF(ISBLANK('Ingest Template'!O516),"", 'Ingest Template'!O516&amp;"|Operations - Core Title"),CHAR(10), IF(ISBLANK('Ingest Template'!P516),"", 'Ingest Template'!P516&amp;"|Operations - Core Title"))))</f>
        <v>#|Operations - Core Title
</v>
      </c>
      <c r="AH516" s="5"/>
      <c r="AI516" s="5"/>
      <c r="AJ516" s="5"/>
      <c r="AK516" s="5"/>
      <c r="AL516" s="5"/>
    </row>
    <row r="517">
      <c r="A517" s="5"/>
      <c r="B517" s="5" t="str">
        <f>'Ingest Template'!B517&amp;IF('Ingest Template'!A517 = "Standard", " - DAR","")</f>
        <v/>
      </c>
      <c r="C517" s="6" t="str">
        <f>'Ingest Template'!C517</f>
        <v/>
      </c>
      <c r="D517" s="7" t="str">
        <f>'Ingest Template'!E517</f>
        <v/>
      </c>
      <c r="E517" s="5"/>
      <c r="F517" s="5"/>
      <c r="G517" s="5"/>
      <c r="H517" s="7"/>
      <c r="I517" s="5"/>
      <c r="J517" s="7" t="str">
        <f>'Ingest Template'!Q517</f>
        <v/>
      </c>
      <c r="K517" s="5" t="str">
        <f>'Ingest Template'!R517</f>
        <v/>
      </c>
      <c r="L517" s="8" t="s">
        <v>38</v>
      </c>
      <c r="M517" s="9"/>
      <c r="N517" s="5"/>
      <c r="O517" s="5"/>
      <c r="P517" s="5"/>
      <c r="Q517" s="5"/>
      <c r="R517" s="5" t="str">
        <f>'Ingest Template'!D517</f>
        <v/>
      </c>
      <c r="S517" s="5" t="str">
        <f>'Ingest Template'!G517</f>
        <v/>
      </c>
      <c r="T517" s="5" t="str">
        <f>'Ingest Template'!H517</f>
        <v/>
      </c>
      <c r="U517" s="5" t="str">
        <f>LOWER(SUBSTITUTE(SUBSTITUTE(SUBSTITUTE(SUBSTITUTE(SUBSTITUTE('Ingest Template'!I517,"https:",""),"www.",""),"/",""),"?hl=en",""),"instagram.com",""))</f>
        <v/>
      </c>
      <c r="V517" s="10" t="str">
        <f>'Ingest Template'!J517</f>
        <v/>
      </c>
      <c r="W517" s="10" t="str">
        <f>'Ingest Template'!K517</f>
        <v/>
      </c>
      <c r="X517" s="5"/>
      <c r="Y517" s="5" t="str">
        <f>SUBSTITUTE(SUBSTITUTE(SUBSTITUTE('Ingest Template'!L517,"http:",""),"https:",""),"/","")</f>
        <v/>
      </c>
      <c r="Z517" s="5" t="str">
        <f t="array" ref="Z517">IF('Ingest Template'!A517="Standard",(IF(ISBLANK('Ingest Template'!M517),"", 'Ingest Template'!M517&amp;"|DAR")),(IF(ISBLANK('Ingest Template'!M517),"", 'Ingest Template'!M517&amp;"|Operations - Core Title")))</f>
        <v/>
      </c>
      <c r="AA517" s="5"/>
      <c r="AB517" s="5" t="str">
        <f>'Ingest Template'!F517</f>
        <v/>
      </c>
      <c r="AC517" s="5"/>
      <c r="AD517" s="5"/>
      <c r="AE517" s="5"/>
      <c r="AF517" s="8"/>
      <c r="AG517" s="5" t="str">
        <f t="array" ref="AG517">IF('Ingest Template'!A517="Standard",(CONCATENATE(IF(ISBLANK('Ingest Template'!N517),"", 'Ingest Template'!N517&amp;"|DAR"),CHAR(10), IF(ISBLANK('Ingest Template'!O517),"", 'Ingest Template'!O517&amp;"|DAR"),CHAR(10), IF(ISBLANK('Ingest Template'!P517),"", 'Ingest Template'!P517&amp;"|DAR"))),(CONCATENATE(IF(ISBLANK('Ingest Template'!N517),"", 'Ingest Template'!N517&amp;"|Operations - Core Title"),CHAR(10), IF(ISBLANK('Ingest Template'!O517),"", 'Ingest Template'!O517&amp;"|Operations - Core Title"),CHAR(10), IF(ISBLANK('Ingest Template'!P517),"", 'Ingest Template'!P517&amp;"|Operations - Core Title"))))</f>
        <v>#|Operations - Core Title
</v>
      </c>
      <c r="AH517" s="5"/>
      <c r="AI517" s="5"/>
      <c r="AJ517" s="5"/>
      <c r="AK517" s="5"/>
      <c r="AL517" s="5"/>
    </row>
    <row r="518">
      <c r="A518" s="5"/>
      <c r="B518" s="5" t="str">
        <f>'Ingest Template'!B518&amp;IF('Ingest Template'!A518 = "Standard", " - DAR","")</f>
        <v/>
      </c>
      <c r="C518" s="6" t="str">
        <f>'Ingest Template'!C518</f>
        <v/>
      </c>
      <c r="D518" s="7" t="str">
        <f>'Ingest Template'!E518</f>
        <v/>
      </c>
      <c r="E518" s="5"/>
      <c r="F518" s="5"/>
      <c r="G518" s="5"/>
      <c r="H518" s="7"/>
      <c r="I518" s="5"/>
      <c r="J518" s="7" t="str">
        <f>'Ingest Template'!Q518</f>
        <v/>
      </c>
      <c r="K518" s="5" t="str">
        <f>'Ingest Template'!R518</f>
        <v/>
      </c>
      <c r="L518" s="8" t="s">
        <v>38</v>
      </c>
      <c r="M518" s="9"/>
      <c r="N518" s="5"/>
      <c r="O518" s="5"/>
      <c r="P518" s="5"/>
      <c r="Q518" s="5"/>
      <c r="R518" s="5" t="str">
        <f>'Ingest Template'!D518</f>
        <v/>
      </c>
      <c r="S518" s="5" t="str">
        <f>'Ingest Template'!G518</f>
        <v/>
      </c>
      <c r="T518" s="5" t="str">
        <f>'Ingest Template'!H518</f>
        <v/>
      </c>
      <c r="U518" s="5" t="str">
        <f>LOWER(SUBSTITUTE(SUBSTITUTE(SUBSTITUTE(SUBSTITUTE(SUBSTITUTE('Ingest Template'!I518,"https:",""),"www.",""),"/",""),"?hl=en",""),"instagram.com",""))</f>
        <v/>
      </c>
      <c r="V518" s="10" t="str">
        <f>'Ingest Template'!J518</f>
        <v/>
      </c>
      <c r="W518" s="10" t="str">
        <f>'Ingest Template'!K518</f>
        <v/>
      </c>
      <c r="X518" s="5"/>
      <c r="Y518" s="5" t="str">
        <f>SUBSTITUTE(SUBSTITUTE(SUBSTITUTE('Ingest Template'!L518,"http:",""),"https:",""),"/","")</f>
        <v/>
      </c>
      <c r="Z518" s="5" t="str">
        <f t="array" ref="Z518">IF('Ingest Template'!A518="Standard",(IF(ISBLANK('Ingest Template'!M518),"", 'Ingest Template'!M518&amp;"|DAR")),(IF(ISBLANK('Ingest Template'!M518),"", 'Ingest Template'!M518&amp;"|Operations - Core Title")))</f>
        <v/>
      </c>
      <c r="AA518" s="5"/>
      <c r="AB518" s="5" t="str">
        <f>'Ingest Template'!F518</f>
        <v/>
      </c>
      <c r="AC518" s="5"/>
      <c r="AD518" s="5"/>
      <c r="AE518" s="5"/>
      <c r="AF518" s="8"/>
      <c r="AG518" s="5" t="str">
        <f t="array" ref="AG518">IF('Ingest Template'!A518="Standard",(CONCATENATE(IF(ISBLANK('Ingest Template'!N518),"", 'Ingest Template'!N518&amp;"|DAR"),CHAR(10), IF(ISBLANK('Ingest Template'!O518),"", 'Ingest Template'!O518&amp;"|DAR"),CHAR(10), IF(ISBLANK('Ingest Template'!P518),"", 'Ingest Template'!P518&amp;"|DAR"))),(CONCATENATE(IF(ISBLANK('Ingest Template'!N518),"", 'Ingest Template'!N518&amp;"|Operations - Core Title"),CHAR(10), IF(ISBLANK('Ingest Template'!O518),"", 'Ingest Template'!O518&amp;"|Operations - Core Title"),CHAR(10), IF(ISBLANK('Ingest Template'!P518),"", 'Ingest Template'!P518&amp;"|Operations - Core Title"))))</f>
        <v>#|Operations - Core Title
</v>
      </c>
      <c r="AH518" s="5"/>
      <c r="AI518" s="5"/>
      <c r="AJ518" s="5"/>
      <c r="AK518" s="5"/>
      <c r="AL518" s="5"/>
    </row>
    <row r="519">
      <c r="A519" s="5"/>
      <c r="B519" s="5" t="str">
        <f>'Ingest Template'!B519&amp;IF('Ingest Template'!A519 = "Standard", " - DAR","")</f>
        <v/>
      </c>
      <c r="C519" s="6" t="str">
        <f>'Ingest Template'!C519</f>
        <v/>
      </c>
      <c r="D519" s="7" t="str">
        <f>'Ingest Template'!E519</f>
        <v/>
      </c>
      <c r="E519" s="5"/>
      <c r="F519" s="5"/>
      <c r="G519" s="5"/>
      <c r="H519" s="7"/>
      <c r="I519" s="5"/>
      <c r="J519" s="7" t="str">
        <f>'Ingest Template'!Q519</f>
        <v/>
      </c>
      <c r="K519" s="5" t="str">
        <f>'Ingest Template'!R519</f>
        <v/>
      </c>
      <c r="L519" s="8" t="s">
        <v>38</v>
      </c>
      <c r="M519" s="9"/>
      <c r="N519" s="5"/>
      <c r="O519" s="5"/>
      <c r="P519" s="5"/>
      <c r="Q519" s="5"/>
      <c r="R519" s="5" t="str">
        <f>'Ingest Template'!D519</f>
        <v/>
      </c>
      <c r="S519" s="5" t="str">
        <f>'Ingest Template'!G519</f>
        <v/>
      </c>
      <c r="T519" s="5" t="str">
        <f>'Ingest Template'!H519</f>
        <v/>
      </c>
      <c r="U519" s="5" t="str">
        <f>LOWER(SUBSTITUTE(SUBSTITUTE(SUBSTITUTE(SUBSTITUTE(SUBSTITUTE('Ingest Template'!I519,"https:",""),"www.",""),"/",""),"?hl=en",""),"instagram.com",""))</f>
        <v/>
      </c>
      <c r="V519" s="10" t="str">
        <f>'Ingest Template'!J519</f>
        <v/>
      </c>
      <c r="W519" s="10" t="str">
        <f>'Ingest Template'!K519</f>
        <v/>
      </c>
      <c r="X519" s="5"/>
      <c r="Y519" s="5" t="str">
        <f>SUBSTITUTE(SUBSTITUTE(SUBSTITUTE('Ingest Template'!L519,"http:",""),"https:",""),"/","")</f>
        <v/>
      </c>
      <c r="Z519" s="5" t="str">
        <f t="array" ref="Z519">IF('Ingest Template'!A519="Standard",(IF(ISBLANK('Ingest Template'!M519),"", 'Ingest Template'!M519&amp;"|DAR")),(IF(ISBLANK('Ingest Template'!M519),"", 'Ingest Template'!M519&amp;"|Operations - Core Title")))</f>
        <v/>
      </c>
      <c r="AA519" s="5"/>
      <c r="AB519" s="5" t="str">
        <f>'Ingest Template'!F519</f>
        <v/>
      </c>
      <c r="AC519" s="5"/>
      <c r="AD519" s="5"/>
      <c r="AE519" s="5"/>
      <c r="AF519" s="8"/>
      <c r="AG519" s="5" t="str">
        <f t="array" ref="AG519">IF('Ingest Template'!A519="Standard",(CONCATENATE(IF(ISBLANK('Ingest Template'!N519),"", 'Ingest Template'!N519&amp;"|DAR"),CHAR(10), IF(ISBLANK('Ingest Template'!O519),"", 'Ingest Template'!O519&amp;"|DAR"),CHAR(10), IF(ISBLANK('Ingest Template'!P519),"", 'Ingest Template'!P519&amp;"|DAR"))),(CONCATENATE(IF(ISBLANK('Ingest Template'!N519),"", 'Ingest Template'!N519&amp;"|Operations - Core Title"),CHAR(10), IF(ISBLANK('Ingest Template'!O519),"", 'Ingest Template'!O519&amp;"|Operations - Core Title"),CHAR(10), IF(ISBLANK('Ingest Template'!P519),"", 'Ingest Template'!P519&amp;"|Operations - Core Title"))))</f>
        <v>#|Operations - Core Title
</v>
      </c>
      <c r="AH519" s="5"/>
      <c r="AI519" s="5"/>
      <c r="AJ519" s="5"/>
      <c r="AK519" s="5"/>
      <c r="AL519" s="5"/>
    </row>
    <row r="520">
      <c r="A520" s="5"/>
      <c r="B520" s="5" t="str">
        <f>'Ingest Template'!B520&amp;IF('Ingest Template'!A520 = "Standard", " - DAR","")</f>
        <v/>
      </c>
      <c r="C520" s="6" t="str">
        <f>'Ingest Template'!C520</f>
        <v/>
      </c>
      <c r="D520" s="7" t="str">
        <f>'Ingest Template'!E520</f>
        <v/>
      </c>
      <c r="E520" s="5"/>
      <c r="F520" s="5"/>
      <c r="G520" s="5"/>
      <c r="H520" s="7"/>
      <c r="I520" s="5"/>
      <c r="J520" s="7" t="str">
        <f>'Ingest Template'!Q520</f>
        <v/>
      </c>
      <c r="K520" s="5" t="str">
        <f>'Ingest Template'!R520</f>
        <v/>
      </c>
      <c r="L520" s="8" t="s">
        <v>38</v>
      </c>
      <c r="M520" s="9"/>
      <c r="N520" s="5"/>
      <c r="O520" s="5"/>
      <c r="P520" s="5"/>
      <c r="Q520" s="5"/>
      <c r="R520" s="5" t="str">
        <f>'Ingest Template'!D520</f>
        <v/>
      </c>
      <c r="S520" s="5" t="str">
        <f>'Ingest Template'!G520</f>
        <v/>
      </c>
      <c r="T520" s="5" t="str">
        <f>'Ingest Template'!H520</f>
        <v/>
      </c>
      <c r="U520" s="5" t="str">
        <f>LOWER(SUBSTITUTE(SUBSTITUTE(SUBSTITUTE(SUBSTITUTE(SUBSTITUTE('Ingest Template'!I520,"https:",""),"www.",""),"/",""),"?hl=en",""),"instagram.com",""))</f>
        <v/>
      </c>
      <c r="V520" s="10" t="str">
        <f>'Ingest Template'!J520</f>
        <v/>
      </c>
      <c r="W520" s="10" t="str">
        <f>'Ingest Template'!K520</f>
        <v/>
      </c>
      <c r="X520" s="5"/>
      <c r="Y520" s="5" t="str">
        <f>SUBSTITUTE(SUBSTITUTE(SUBSTITUTE('Ingest Template'!L520,"http:",""),"https:",""),"/","")</f>
        <v/>
      </c>
      <c r="Z520" s="5" t="str">
        <f t="array" ref="Z520">IF('Ingest Template'!A520="Standard",(IF(ISBLANK('Ingest Template'!M520),"", 'Ingest Template'!M520&amp;"|DAR")),(IF(ISBLANK('Ingest Template'!M520),"", 'Ingest Template'!M520&amp;"|Operations - Core Title")))</f>
        <v/>
      </c>
      <c r="AA520" s="5"/>
      <c r="AB520" s="5" t="str">
        <f>'Ingest Template'!F520</f>
        <v/>
      </c>
      <c r="AC520" s="5"/>
      <c r="AD520" s="5"/>
      <c r="AE520" s="5"/>
      <c r="AF520" s="8"/>
      <c r="AG520" s="5" t="str">
        <f t="array" ref="AG520">IF('Ingest Template'!A520="Standard",(CONCATENATE(IF(ISBLANK('Ingest Template'!N520),"", 'Ingest Template'!N520&amp;"|DAR"),CHAR(10), IF(ISBLANK('Ingest Template'!O520),"", 'Ingest Template'!O520&amp;"|DAR"),CHAR(10), IF(ISBLANK('Ingest Template'!P520),"", 'Ingest Template'!P520&amp;"|DAR"))),(CONCATENATE(IF(ISBLANK('Ingest Template'!N520),"", 'Ingest Template'!N520&amp;"|Operations - Core Title"),CHAR(10), IF(ISBLANK('Ingest Template'!O520),"", 'Ingest Template'!O520&amp;"|Operations - Core Title"),CHAR(10), IF(ISBLANK('Ingest Template'!P520),"", 'Ingest Template'!P520&amp;"|Operations - Core Title"))))</f>
        <v>#|Operations - Core Title
</v>
      </c>
      <c r="AH520" s="5"/>
      <c r="AI520" s="5"/>
      <c r="AJ520" s="5"/>
      <c r="AK520" s="5"/>
      <c r="AL520" s="5"/>
    </row>
    <row r="521">
      <c r="A521" s="5"/>
      <c r="B521" s="5" t="str">
        <f>'Ingest Template'!B521&amp;IF('Ingest Template'!A521 = "Standard", " - DAR","")</f>
        <v/>
      </c>
      <c r="C521" s="6" t="str">
        <f>'Ingest Template'!C521</f>
        <v/>
      </c>
      <c r="D521" s="7" t="str">
        <f>'Ingest Template'!E521</f>
        <v/>
      </c>
      <c r="E521" s="5"/>
      <c r="F521" s="5"/>
      <c r="G521" s="5"/>
      <c r="H521" s="7"/>
      <c r="I521" s="5"/>
      <c r="J521" s="7" t="str">
        <f>'Ingest Template'!Q521</f>
        <v/>
      </c>
      <c r="K521" s="5" t="str">
        <f>'Ingest Template'!R521</f>
        <v/>
      </c>
      <c r="L521" s="8" t="s">
        <v>38</v>
      </c>
      <c r="M521" s="9"/>
      <c r="N521" s="5"/>
      <c r="O521" s="5"/>
      <c r="P521" s="5"/>
      <c r="Q521" s="5"/>
      <c r="R521" s="5" t="str">
        <f>'Ingest Template'!D521</f>
        <v/>
      </c>
      <c r="S521" s="5" t="str">
        <f>'Ingest Template'!G521</f>
        <v/>
      </c>
      <c r="T521" s="5" t="str">
        <f>'Ingest Template'!H521</f>
        <v/>
      </c>
      <c r="U521" s="5" t="str">
        <f>LOWER(SUBSTITUTE(SUBSTITUTE(SUBSTITUTE(SUBSTITUTE(SUBSTITUTE('Ingest Template'!I521,"https:",""),"www.",""),"/",""),"?hl=en",""),"instagram.com",""))</f>
        <v/>
      </c>
      <c r="V521" s="10" t="str">
        <f>'Ingest Template'!J521</f>
        <v/>
      </c>
      <c r="W521" s="10" t="str">
        <f>'Ingest Template'!K521</f>
        <v/>
      </c>
      <c r="X521" s="5"/>
      <c r="Y521" s="5" t="str">
        <f>SUBSTITUTE(SUBSTITUTE(SUBSTITUTE('Ingest Template'!L521,"http:",""),"https:",""),"/","")</f>
        <v/>
      </c>
      <c r="Z521" s="5" t="str">
        <f t="array" ref="Z521">IF('Ingest Template'!A521="Standard",(IF(ISBLANK('Ingest Template'!M521),"", 'Ingest Template'!M521&amp;"|DAR")),(IF(ISBLANK('Ingest Template'!M521),"", 'Ingest Template'!M521&amp;"|Operations - Core Title")))</f>
        <v/>
      </c>
      <c r="AA521" s="5"/>
      <c r="AB521" s="5" t="str">
        <f>'Ingest Template'!F521</f>
        <v/>
      </c>
      <c r="AC521" s="5"/>
      <c r="AD521" s="5"/>
      <c r="AE521" s="5"/>
      <c r="AF521" s="8"/>
      <c r="AG521" s="5" t="str">
        <f t="array" ref="AG521">IF('Ingest Template'!A521="Standard",(CONCATENATE(IF(ISBLANK('Ingest Template'!N521),"", 'Ingest Template'!N521&amp;"|DAR"),CHAR(10), IF(ISBLANK('Ingest Template'!O521),"", 'Ingest Template'!O521&amp;"|DAR"),CHAR(10), IF(ISBLANK('Ingest Template'!P521),"", 'Ingest Template'!P521&amp;"|DAR"))),(CONCATENATE(IF(ISBLANK('Ingest Template'!N521),"", 'Ingest Template'!N521&amp;"|Operations - Core Title"),CHAR(10), IF(ISBLANK('Ingest Template'!O521),"", 'Ingest Template'!O521&amp;"|Operations - Core Title"),CHAR(10), IF(ISBLANK('Ingest Template'!P521),"", 'Ingest Template'!P521&amp;"|Operations - Core Title"))))</f>
        <v>#|Operations - Core Title
</v>
      </c>
      <c r="AH521" s="5"/>
      <c r="AI521" s="5"/>
      <c r="AJ521" s="5"/>
      <c r="AK521" s="5"/>
      <c r="AL521" s="5"/>
    </row>
    <row r="522">
      <c r="A522" s="5"/>
      <c r="B522" s="5" t="str">
        <f>'Ingest Template'!B522&amp;IF('Ingest Template'!A522 = "Standard", " - DAR","")</f>
        <v/>
      </c>
      <c r="C522" s="6" t="str">
        <f>'Ingest Template'!C522</f>
        <v/>
      </c>
      <c r="D522" s="7" t="str">
        <f>'Ingest Template'!E522</f>
        <v/>
      </c>
      <c r="E522" s="5"/>
      <c r="F522" s="5"/>
      <c r="G522" s="5"/>
      <c r="H522" s="7"/>
      <c r="I522" s="5"/>
      <c r="J522" s="7" t="str">
        <f>'Ingest Template'!Q522</f>
        <v/>
      </c>
      <c r="K522" s="5" t="str">
        <f>'Ingest Template'!R522</f>
        <v/>
      </c>
      <c r="L522" s="8" t="s">
        <v>38</v>
      </c>
      <c r="M522" s="9"/>
      <c r="N522" s="5"/>
      <c r="O522" s="5"/>
      <c r="P522" s="5"/>
      <c r="Q522" s="5"/>
      <c r="R522" s="5" t="str">
        <f>'Ingest Template'!D522</f>
        <v/>
      </c>
      <c r="S522" s="5" t="str">
        <f>'Ingest Template'!G522</f>
        <v/>
      </c>
      <c r="T522" s="5" t="str">
        <f>'Ingest Template'!H522</f>
        <v/>
      </c>
      <c r="U522" s="5" t="str">
        <f>LOWER(SUBSTITUTE(SUBSTITUTE(SUBSTITUTE(SUBSTITUTE(SUBSTITUTE('Ingest Template'!I522,"https:",""),"www.",""),"/",""),"?hl=en",""),"instagram.com",""))</f>
        <v/>
      </c>
      <c r="V522" s="10" t="str">
        <f>'Ingest Template'!J522</f>
        <v/>
      </c>
      <c r="W522" s="10" t="str">
        <f>'Ingest Template'!K522</f>
        <v/>
      </c>
      <c r="X522" s="5"/>
      <c r="Y522" s="5" t="str">
        <f>SUBSTITUTE(SUBSTITUTE(SUBSTITUTE('Ingest Template'!L522,"http:",""),"https:",""),"/","")</f>
        <v/>
      </c>
      <c r="Z522" s="5" t="str">
        <f t="array" ref="Z522">IF('Ingest Template'!A522="Standard",(IF(ISBLANK('Ingest Template'!M522),"", 'Ingest Template'!M522&amp;"|DAR")),(IF(ISBLANK('Ingest Template'!M522),"", 'Ingest Template'!M522&amp;"|Operations - Core Title")))</f>
        <v/>
      </c>
      <c r="AA522" s="5"/>
      <c r="AB522" s="5" t="str">
        <f>'Ingest Template'!F522</f>
        <v/>
      </c>
      <c r="AC522" s="5"/>
      <c r="AD522" s="5"/>
      <c r="AE522" s="5"/>
      <c r="AF522" s="8"/>
      <c r="AG522" s="5" t="str">
        <f t="array" ref="AG522">IF('Ingest Template'!A522="Standard",(CONCATENATE(IF(ISBLANK('Ingest Template'!N522),"", 'Ingest Template'!N522&amp;"|DAR"),CHAR(10), IF(ISBLANK('Ingest Template'!O522),"", 'Ingest Template'!O522&amp;"|DAR"),CHAR(10), IF(ISBLANK('Ingest Template'!P522),"", 'Ingest Template'!P522&amp;"|DAR"))),(CONCATENATE(IF(ISBLANK('Ingest Template'!N522),"", 'Ingest Template'!N522&amp;"|Operations - Core Title"),CHAR(10), IF(ISBLANK('Ingest Template'!O522),"", 'Ingest Template'!O522&amp;"|Operations - Core Title"),CHAR(10), IF(ISBLANK('Ingest Template'!P522),"", 'Ingest Template'!P522&amp;"|Operations - Core Title"))))</f>
        <v>#|Operations - Core Title
</v>
      </c>
      <c r="AH522" s="5"/>
      <c r="AI522" s="5"/>
      <c r="AJ522" s="5"/>
      <c r="AK522" s="5"/>
      <c r="AL522" s="5"/>
    </row>
    <row r="523">
      <c r="A523" s="5"/>
      <c r="B523" s="5" t="str">
        <f>'Ingest Template'!B523&amp;IF('Ingest Template'!A523 = "Standard", " - DAR","")</f>
        <v/>
      </c>
      <c r="C523" s="6" t="str">
        <f>'Ingest Template'!C523</f>
        <v/>
      </c>
      <c r="D523" s="7" t="str">
        <f>'Ingest Template'!E523</f>
        <v/>
      </c>
      <c r="E523" s="5"/>
      <c r="F523" s="5"/>
      <c r="G523" s="5"/>
      <c r="H523" s="7"/>
      <c r="I523" s="5"/>
      <c r="J523" s="7" t="str">
        <f>'Ingest Template'!Q523</f>
        <v/>
      </c>
      <c r="K523" s="5" t="str">
        <f>'Ingest Template'!R523</f>
        <v/>
      </c>
      <c r="L523" s="8" t="s">
        <v>38</v>
      </c>
      <c r="M523" s="9"/>
      <c r="N523" s="5"/>
      <c r="O523" s="5"/>
      <c r="P523" s="5"/>
      <c r="Q523" s="5"/>
      <c r="R523" s="5" t="str">
        <f>'Ingest Template'!D523</f>
        <v/>
      </c>
      <c r="S523" s="5" t="str">
        <f>'Ingest Template'!G523</f>
        <v/>
      </c>
      <c r="T523" s="5" t="str">
        <f>'Ingest Template'!H523</f>
        <v/>
      </c>
      <c r="U523" s="5" t="str">
        <f>LOWER(SUBSTITUTE(SUBSTITUTE(SUBSTITUTE(SUBSTITUTE(SUBSTITUTE('Ingest Template'!I523,"https:",""),"www.",""),"/",""),"?hl=en",""),"instagram.com",""))</f>
        <v/>
      </c>
      <c r="V523" s="10" t="str">
        <f>'Ingest Template'!J523</f>
        <v/>
      </c>
      <c r="W523" s="10" t="str">
        <f>'Ingest Template'!K523</f>
        <v/>
      </c>
      <c r="X523" s="5"/>
      <c r="Y523" s="5" t="str">
        <f>SUBSTITUTE(SUBSTITUTE(SUBSTITUTE('Ingest Template'!L523,"http:",""),"https:",""),"/","")</f>
        <v/>
      </c>
      <c r="Z523" s="5" t="str">
        <f t="array" ref="Z523">IF('Ingest Template'!A523="Standard",(IF(ISBLANK('Ingest Template'!M523),"", 'Ingest Template'!M523&amp;"|DAR")),(IF(ISBLANK('Ingest Template'!M523),"", 'Ingest Template'!M523&amp;"|Operations - Core Title")))</f>
        <v/>
      </c>
      <c r="AA523" s="5"/>
      <c r="AB523" s="5" t="str">
        <f>'Ingest Template'!F523</f>
        <v/>
      </c>
      <c r="AC523" s="5"/>
      <c r="AD523" s="5"/>
      <c r="AE523" s="5"/>
      <c r="AF523" s="8"/>
      <c r="AG523" s="5" t="str">
        <f t="array" ref="AG523">IF('Ingest Template'!A523="Standard",(CONCATENATE(IF(ISBLANK('Ingest Template'!N523),"", 'Ingest Template'!N523&amp;"|DAR"),CHAR(10), IF(ISBLANK('Ingest Template'!O523),"", 'Ingest Template'!O523&amp;"|DAR"),CHAR(10), IF(ISBLANK('Ingest Template'!P523),"", 'Ingest Template'!P523&amp;"|DAR"))),(CONCATENATE(IF(ISBLANK('Ingest Template'!N523),"", 'Ingest Template'!N523&amp;"|Operations - Core Title"),CHAR(10), IF(ISBLANK('Ingest Template'!O523),"", 'Ingest Template'!O523&amp;"|Operations - Core Title"),CHAR(10), IF(ISBLANK('Ingest Template'!P523),"", 'Ingest Template'!P523&amp;"|Operations - Core Title"))))</f>
        <v>#|Operations - Core Title
</v>
      </c>
      <c r="AH523" s="5"/>
      <c r="AI523" s="5"/>
      <c r="AJ523" s="5"/>
      <c r="AK523" s="5"/>
      <c r="AL523" s="5"/>
    </row>
    <row r="524">
      <c r="A524" s="5"/>
      <c r="B524" s="5" t="str">
        <f>'Ingest Template'!B524&amp;IF('Ingest Template'!A524 = "Standard", " - DAR","")</f>
        <v/>
      </c>
      <c r="C524" s="6" t="str">
        <f>'Ingest Template'!C524</f>
        <v/>
      </c>
      <c r="D524" s="7" t="str">
        <f>'Ingest Template'!E524</f>
        <v/>
      </c>
      <c r="E524" s="5"/>
      <c r="F524" s="5"/>
      <c r="G524" s="5"/>
      <c r="H524" s="7"/>
      <c r="I524" s="5"/>
      <c r="J524" s="7" t="str">
        <f>'Ingest Template'!Q524</f>
        <v/>
      </c>
      <c r="K524" s="5" t="str">
        <f>'Ingest Template'!R524</f>
        <v/>
      </c>
      <c r="L524" s="8" t="s">
        <v>38</v>
      </c>
      <c r="M524" s="9"/>
      <c r="N524" s="5"/>
      <c r="O524" s="5"/>
      <c r="P524" s="5"/>
      <c r="Q524" s="5"/>
      <c r="R524" s="5" t="str">
        <f>'Ingest Template'!D524</f>
        <v/>
      </c>
      <c r="S524" s="5" t="str">
        <f>'Ingest Template'!G524</f>
        <v/>
      </c>
      <c r="T524" s="5" t="str">
        <f>'Ingest Template'!H524</f>
        <v/>
      </c>
      <c r="U524" s="5" t="str">
        <f>LOWER(SUBSTITUTE(SUBSTITUTE(SUBSTITUTE(SUBSTITUTE(SUBSTITUTE('Ingest Template'!I524,"https:",""),"www.",""),"/",""),"?hl=en",""),"instagram.com",""))</f>
        <v/>
      </c>
      <c r="V524" s="10" t="str">
        <f>'Ingest Template'!J524</f>
        <v/>
      </c>
      <c r="W524" s="10" t="str">
        <f>'Ingest Template'!K524</f>
        <v/>
      </c>
      <c r="X524" s="5"/>
      <c r="Y524" s="5" t="str">
        <f>SUBSTITUTE(SUBSTITUTE(SUBSTITUTE('Ingest Template'!L524,"http:",""),"https:",""),"/","")</f>
        <v/>
      </c>
      <c r="Z524" s="5" t="str">
        <f t="array" ref="Z524">IF('Ingest Template'!A524="Standard",(IF(ISBLANK('Ingest Template'!M524),"", 'Ingest Template'!M524&amp;"|DAR")),(IF(ISBLANK('Ingest Template'!M524),"", 'Ingest Template'!M524&amp;"|Operations - Core Title")))</f>
        <v/>
      </c>
      <c r="AA524" s="5"/>
      <c r="AB524" s="5" t="str">
        <f>'Ingest Template'!F524</f>
        <v/>
      </c>
      <c r="AC524" s="5"/>
      <c r="AD524" s="5"/>
      <c r="AE524" s="5"/>
      <c r="AF524" s="8"/>
      <c r="AG524" s="5" t="str">
        <f t="array" ref="AG524">IF('Ingest Template'!A524="Standard",(CONCATENATE(IF(ISBLANK('Ingest Template'!N524),"", 'Ingest Template'!N524&amp;"|DAR"),CHAR(10), IF(ISBLANK('Ingest Template'!O524),"", 'Ingest Template'!O524&amp;"|DAR"),CHAR(10), IF(ISBLANK('Ingest Template'!P524),"", 'Ingest Template'!P524&amp;"|DAR"))),(CONCATENATE(IF(ISBLANK('Ingest Template'!N524),"", 'Ingest Template'!N524&amp;"|Operations - Core Title"),CHAR(10), IF(ISBLANK('Ingest Template'!O524),"", 'Ingest Template'!O524&amp;"|Operations - Core Title"),CHAR(10), IF(ISBLANK('Ingest Template'!P524),"", 'Ingest Template'!P524&amp;"|Operations - Core Title"))))</f>
        <v>#|Operations - Core Title
</v>
      </c>
      <c r="AH524" s="5"/>
      <c r="AI524" s="5"/>
      <c r="AJ524" s="5"/>
      <c r="AK524" s="5"/>
      <c r="AL524" s="5"/>
    </row>
    <row r="525">
      <c r="A525" s="5"/>
      <c r="B525" s="5" t="str">
        <f>'Ingest Template'!B525&amp;IF('Ingest Template'!A525 = "Standard", " - DAR","")</f>
        <v/>
      </c>
      <c r="C525" s="6" t="str">
        <f>'Ingest Template'!C525</f>
        <v/>
      </c>
      <c r="D525" s="7" t="str">
        <f>'Ingest Template'!E525</f>
        <v/>
      </c>
      <c r="E525" s="5"/>
      <c r="F525" s="5"/>
      <c r="G525" s="5"/>
      <c r="H525" s="7"/>
      <c r="I525" s="5"/>
      <c r="J525" s="7" t="str">
        <f>'Ingest Template'!Q525</f>
        <v/>
      </c>
      <c r="K525" s="5" t="str">
        <f>'Ingest Template'!R525</f>
        <v/>
      </c>
      <c r="L525" s="8" t="s">
        <v>38</v>
      </c>
      <c r="M525" s="9"/>
      <c r="N525" s="5"/>
      <c r="O525" s="5"/>
      <c r="P525" s="5"/>
      <c r="Q525" s="5"/>
      <c r="R525" s="5" t="str">
        <f>'Ingest Template'!D525</f>
        <v/>
      </c>
      <c r="S525" s="5" t="str">
        <f>'Ingest Template'!G525</f>
        <v/>
      </c>
      <c r="T525" s="5" t="str">
        <f>'Ingest Template'!H525</f>
        <v/>
      </c>
      <c r="U525" s="5" t="str">
        <f>LOWER(SUBSTITUTE(SUBSTITUTE(SUBSTITUTE(SUBSTITUTE(SUBSTITUTE('Ingest Template'!I525,"https:",""),"www.",""),"/",""),"?hl=en",""),"instagram.com",""))</f>
        <v/>
      </c>
      <c r="V525" s="10" t="str">
        <f>'Ingest Template'!J525</f>
        <v/>
      </c>
      <c r="W525" s="10" t="str">
        <f>'Ingest Template'!K525</f>
        <v/>
      </c>
      <c r="X525" s="5"/>
      <c r="Y525" s="5" t="str">
        <f>SUBSTITUTE(SUBSTITUTE(SUBSTITUTE('Ingest Template'!L525,"http:",""),"https:",""),"/","")</f>
        <v/>
      </c>
      <c r="Z525" s="5" t="str">
        <f t="array" ref="Z525">IF('Ingest Template'!A525="Standard",(IF(ISBLANK('Ingest Template'!M525),"", 'Ingest Template'!M525&amp;"|DAR")),(IF(ISBLANK('Ingest Template'!M525),"", 'Ingest Template'!M525&amp;"|Operations - Core Title")))</f>
        <v/>
      </c>
      <c r="AA525" s="5"/>
      <c r="AB525" s="5" t="str">
        <f>'Ingest Template'!F525</f>
        <v/>
      </c>
      <c r="AC525" s="5"/>
      <c r="AD525" s="5"/>
      <c r="AE525" s="5"/>
      <c r="AF525" s="8"/>
      <c r="AG525" s="5" t="str">
        <f t="array" ref="AG525">IF('Ingest Template'!A525="Standard",(CONCATENATE(IF(ISBLANK('Ingest Template'!N525),"", 'Ingest Template'!N525&amp;"|DAR"),CHAR(10), IF(ISBLANK('Ingest Template'!O525),"", 'Ingest Template'!O525&amp;"|DAR"),CHAR(10), IF(ISBLANK('Ingest Template'!P525),"", 'Ingest Template'!P525&amp;"|DAR"))),(CONCATENATE(IF(ISBLANK('Ingest Template'!N525),"", 'Ingest Template'!N525&amp;"|Operations - Core Title"),CHAR(10), IF(ISBLANK('Ingest Template'!O525),"", 'Ingest Template'!O525&amp;"|Operations - Core Title"),CHAR(10), IF(ISBLANK('Ingest Template'!P525),"", 'Ingest Template'!P525&amp;"|Operations - Core Title"))))</f>
        <v>#|Operations - Core Title
</v>
      </c>
      <c r="AH525" s="5"/>
      <c r="AI525" s="5"/>
      <c r="AJ525" s="5"/>
      <c r="AK525" s="5"/>
      <c r="AL525" s="5"/>
    </row>
    <row r="526">
      <c r="A526" s="5"/>
      <c r="B526" s="5" t="str">
        <f>'Ingest Template'!B526&amp;IF('Ingest Template'!A526 = "Standard", " - DAR","")</f>
        <v/>
      </c>
      <c r="C526" s="6" t="str">
        <f>'Ingest Template'!C526</f>
        <v/>
      </c>
      <c r="D526" s="7" t="str">
        <f>'Ingest Template'!E526</f>
        <v/>
      </c>
      <c r="E526" s="5"/>
      <c r="F526" s="5"/>
      <c r="G526" s="5"/>
      <c r="H526" s="7"/>
      <c r="I526" s="5"/>
      <c r="J526" s="7" t="str">
        <f>'Ingest Template'!Q526</f>
        <v/>
      </c>
      <c r="K526" s="5" t="str">
        <f>'Ingest Template'!R526</f>
        <v/>
      </c>
      <c r="L526" s="8" t="s">
        <v>38</v>
      </c>
      <c r="M526" s="9"/>
      <c r="N526" s="5"/>
      <c r="O526" s="5"/>
      <c r="P526" s="5"/>
      <c r="Q526" s="5"/>
      <c r="R526" s="5" t="str">
        <f>'Ingest Template'!D526</f>
        <v/>
      </c>
      <c r="S526" s="5" t="str">
        <f>'Ingest Template'!G526</f>
        <v/>
      </c>
      <c r="T526" s="5" t="str">
        <f>'Ingest Template'!H526</f>
        <v/>
      </c>
      <c r="U526" s="5" t="str">
        <f>LOWER(SUBSTITUTE(SUBSTITUTE(SUBSTITUTE(SUBSTITUTE(SUBSTITUTE('Ingest Template'!I526,"https:",""),"www.",""),"/",""),"?hl=en",""),"instagram.com",""))</f>
        <v/>
      </c>
      <c r="V526" s="10" t="str">
        <f>'Ingest Template'!J526</f>
        <v/>
      </c>
      <c r="W526" s="10" t="str">
        <f>'Ingest Template'!K526</f>
        <v/>
      </c>
      <c r="X526" s="5"/>
      <c r="Y526" s="5" t="str">
        <f>SUBSTITUTE(SUBSTITUTE(SUBSTITUTE('Ingest Template'!L526,"http:",""),"https:",""),"/","")</f>
        <v/>
      </c>
      <c r="Z526" s="5" t="str">
        <f t="array" ref="Z526">IF('Ingest Template'!A526="Standard",(IF(ISBLANK('Ingest Template'!M526),"", 'Ingest Template'!M526&amp;"|DAR")),(IF(ISBLANK('Ingest Template'!M526),"", 'Ingest Template'!M526&amp;"|Operations - Core Title")))</f>
        <v/>
      </c>
      <c r="AA526" s="5"/>
      <c r="AB526" s="5" t="str">
        <f>'Ingest Template'!F526</f>
        <v/>
      </c>
      <c r="AC526" s="5"/>
      <c r="AD526" s="5"/>
      <c r="AE526" s="5"/>
      <c r="AF526" s="8"/>
      <c r="AG526" s="5" t="str">
        <f t="array" ref="AG526">IF('Ingest Template'!A526="Standard",(CONCATENATE(IF(ISBLANK('Ingest Template'!N526),"", 'Ingest Template'!N526&amp;"|DAR"),CHAR(10), IF(ISBLANK('Ingest Template'!O526),"", 'Ingest Template'!O526&amp;"|DAR"),CHAR(10), IF(ISBLANK('Ingest Template'!P526),"", 'Ingest Template'!P526&amp;"|DAR"))),(CONCATENATE(IF(ISBLANK('Ingest Template'!N526),"", 'Ingest Template'!N526&amp;"|Operations - Core Title"),CHAR(10), IF(ISBLANK('Ingest Template'!O526),"", 'Ingest Template'!O526&amp;"|Operations - Core Title"),CHAR(10), IF(ISBLANK('Ingest Template'!P526),"", 'Ingest Template'!P526&amp;"|Operations - Core Title"))))</f>
        <v>#|Operations - Core Title
</v>
      </c>
      <c r="AH526" s="5"/>
      <c r="AI526" s="5"/>
      <c r="AJ526" s="5"/>
      <c r="AK526" s="5"/>
      <c r="AL526" s="5"/>
    </row>
    <row r="527">
      <c r="A527" s="5"/>
      <c r="B527" s="5" t="str">
        <f>'Ingest Template'!B527&amp;IF('Ingest Template'!A527 = "Standard", " - DAR","")</f>
        <v/>
      </c>
      <c r="C527" s="6" t="str">
        <f>'Ingest Template'!C527</f>
        <v/>
      </c>
      <c r="D527" s="7" t="str">
        <f>'Ingest Template'!E527</f>
        <v/>
      </c>
      <c r="E527" s="5"/>
      <c r="F527" s="5"/>
      <c r="G527" s="5"/>
      <c r="H527" s="7"/>
      <c r="I527" s="5"/>
      <c r="J527" s="7" t="str">
        <f>'Ingest Template'!Q527</f>
        <v/>
      </c>
      <c r="K527" s="5" t="str">
        <f>'Ingest Template'!R527</f>
        <v/>
      </c>
      <c r="L527" s="8" t="s">
        <v>38</v>
      </c>
      <c r="M527" s="9"/>
      <c r="N527" s="5"/>
      <c r="O527" s="5"/>
      <c r="P527" s="5"/>
      <c r="Q527" s="5"/>
      <c r="R527" s="5" t="str">
        <f>'Ingest Template'!D527</f>
        <v/>
      </c>
      <c r="S527" s="5" t="str">
        <f>'Ingest Template'!G527</f>
        <v/>
      </c>
      <c r="T527" s="5" t="str">
        <f>'Ingest Template'!H527</f>
        <v/>
      </c>
      <c r="U527" s="5" t="str">
        <f>LOWER(SUBSTITUTE(SUBSTITUTE(SUBSTITUTE(SUBSTITUTE(SUBSTITUTE('Ingest Template'!I527,"https:",""),"www.",""),"/",""),"?hl=en",""),"instagram.com",""))</f>
        <v/>
      </c>
      <c r="V527" s="10" t="str">
        <f>'Ingest Template'!J527</f>
        <v/>
      </c>
      <c r="W527" s="10" t="str">
        <f>'Ingest Template'!K527</f>
        <v/>
      </c>
      <c r="X527" s="5"/>
      <c r="Y527" s="5" t="str">
        <f>SUBSTITUTE(SUBSTITUTE(SUBSTITUTE('Ingest Template'!L527,"http:",""),"https:",""),"/","")</f>
        <v/>
      </c>
      <c r="Z527" s="5" t="str">
        <f t="array" ref="Z527">IF('Ingest Template'!A527="Standard",(IF(ISBLANK('Ingest Template'!M527),"", 'Ingest Template'!M527&amp;"|DAR")),(IF(ISBLANK('Ingest Template'!M527),"", 'Ingest Template'!M527&amp;"|Operations - Core Title")))</f>
        <v/>
      </c>
      <c r="AA527" s="5"/>
      <c r="AB527" s="5" t="str">
        <f>'Ingest Template'!F527</f>
        <v/>
      </c>
      <c r="AC527" s="5"/>
      <c r="AD527" s="5"/>
      <c r="AE527" s="5"/>
      <c r="AF527" s="8"/>
      <c r="AG527" s="5" t="str">
        <f t="array" ref="AG527">IF('Ingest Template'!A527="Standard",(CONCATENATE(IF(ISBLANK('Ingest Template'!N527),"", 'Ingest Template'!N527&amp;"|DAR"),CHAR(10), IF(ISBLANK('Ingest Template'!O527),"", 'Ingest Template'!O527&amp;"|DAR"),CHAR(10), IF(ISBLANK('Ingest Template'!P527),"", 'Ingest Template'!P527&amp;"|DAR"))),(CONCATENATE(IF(ISBLANK('Ingest Template'!N527),"", 'Ingest Template'!N527&amp;"|Operations - Core Title"),CHAR(10), IF(ISBLANK('Ingest Template'!O527),"", 'Ingest Template'!O527&amp;"|Operations - Core Title"),CHAR(10), IF(ISBLANK('Ingest Template'!P527),"", 'Ingest Template'!P527&amp;"|Operations - Core Title"))))</f>
        <v>#|Operations - Core Title
</v>
      </c>
      <c r="AH527" s="5"/>
      <c r="AI527" s="5"/>
      <c r="AJ527" s="5"/>
      <c r="AK527" s="5"/>
      <c r="AL527" s="5"/>
    </row>
    <row r="528">
      <c r="A528" s="5"/>
      <c r="B528" s="5" t="str">
        <f>'Ingest Template'!B528&amp;IF('Ingest Template'!A528 = "Standard", " - DAR","")</f>
        <v/>
      </c>
      <c r="C528" s="6" t="str">
        <f>'Ingest Template'!C528</f>
        <v/>
      </c>
      <c r="D528" s="7" t="str">
        <f>'Ingest Template'!E528</f>
        <v/>
      </c>
      <c r="E528" s="5"/>
      <c r="F528" s="5"/>
      <c r="G528" s="5"/>
      <c r="H528" s="7"/>
      <c r="I528" s="5"/>
      <c r="J528" s="7" t="str">
        <f>'Ingest Template'!Q528</f>
        <v/>
      </c>
      <c r="K528" s="5" t="str">
        <f>'Ingest Template'!R528</f>
        <v/>
      </c>
      <c r="L528" s="8" t="s">
        <v>38</v>
      </c>
      <c r="M528" s="9"/>
      <c r="N528" s="5"/>
      <c r="O528" s="5"/>
      <c r="P528" s="5"/>
      <c r="Q528" s="5"/>
      <c r="R528" s="5" t="str">
        <f>'Ingest Template'!D528</f>
        <v/>
      </c>
      <c r="S528" s="5" t="str">
        <f>'Ingest Template'!G528</f>
        <v/>
      </c>
      <c r="T528" s="5" t="str">
        <f>'Ingest Template'!H528</f>
        <v/>
      </c>
      <c r="U528" s="5" t="str">
        <f>LOWER(SUBSTITUTE(SUBSTITUTE(SUBSTITUTE(SUBSTITUTE(SUBSTITUTE('Ingest Template'!I528,"https:",""),"www.",""),"/",""),"?hl=en",""),"instagram.com",""))</f>
        <v/>
      </c>
      <c r="V528" s="10" t="str">
        <f>'Ingest Template'!J528</f>
        <v/>
      </c>
      <c r="W528" s="10" t="str">
        <f>'Ingest Template'!K528</f>
        <v/>
      </c>
      <c r="X528" s="5"/>
      <c r="Y528" s="5" t="str">
        <f>SUBSTITUTE(SUBSTITUTE(SUBSTITUTE('Ingest Template'!L528,"http:",""),"https:",""),"/","")</f>
        <v/>
      </c>
      <c r="Z528" s="5" t="str">
        <f t="array" ref="Z528">IF('Ingest Template'!A528="Standard",(IF(ISBLANK('Ingest Template'!M528),"", 'Ingest Template'!M528&amp;"|DAR")),(IF(ISBLANK('Ingest Template'!M528),"", 'Ingest Template'!M528&amp;"|Operations - Core Title")))</f>
        <v/>
      </c>
      <c r="AA528" s="5"/>
      <c r="AB528" s="5" t="str">
        <f>'Ingest Template'!F528</f>
        <v/>
      </c>
      <c r="AC528" s="5"/>
      <c r="AD528" s="5"/>
      <c r="AE528" s="5"/>
      <c r="AF528" s="8"/>
      <c r="AG528" s="5" t="str">
        <f t="array" ref="AG528">IF('Ingest Template'!A528="Standard",(CONCATENATE(IF(ISBLANK('Ingest Template'!N528),"", 'Ingest Template'!N528&amp;"|DAR"),CHAR(10), IF(ISBLANK('Ingest Template'!O528),"", 'Ingest Template'!O528&amp;"|DAR"),CHAR(10), IF(ISBLANK('Ingest Template'!P528),"", 'Ingest Template'!P528&amp;"|DAR"))),(CONCATENATE(IF(ISBLANK('Ingest Template'!N528),"", 'Ingest Template'!N528&amp;"|Operations - Core Title"),CHAR(10), IF(ISBLANK('Ingest Template'!O528),"", 'Ingest Template'!O528&amp;"|Operations - Core Title"),CHAR(10), IF(ISBLANK('Ingest Template'!P528),"", 'Ingest Template'!P528&amp;"|Operations - Core Title"))))</f>
        <v>#|Operations - Core Title
</v>
      </c>
      <c r="AH528" s="5"/>
      <c r="AI528" s="5"/>
      <c r="AJ528" s="5"/>
      <c r="AK528" s="5"/>
      <c r="AL528" s="5"/>
    </row>
    <row r="529">
      <c r="A529" s="5"/>
      <c r="B529" s="5" t="str">
        <f>'Ingest Template'!B529&amp;IF('Ingest Template'!A529 = "Standard", " - DAR","")</f>
        <v/>
      </c>
      <c r="C529" s="6" t="str">
        <f>'Ingest Template'!C529</f>
        <v/>
      </c>
      <c r="D529" s="7" t="str">
        <f>'Ingest Template'!E529</f>
        <v/>
      </c>
      <c r="E529" s="5"/>
      <c r="F529" s="5"/>
      <c r="G529" s="5"/>
      <c r="H529" s="7"/>
      <c r="I529" s="5"/>
      <c r="J529" s="7" t="str">
        <f>'Ingest Template'!Q529</f>
        <v/>
      </c>
      <c r="K529" s="5" t="str">
        <f>'Ingest Template'!R529</f>
        <v/>
      </c>
      <c r="L529" s="8" t="s">
        <v>38</v>
      </c>
      <c r="M529" s="9"/>
      <c r="N529" s="5"/>
      <c r="O529" s="5"/>
      <c r="P529" s="5"/>
      <c r="Q529" s="5"/>
      <c r="R529" s="5" t="str">
        <f>'Ingest Template'!D529</f>
        <v/>
      </c>
      <c r="S529" s="5" t="str">
        <f>'Ingest Template'!G529</f>
        <v/>
      </c>
      <c r="T529" s="5" t="str">
        <f>'Ingest Template'!H529</f>
        <v/>
      </c>
      <c r="U529" s="5" t="str">
        <f>LOWER(SUBSTITUTE(SUBSTITUTE(SUBSTITUTE(SUBSTITUTE(SUBSTITUTE('Ingest Template'!I529,"https:",""),"www.",""),"/",""),"?hl=en",""),"instagram.com",""))</f>
        <v/>
      </c>
      <c r="V529" s="10" t="str">
        <f>'Ingest Template'!J529</f>
        <v/>
      </c>
      <c r="W529" s="10" t="str">
        <f>'Ingest Template'!K529</f>
        <v/>
      </c>
      <c r="X529" s="5"/>
      <c r="Y529" s="5" t="str">
        <f>SUBSTITUTE(SUBSTITUTE(SUBSTITUTE('Ingest Template'!L529,"http:",""),"https:",""),"/","")</f>
        <v/>
      </c>
      <c r="Z529" s="5" t="str">
        <f t="array" ref="Z529">IF('Ingest Template'!A529="Standard",(IF(ISBLANK('Ingest Template'!M529),"", 'Ingest Template'!M529&amp;"|DAR")),(IF(ISBLANK('Ingest Template'!M529),"", 'Ingest Template'!M529&amp;"|Operations - Core Title")))</f>
        <v/>
      </c>
      <c r="AA529" s="5"/>
      <c r="AB529" s="5" t="str">
        <f>'Ingest Template'!F529</f>
        <v/>
      </c>
      <c r="AC529" s="5"/>
      <c r="AD529" s="5"/>
      <c r="AE529" s="5"/>
      <c r="AF529" s="8"/>
      <c r="AG529" s="5" t="str">
        <f t="array" ref="AG529">IF('Ingest Template'!A529="Standard",(CONCATENATE(IF(ISBLANK('Ingest Template'!N529),"", 'Ingest Template'!N529&amp;"|DAR"),CHAR(10), IF(ISBLANK('Ingest Template'!O529),"", 'Ingest Template'!O529&amp;"|DAR"),CHAR(10), IF(ISBLANK('Ingest Template'!P529),"", 'Ingest Template'!P529&amp;"|DAR"))),(CONCATENATE(IF(ISBLANK('Ingest Template'!N529),"", 'Ingest Template'!N529&amp;"|Operations - Core Title"),CHAR(10), IF(ISBLANK('Ingest Template'!O529),"", 'Ingest Template'!O529&amp;"|Operations - Core Title"),CHAR(10), IF(ISBLANK('Ingest Template'!P529),"", 'Ingest Template'!P529&amp;"|Operations - Core Title"))))</f>
        <v>#|Operations - Core Title
</v>
      </c>
      <c r="AH529" s="5"/>
      <c r="AI529" s="5"/>
      <c r="AJ529" s="5"/>
      <c r="AK529" s="5"/>
      <c r="AL529" s="5"/>
    </row>
    <row r="530">
      <c r="A530" s="5"/>
      <c r="B530" s="5" t="str">
        <f>'Ingest Template'!B530&amp;IF('Ingest Template'!A530 = "Standard", " - DAR","")</f>
        <v/>
      </c>
      <c r="C530" s="6" t="str">
        <f>'Ingest Template'!C530</f>
        <v/>
      </c>
      <c r="D530" s="7" t="str">
        <f>'Ingest Template'!E530</f>
        <v/>
      </c>
      <c r="E530" s="5"/>
      <c r="F530" s="5"/>
      <c r="G530" s="5"/>
      <c r="H530" s="7"/>
      <c r="I530" s="5"/>
      <c r="J530" s="7" t="str">
        <f>'Ingest Template'!Q530</f>
        <v/>
      </c>
      <c r="K530" s="5" t="str">
        <f>'Ingest Template'!R530</f>
        <v/>
      </c>
      <c r="L530" s="8" t="s">
        <v>38</v>
      </c>
      <c r="M530" s="9"/>
      <c r="N530" s="5"/>
      <c r="O530" s="5"/>
      <c r="P530" s="5"/>
      <c r="Q530" s="5"/>
      <c r="R530" s="5" t="str">
        <f>'Ingest Template'!D530</f>
        <v/>
      </c>
      <c r="S530" s="5" t="str">
        <f>'Ingest Template'!G530</f>
        <v/>
      </c>
      <c r="T530" s="5" t="str">
        <f>'Ingest Template'!H530</f>
        <v/>
      </c>
      <c r="U530" s="5" t="str">
        <f>LOWER(SUBSTITUTE(SUBSTITUTE(SUBSTITUTE(SUBSTITUTE(SUBSTITUTE('Ingest Template'!I530,"https:",""),"www.",""),"/",""),"?hl=en",""),"instagram.com",""))</f>
        <v/>
      </c>
      <c r="V530" s="10" t="str">
        <f>'Ingest Template'!J530</f>
        <v/>
      </c>
      <c r="W530" s="10" t="str">
        <f>'Ingest Template'!K530</f>
        <v/>
      </c>
      <c r="X530" s="5"/>
      <c r="Y530" s="5" t="str">
        <f>SUBSTITUTE(SUBSTITUTE(SUBSTITUTE('Ingest Template'!L530,"http:",""),"https:",""),"/","")</f>
        <v/>
      </c>
      <c r="Z530" s="5" t="str">
        <f t="array" ref="Z530">IF('Ingest Template'!A530="Standard",(IF(ISBLANK('Ingest Template'!M530),"", 'Ingest Template'!M530&amp;"|DAR")),(IF(ISBLANK('Ingest Template'!M530),"", 'Ingest Template'!M530&amp;"|Operations - Core Title")))</f>
        <v/>
      </c>
      <c r="AA530" s="5"/>
      <c r="AB530" s="5" t="str">
        <f>'Ingest Template'!F530</f>
        <v/>
      </c>
      <c r="AC530" s="5"/>
      <c r="AD530" s="5"/>
      <c r="AE530" s="5"/>
      <c r="AF530" s="8"/>
      <c r="AG530" s="5" t="str">
        <f t="array" ref="AG530">IF('Ingest Template'!A530="Standard",(CONCATENATE(IF(ISBLANK('Ingest Template'!N530),"", 'Ingest Template'!N530&amp;"|DAR"),CHAR(10), IF(ISBLANK('Ingest Template'!O530),"", 'Ingest Template'!O530&amp;"|DAR"),CHAR(10), IF(ISBLANK('Ingest Template'!P530),"", 'Ingest Template'!P530&amp;"|DAR"))),(CONCATENATE(IF(ISBLANK('Ingest Template'!N530),"", 'Ingest Template'!N530&amp;"|Operations - Core Title"),CHAR(10), IF(ISBLANK('Ingest Template'!O530),"", 'Ingest Template'!O530&amp;"|Operations - Core Title"),CHAR(10), IF(ISBLANK('Ingest Template'!P530),"", 'Ingest Template'!P530&amp;"|Operations - Core Title"))))</f>
        <v>#|Operations - Core Title
</v>
      </c>
      <c r="AH530" s="5"/>
      <c r="AI530" s="5"/>
      <c r="AJ530" s="5"/>
      <c r="AK530" s="5"/>
      <c r="AL530" s="5"/>
    </row>
    <row r="531">
      <c r="A531" s="5"/>
      <c r="B531" s="5" t="str">
        <f>'Ingest Template'!B531&amp;IF('Ingest Template'!A531 = "Standard", " - DAR","")</f>
        <v/>
      </c>
      <c r="C531" s="6" t="str">
        <f>'Ingest Template'!C531</f>
        <v/>
      </c>
      <c r="D531" s="7" t="str">
        <f>'Ingest Template'!E531</f>
        <v/>
      </c>
      <c r="E531" s="5"/>
      <c r="F531" s="5"/>
      <c r="G531" s="5"/>
      <c r="H531" s="7"/>
      <c r="I531" s="5"/>
      <c r="J531" s="7" t="str">
        <f>'Ingest Template'!Q531</f>
        <v/>
      </c>
      <c r="K531" s="5" t="str">
        <f>'Ingest Template'!R531</f>
        <v/>
      </c>
      <c r="L531" s="8" t="s">
        <v>38</v>
      </c>
      <c r="M531" s="9"/>
      <c r="N531" s="5"/>
      <c r="O531" s="5"/>
      <c r="P531" s="5"/>
      <c r="Q531" s="5"/>
      <c r="R531" s="5" t="str">
        <f>'Ingest Template'!D531</f>
        <v/>
      </c>
      <c r="S531" s="5" t="str">
        <f>'Ingest Template'!G531</f>
        <v/>
      </c>
      <c r="T531" s="5" t="str">
        <f>'Ingest Template'!H531</f>
        <v/>
      </c>
      <c r="U531" s="5" t="str">
        <f>LOWER(SUBSTITUTE(SUBSTITUTE(SUBSTITUTE(SUBSTITUTE(SUBSTITUTE('Ingest Template'!I531,"https:",""),"www.",""),"/",""),"?hl=en",""),"instagram.com",""))</f>
        <v/>
      </c>
      <c r="V531" s="10" t="str">
        <f>'Ingest Template'!J531</f>
        <v/>
      </c>
      <c r="W531" s="10" t="str">
        <f>'Ingest Template'!K531</f>
        <v/>
      </c>
      <c r="X531" s="5"/>
      <c r="Y531" s="5" t="str">
        <f>SUBSTITUTE(SUBSTITUTE(SUBSTITUTE('Ingest Template'!L531,"http:",""),"https:",""),"/","")</f>
        <v/>
      </c>
      <c r="Z531" s="5" t="str">
        <f t="array" ref="Z531">IF('Ingest Template'!A531="Standard",(IF(ISBLANK('Ingest Template'!M531),"", 'Ingest Template'!M531&amp;"|DAR")),(IF(ISBLANK('Ingest Template'!M531),"", 'Ingest Template'!M531&amp;"|Operations - Core Title")))</f>
        <v/>
      </c>
      <c r="AA531" s="5"/>
      <c r="AB531" s="5" t="str">
        <f>'Ingest Template'!F531</f>
        <v/>
      </c>
      <c r="AC531" s="5"/>
      <c r="AD531" s="5"/>
      <c r="AE531" s="5"/>
      <c r="AF531" s="8"/>
      <c r="AG531" s="5" t="str">
        <f t="array" ref="AG531">IF('Ingest Template'!A531="Standard",(CONCATENATE(IF(ISBLANK('Ingest Template'!N531),"", 'Ingest Template'!N531&amp;"|DAR"),CHAR(10), IF(ISBLANK('Ingest Template'!O531),"", 'Ingest Template'!O531&amp;"|DAR"),CHAR(10), IF(ISBLANK('Ingest Template'!P531),"", 'Ingest Template'!P531&amp;"|DAR"))),(CONCATENATE(IF(ISBLANK('Ingest Template'!N531),"", 'Ingest Template'!N531&amp;"|Operations - Core Title"),CHAR(10), IF(ISBLANK('Ingest Template'!O531),"", 'Ingest Template'!O531&amp;"|Operations - Core Title"),CHAR(10), IF(ISBLANK('Ingest Template'!P531),"", 'Ingest Template'!P531&amp;"|Operations - Core Title"))))</f>
        <v>#|Operations - Core Title
</v>
      </c>
      <c r="AH531" s="5"/>
      <c r="AI531" s="5"/>
      <c r="AJ531" s="5"/>
      <c r="AK531" s="5"/>
      <c r="AL531" s="5"/>
    </row>
    <row r="532">
      <c r="A532" s="5"/>
      <c r="B532" s="5" t="str">
        <f>'Ingest Template'!B532&amp;IF('Ingest Template'!A532 = "Standard", " - DAR","")</f>
        <v/>
      </c>
      <c r="C532" s="6" t="str">
        <f>'Ingest Template'!C532</f>
        <v/>
      </c>
      <c r="D532" s="7" t="str">
        <f>'Ingest Template'!E532</f>
        <v/>
      </c>
      <c r="E532" s="5"/>
      <c r="F532" s="5"/>
      <c r="G532" s="5"/>
      <c r="H532" s="7"/>
      <c r="I532" s="5"/>
      <c r="J532" s="7" t="str">
        <f>'Ingest Template'!Q532</f>
        <v/>
      </c>
      <c r="K532" s="5" t="str">
        <f>'Ingest Template'!R532</f>
        <v/>
      </c>
      <c r="L532" s="8" t="s">
        <v>38</v>
      </c>
      <c r="M532" s="9"/>
      <c r="N532" s="5"/>
      <c r="O532" s="5"/>
      <c r="P532" s="5"/>
      <c r="Q532" s="5"/>
      <c r="R532" s="5" t="str">
        <f>'Ingest Template'!D532</f>
        <v/>
      </c>
      <c r="S532" s="5" t="str">
        <f>'Ingest Template'!G532</f>
        <v/>
      </c>
      <c r="T532" s="5" t="str">
        <f>'Ingest Template'!H532</f>
        <v/>
      </c>
      <c r="U532" s="5" t="str">
        <f>LOWER(SUBSTITUTE(SUBSTITUTE(SUBSTITUTE(SUBSTITUTE(SUBSTITUTE('Ingest Template'!I532,"https:",""),"www.",""),"/",""),"?hl=en",""),"instagram.com",""))</f>
        <v/>
      </c>
      <c r="V532" s="10" t="str">
        <f>'Ingest Template'!J532</f>
        <v/>
      </c>
      <c r="W532" s="10" t="str">
        <f>'Ingest Template'!K532</f>
        <v/>
      </c>
      <c r="X532" s="5"/>
      <c r="Y532" s="5" t="str">
        <f>SUBSTITUTE(SUBSTITUTE(SUBSTITUTE('Ingest Template'!L532,"http:",""),"https:",""),"/","")</f>
        <v/>
      </c>
      <c r="Z532" s="5" t="str">
        <f t="array" ref="Z532">IF('Ingest Template'!A532="Standard",(IF(ISBLANK('Ingest Template'!M532),"", 'Ingest Template'!M532&amp;"|DAR")),(IF(ISBLANK('Ingest Template'!M532),"", 'Ingest Template'!M532&amp;"|Operations - Core Title")))</f>
        <v/>
      </c>
      <c r="AA532" s="5"/>
      <c r="AB532" s="5" t="str">
        <f>'Ingest Template'!F532</f>
        <v/>
      </c>
      <c r="AC532" s="5"/>
      <c r="AD532" s="5"/>
      <c r="AE532" s="5"/>
      <c r="AF532" s="8"/>
      <c r="AG532" s="5" t="str">
        <f t="array" ref="AG532">IF('Ingest Template'!A532="Standard",(CONCATENATE(IF(ISBLANK('Ingest Template'!N532),"", 'Ingest Template'!N532&amp;"|DAR"),CHAR(10), IF(ISBLANK('Ingest Template'!O532),"", 'Ingest Template'!O532&amp;"|DAR"),CHAR(10), IF(ISBLANK('Ingest Template'!P532),"", 'Ingest Template'!P532&amp;"|DAR"))),(CONCATENATE(IF(ISBLANK('Ingest Template'!N532),"", 'Ingest Template'!N532&amp;"|Operations - Core Title"),CHAR(10), IF(ISBLANK('Ingest Template'!O532),"", 'Ingest Template'!O532&amp;"|Operations - Core Title"),CHAR(10), IF(ISBLANK('Ingest Template'!P532),"", 'Ingest Template'!P532&amp;"|Operations - Core Title"))))</f>
        <v>#|Operations - Core Title
</v>
      </c>
      <c r="AH532" s="5"/>
      <c r="AI532" s="5"/>
      <c r="AJ532" s="5"/>
      <c r="AK532" s="5"/>
      <c r="AL532" s="5"/>
    </row>
    <row r="533">
      <c r="A533" s="5"/>
      <c r="B533" s="5" t="str">
        <f>'Ingest Template'!B533&amp;IF('Ingest Template'!A533 = "Standard", " - DAR","")</f>
        <v/>
      </c>
      <c r="C533" s="6" t="str">
        <f>'Ingest Template'!C533</f>
        <v/>
      </c>
      <c r="D533" s="7" t="str">
        <f>'Ingest Template'!E533</f>
        <v/>
      </c>
      <c r="E533" s="5"/>
      <c r="F533" s="5"/>
      <c r="G533" s="5"/>
      <c r="H533" s="7"/>
      <c r="I533" s="5"/>
      <c r="J533" s="7" t="str">
        <f>'Ingest Template'!Q533</f>
        <v/>
      </c>
      <c r="K533" s="5" t="str">
        <f>'Ingest Template'!R533</f>
        <v/>
      </c>
      <c r="L533" s="8" t="s">
        <v>38</v>
      </c>
      <c r="M533" s="9"/>
      <c r="N533" s="5"/>
      <c r="O533" s="5"/>
      <c r="P533" s="5"/>
      <c r="Q533" s="5"/>
      <c r="R533" s="5" t="str">
        <f>'Ingest Template'!D533</f>
        <v/>
      </c>
      <c r="S533" s="5" t="str">
        <f>'Ingest Template'!G533</f>
        <v/>
      </c>
      <c r="T533" s="5" t="str">
        <f>'Ingest Template'!H533</f>
        <v/>
      </c>
      <c r="U533" s="5" t="str">
        <f>LOWER(SUBSTITUTE(SUBSTITUTE(SUBSTITUTE(SUBSTITUTE(SUBSTITUTE('Ingest Template'!I533,"https:",""),"www.",""),"/",""),"?hl=en",""),"instagram.com",""))</f>
        <v/>
      </c>
      <c r="V533" s="10" t="str">
        <f>'Ingest Template'!J533</f>
        <v/>
      </c>
      <c r="W533" s="10" t="str">
        <f>'Ingest Template'!K533</f>
        <v/>
      </c>
      <c r="X533" s="5"/>
      <c r="Y533" s="5" t="str">
        <f>SUBSTITUTE(SUBSTITUTE(SUBSTITUTE('Ingest Template'!L533,"http:",""),"https:",""),"/","")</f>
        <v/>
      </c>
      <c r="Z533" s="5" t="str">
        <f t="array" ref="Z533">IF('Ingest Template'!A533="Standard",(IF(ISBLANK('Ingest Template'!M533),"", 'Ingest Template'!M533&amp;"|DAR")),(IF(ISBLANK('Ingest Template'!M533),"", 'Ingest Template'!M533&amp;"|Operations - Core Title")))</f>
        <v/>
      </c>
      <c r="AA533" s="5"/>
      <c r="AB533" s="5" t="str">
        <f>'Ingest Template'!F533</f>
        <v/>
      </c>
      <c r="AC533" s="5"/>
      <c r="AD533" s="5"/>
      <c r="AE533" s="5"/>
      <c r="AF533" s="8"/>
      <c r="AG533" s="5" t="str">
        <f t="array" ref="AG533">IF('Ingest Template'!A533="Standard",(CONCATENATE(IF(ISBLANK('Ingest Template'!N533),"", 'Ingest Template'!N533&amp;"|DAR"),CHAR(10), IF(ISBLANK('Ingest Template'!O533),"", 'Ingest Template'!O533&amp;"|DAR"),CHAR(10), IF(ISBLANK('Ingest Template'!P533),"", 'Ingest Template'!P533&amp;"|DAR"))),(CONCATENATE(IF(ISBLANK('Ingest Template'!N533),"", 'Ingest Template'!N533&amp;"|Operations - Core Title"),CHAR(10), IF(ISBLANK('Ingest Template'!O533),"", 'Ingest Template'!O533&amp;"|Operations - Core Title"),CHAR(10), IF(ISBLANK('Ingest Template'!P533),"", 'Ingest Template'!P533&amp;"|Operations - Core Title"))))</f>
        <v>#|Operations - Core Title
</v>
      </c>
      <c r="AH533" s="5"/>
      <c r="AI533" s="5"/>
      <c r="AJ533" s="5"/>
      <c r="AK533" s="5"/>
      <c r="AL533" s="5"/>
    </row>
    <row r="534">
      <c r="A534" s="5"/>
      <c r="B534" s="5" t="str">
        <f>'Ingest Template'!B534&amp;IF('Ingest Template'!A534 = "Standard", " - DAR","")</f>
        <v/>
      </c>
      <c r="C534" s="6" t="str">
        <f>'Ingest Template'!C534</f>
        <v/>
      </c>
      <c r="D534" s="7" t="str">
        <f>'Ingest Template'!E534</f>
        <v/>
      </c>
      <c r="E534" s="5"/>
      <c r="F534" s="5"/>
      <c r="G534" s="5"/>
      <c r="H534" s="7"/>
      <c r="I534" s="5"/>
      <c r="J534" s="7" t="str">
        <f>'Ingest Template'!Q534</f>
        <v/>
      </c>
      <c r="K534" s="5" t="str">
        <f>'Ingest Template'!R534</f>
        <v/>
      </c>
      <c r="L534" s="8" t="s">
        <v>38</v>
      </c>
      <c r="M534" s="9"/>
      <c r="N534" s="5"/>
      <c r="O534" s="5"/>
      <c r="P534" s="5"/>
      <c r="Q534" s="5"/>
      <c r="R534" s="5" t="str">
        <f>'Ingest Template'!D534</f>
        <v/>
      </c>
      <c r="S534" s="5" t="str">
        <f>'Ingest Template'!G534</f>
        <v/>
      </c>
      <c r="T534" s="5" t="str">
        <f>'Ingest Template'!H534</f>
        <v/>
      </c>
      <c r="U534" s="5" t="str">
        <f>LOWER(SUBSTITUTE(SUBSTITUTE(SUBSTITUTE(SUBSTITUTE(SUBSTITUTE('Ingest Template'!I534,"https:",""),"www.",""),"/",""),"?hl=en",""),"instagram.com",""))</f>
        <v/>
      </c>
      <c r="V534" s="10" t="str">
        <f>'Ingest Template'!J534</f>
        <v/>
      </c>
      <c r="W534" s="10" t="str">
        <f>'Ingest Template'!K534</f>
        <v/>
      </c>
      <c r="X534" s="5"/>
      <c r="Y534" s="5" t="str">
        <f>SUBSTITUTE(SUBSTITUTE(SUBSTITUTE('Ingest Template'!L534,"http:",""),"https:",""),"/","")</f>
        <v/>
      </c>
      <c r="Z534" s="5" t="str">
        <f t="array" ref="Z534">IF('Ingest Template'!A534="Standard",(IF(ISBLANK('Ingest Template'!M534),"", 'Ingest Template'!M534&amp;"|DAR")),(IF(ISBLANK('Ingest Template'!M534),"", 'Ingest Template'!M534&amp;"|Operations - Core Title")))</f>
        <v/>
      </c>
      <c r="AA534" s="5"/>
      <c r="AB534" s="5" t="str">
        <f>'Ingest Template'!F534</f>
        <v/>
      </c>
      <c r="AC534" s="5"/>
      <c r="AD534" s="5"/>
      <c r="AE534" s="5"/>
      <c r="AF534" s="8"/>
      <c r="AG534" s="5" t="str">
        <f t="array" ref="AG534">IF('Ingest Template'!A534="Standard",(CONCATENATE(IF(ISBLANK('Ingest Template'!N534),"", 'Ingest Template'!N534&amp;"|DAR"),CHAR(10), IF(ISBLANK('Ingest Template'!O534),"", 'Ingest Template'!O534&amp;"|DAR"),CHAR(10), IF(ISBLANK('Ingest Template'!P534),"", 'Ingest Template'!P534&amp;"|DAR"))),(CONCATENATE(IF(ISBLANK('Ingest Template'!N534),"", 'Ingest Template'!N534&amp;"|Operations - Core Title"),CHAR(10), IF(ISBLANK('Ingest Template'!O534),"", 'Ingest Template'!O534&amp;"|Operations - Core Title"),CHAR(10), IF(ISBLANK('Ingest Template'!P534),"", 'Ingest Template'!P534&amp;"|Operations - Core Title"))))</f>
        <v>#|Operations - Core Title
</v>
      </c>
      <c r="AH534" s="5"/>
      <c r="AI534" s="5"/>
      <c r="AJ534" s="5"/>
      <c r="AK534" s="5"/>
      <c r="AL534" s="5"/>
    </row>
    <row r="535">
      <c r="A535" s="5"/>
      <c r="B535" s="5" t="str">
        <f>'Ingest Template'!B535&amp;IF('Ingest Template'!A535 = "Standard", " - DAR","")</f>
        <v/>
      </c>
      <c r="C535" s="6" t="str">
        <f>'Ingest Template'!C535</f>
        <v/>
      </c>
      <c r="D535" s="7" t="str">
        <f>'Ingest Template'!E535</f>
        <v/>
      </c>
      <c r="E535" s="5"/>
      <c r="F535" s="5"/>
      <c r="G535" s="5"/>
      <c r="H535" s="7"/>
      <c r="I535" s="5"/>
      <c r="J535" s="7" t="str">
        <f>'Ingest Template'!Q535</f>
        <v/>
      </c>
      <c r="K535" s="5" t="str">
        <f>'Ingest Template'!R535</f>
        <v/>
      </c>
      <c r="L535" s="8" t="s">
        <v>38</v>
      </c>
      <c r="M535" s="9"/>
      <c r="N535" s="5"/>
      <c r="O535" s="5"/>
      <c r="P535" s="5"/>
      <c r="Q535" s="5"/>
      <c r="R535" s="5" t="str">
        <f>'Ingest Template'!D535</f>
        <v/>
      </c>
      <c r="S535" s="5" t="str">
        <f>'Ingest Template'!G535</f>
        <v/>
      </c>
      <c r="T535" s="5" t="str">
        <f>'Ingest Template'!H535</f>
        <v/>
      </c>
      <c r="U535" s="5" t="str">
        <f>LOWER(SUBSTITUTE(SUBSTITUTE(SUBSTITUTE(SUBSTITUTE(SUBSTITUTE('Ingest Template'!I535,"https:",""),"www.",""),"/",""),"?hl=en",""),"instagram.com",""))</f>
        <v/>
      </c>
      <c r="V535" s="10" t="str">
        <f>'Ingest Template'!J535</f>
        <v/>
      </c>
      <c r="W535" s="10" t="str">
        <f>'Ingest Template'!K535</f>
        <v/>
      </c>
      <c r="X535" s="5"/>
      <c r="Y535" s="5" t="str">
        <f>SUBSTITUTE(SUBSTITUTE(SUBSTITUTE('Ingest Template'!L535,"http:",""),"https:",""),"/","")</f>
        <v/>
      </c>
      <c r="Z535" s="5" t="str">
        <f t="array" ref="Z535">IF('Ingest Template'!A535="Standard",(IF(ISBLANK('Ingest Template'!M535),"", 'Ingest Template'!M535&amp;"|DAR")),(IF(ISBLANK('Ingest Template'!M535),"", 'Ingest Template'!M535&amp;"|Operations - Core Title")))</f>
        <v/>
      </c>
      <c r="AA535" s="5"/>
      <c r="AB535" s="5" t="str">
        <f>'Ingest Template'!F535</f>
        <v/>
      </c>
      <c r="AC535" s="5"/>
      <c r="AD535" s="5"/>
      <c r="AE535" s="5"/>
      <c r="AF535" s="8"/>
      <c r="AG535" s="5" t="str">
        <f t="array" ref="AG535">IF('Ingest Template'!A535="Standard",(CONCATENATE(IF(ISBLANK('Ingest Template'!N535),"", 'Ingest Template'!N535&amp;"|DAR"),CHAR(10), IF(ISBLANK('Ingest Template'!O535),"", 'Ingest Template'!O535&amp;"|DAR"),CHAR(10), IF(ISBLANK('Ingest Template'!P535),"", 'Ingest Template'!P535&amp;"|DAR"))),(CONCATENATE(IF(ISBLANK('Ingest Template'!N535),"", 'Ingest Template'!N535&amp;"|Operations - Core Title"),CHAR(10), IF(ISBLANK('Ingest Template'!O535),"", 'Ingest Template'!O535&amp;"|Operations - Core Title"),CHAR(10), IF(ISBLANK('Ingest Template'!P535),"", 'Ingest Template'!P535&amp;"|Operations - Core Title"))))</f>
        <v>#|Operations - Core Title
</v>
      </c>
      <c r="AH535" s="5"/>
      <c r="AI535" s="5"/>
      <c r="AJ535" s="5"/>
      <c r="AK535" s="5"/>
      <c r="AL535" s="5"/>
    </row>
    <row r="536">
      <c r="A536" s="5"/>
      <c r="B536" s="5" t="str">
        <f>'Ingest Template'!B536&amp;IF('Ingest Template'!A536 = "Standard", " - DAR","")</f>
        <v/>
      </c>
      <c r="C536" s="6" t="str">
        <f>'Ingest Template'!C536</f>
        <v/>
      </c>
      <c r="D536" s="7" t="str">
        <f>'Ingest Template'!E536</f>
        <v/>
      </c>
      <c r="E536" s="5"/>
      <c r="F536" s="5"/>
      <c r="G536" s="5"/>
      <c r="H536" s="7"/>
      <c r="I536" s="5"/>
      <c r="J536" s="7" t="str">
        <f>'Ingest Template'!Q536</f>
        <v/>
      </c>
      <c r="K536" s="5" t="str">
        <f>'Ingest Template'!R536</f>
        <v/>
      </c>
      <c r="L536" s="8" t="s">
        <v>38</v>
      </c>
      <c r="M536" s="9"/>
      <c r="N536" s="5"/>
      <c r="O536" s="5"/>
      <c r="P536" s="5"/>
      <c r="Q536" s="5"/>
      <c r="R536" s="5" t="str">
        <f>'Ingest Template'!D536</f>
        <v/>
      </c>
      <c r="S536" s="5" t="str">
        <f>'Ingest Template'!G536</f>
        <v/>
      </c>
      <c r="T536" s="5" t="str">
        <f>'Ingest Template'!H536</f>
        <v/>
      </c>
      <c r="U536" s="5" t="str">
        <f>LOWER(SUBSTITUTE(SUBSTITUTE(SUBSTITUTE(SUBSTITUTE(SUBSTITUTE('Ingest Template'!I536,"https:",""),"www.",""),"/",""),"?hl=en",""),"instagram.com",""))</f>
        <v/>
      </c>
      <c r="V536" s="10" t="str">
        <f>'Ingest Template'!J536</f>
        <v/>
      </c>
      <c r="W536" s="10" t="str">
        <f>'Ingest Template'!K536</f>
        <v/>
      </c>
      <c r="X536" s="5"/>
      <c r="Y536" s="5" t="str">
        <f>SUBSTITUTE(SUBSTITUTE(SUBSTITUTE('Ingest Template'!L536,"http:",""),"https:",""),"/","")</f>
        <v/>
      </c>
      <c r="Z536" s="5" t="str">
        <f t="array" ref="Z536">IF('Ingest Template'!A536="Standard",(IF(ISBLANK('Ingest Template'!M536),"", 'Ingest Template'!M536&amp;"|DAR")),(IF(ISBLANK('Ingest Template'!M536),"", 'Ingest Template'!M536&amp;"|Operations - Core Title")))</f>
        <v/>
      </c>
      <c r="AA536" s="5"/>
      <c r="AB536" s="5" t="str">
        <f>'Ingest Template'!F536</f>
        <v/>
      </c>
      <c r="AC536" s="5"/>
      <c r="AD536" s="5"/>
      <c r="AE536" s="5"/>
      <c r="AF536" s="8"/>
      <c r="AG536" s="5" t="str">
        <f t="array" ref="AG536">IF('Ingest Template'!A536="Standard",(CONCATENATE(IF(ISBLANK('Ingest Template'!N536),"", 'Ingest Template'!N536&amp;"|DAR"),CHAR(10), IF(ISBLANK('Ingest Template'!O536),"", 'Ingest Template'!O536&amp;"|DAR"),CHAR(10), IF(ISBLANK('Ingest Template'!P536),"", 'Ingest Template'!P536&amp;"|DAR"))),(CONCATENATE(IF(ISBLANK('Ingest Template'!N536),"", 'Ingest Template'!N536&amp;"|Operations - Core Title"),CHAR(10), IF(ISBLANK('Ingest Template'!O536),"", 'Ingest Template'!O536&amp;"|Operations - Core Title"),CHAR(10), IF(ISBLANK('Ingest Template'!P536),"", 'Ingest Template'!P536&amp;"|Operations - Core Title"))))</f>
        <v>#|Operations - Core Title
</v>
      </c>
      <c r="AH536" s="5"/>
      <c r="AI536" s="5"/>
      <c r="AJ536" s="5"/>
      <c r="AK536" s="5"/>
      <c r="AL536" s="5"/>
    </row>
    <row r="537">
      <c r="A537" s="5"/>
      <c r="B537" s="5" t="str">
        <f>'Ingest Template'!B537&amp;IF('Ingest Template'!A537 = "Standard", " - DAR","")</f>
        <v/>
      </c>
      <c r="C537" s="6" t="str">
        <f>'Ingest Template'!C537</f>
        <v/>
      </c>
      <c r="D537" s="7" t="str">
        <f>'Ingest Template'!E537</f>
        <v/>
      </c>
      <c r="E537" s="5"/>
      <c r="F537" s="5"/>
      <c r="G537" s="5"/>
      <c r="H537" s="7"/>
      <c r="I537" s="5"/>
      <c r="J537" s="7" t="str">
        <f>'Ingest Template'!Q537</f>
        <v/>
      </c>
      <c r="K537" s="5" t="str">
        <f>'Ingest Template'!R537</f>
        <v/>
      </c>
      <c r="L537" s="8" t="s">
        <v>38</v>
      </c>
      <c r="M537" s="9"/>
      <c r="N537" s="5"/>
      <c r="O537" s="5"/>
      <c r="P537" s="5"/>
      <c r="Q537" s="5"/>
      <c r="R537" s="5" t="str">
        <f>'Ingest Template'!D537</f>
        <v/>
      </c>
      <c r="S537" s="5" t="str">
        <f>'Ingest Template'!G537</f>
        <v/>
      </c>
      <c r="T537" s="5" t="str">
        <f>'Ingest Template'!H537</f>
        <v/>
      </c>
      <c r="U537" s="5" t="str">
        <f>LOWER(SUBSTITUTE(SUBSTITUTE(SUBSTITUTE(SUBSTITUTE(SUBSTITUTE('Ingest Template'!I537,"https:",""),"www.",""),"/",""),"?hl=en",""),"instagram.com",""))</f>
        <v/>
      </c>
      <c r="V537" s="10" t="str">
        <f>'Ingest Template'!J537</f>
        <v/>
      </c>
      <c r="W537" s="10" t="str">
        <f>'Ingest Template'!K537</f>
        <v/>
      </c>
      <c r="X537" s="5"/>
      <c r="Y537" s="5" t="str">
        <f>SUBSTITUTE(SUBSTITUTE(SUBSTITUTE('Ingest Template'!L537,"http:",""),"https:",""),"/","")</f>
        <v/>
      </c>
      <c r="Z537" s="5" t="str">
        <f t="array" ref="Z537">IF('Ingest Template'!A537="Standard",(IF(ISBLANK('Ingest Template'!M537),"", 'Ingest Template'!M537&amp;"|DAR")),(IF(ISBLANK('Ingest Template'!M537),"", 'Ingest Template'!M537&amp;"|Operations - Core Title")))</f>
        <v/>
      </c>
      <c r="AA537" s="5"/>
      <c r="AB537" s="5" t="str">
        <f>'Ingest Template'!F537</f>
        <v/>
      </c>
      <c r="AC537" s="5"/>
      <c r="AD537" s="5"/>
      <c r="AE537" s="5"/>
      <c r="AF537" s="8"/>
      <c r="AG537" s="5" t="str">
        <f t="array" ref="AG537">IF('Ingest Template'!A537="Standard",(CONCATENATE(IF(ISBLANK('Ingest Template'!N537),"", 'Ingest Template'!N537&amp;"|DAR"),CHAR(10), IF(ISBLANK('Ingest Template'!O537),"", 'Ingest Template'!O537&amp;"|DAR"),CHAR(10), IF(ISBLANK('Ingest Template'!P537),"", 'Ingest Template'!P537&amp;"|DAR"))),(CONCATENATE(IF(ISBLANK('Ingest Template'!N537),"", 'Ingest Template'!N537&amp;"|Operations - Core Title"),CHAR(10), IF(ISBLANK('Ingest Template'!O537),"", 'Ingest Template'!O537&amp;"|Operations - Core Title"),CHAR(10), IF(ISBLANK('Ingest Template'!P537),"", 'Ingest Template'!P537&amp;"|Operations - Core Title"))))</f>
        <v>#|Operations - Core Title
</v>
      </c>
      <c r="AH537" s="5"/>
      <c r="AI537" s="5"/>
      <c r="AJ537" s="5"/>
      <c r="AK537" s="5"/>
      <c r="AL537" s="5"/>
    </row>
    <row r="538">
      <c r="A538" s="5"/>
      <c r="B538" s="5" t="str">
        <f>'Ingest Template'!B538&amp;IF('Ingest Template'!A538 = "Standard", " - DAR","")</f>
        <v/>
      </c>
      <c r="C538" s="6" t="str">
        <f>'Ingest Template'!C538</f>
        <v/>
      </c>
      <c r="D538" s="7" t="str">
        <f>'Ingest Template'!E538</f>
        <v/>
      </c>
      <c r="E538" s="5"/>
      <c r="F538" s="5"/>
      <c r="G538" s="5"/>
      <c r="H538" s="7"/>
      <c r="I538" s="5"/>
      <c r="J538" s="7" t="str">
        <f>'Ingest Template'!Q538</f>
        <v/>
      </c>
      <c r="K538" s="5" t="str">
        <f>'Ingest Template'!R538</f>
        <v/>
      </c>
      <c r="L538" s="8" t="s">
        <v>38</v>
      </c>
      <c r="M538" s="9"/>
      <c r="N538" s="5"/>
      <c r="O538" s="5"/>
      <c r="P538" s="5"/>
      <c r="Q538" s="5"/>
      <c r="R538" s="5" t="str">
        <f>'Ingest Template'!D538</f>
        <v/>
      </c>
      <c r="S538" s="5" t="str">
        <f>'Ingest Template'!G538</f>
        <v/>
      </c>
      <c r="T538" s="5" t="str">
        <f>'Ingest Template'!H538</f>
        <v/>
      </c>
      <c r="U538" s="5" t="str">
        <f>LOWER(SUBSTITUTE(SUBSTITUTE(SUBSTITUTE(SUBSTITUTE(SUBSTITUTE('Ingest Template'!I538,"https:",""),"www.",""),"/",""),"?hl=en",""),"instagram.com",""))</f>
        <v/>
      </c>
      <c r="V538" s="10" t="str">
        <f>'Ingest Template'!J538</f>
        <v/>
      </c>
      <c r="W538" s="10" t="str">
        <f>'Ingest Template'!K538</f>
        <v/>
      </c>
      <c r="X538" s="5"/>
      <c r="Y538" s="5" t="str">
        <f>SUBSTITUTE(SUBSTITUTE(SUBSTITUTE('Ingest Template'!L538,"http:",""),"https:",""),"/","")</f>
        <v/>
      </c>
      <c r="Z538" s="5" t="str">
        <f t="array" ref="Z538">IF('Ingest Template'!A538="Standard",(IF(ISBLANK('Ingest Template'!M538),"", 'Ingest Template'!M538&amp;"|DAR")),(IF(ISBLANK('Ingest Template'!M538),"", 'Ingest Template'!M538&amp;"|Operations - Core Title")))</f>
        <v/>
      </c>
      <c r="AA538" s="5"/>
      <c r="AB538" s="5" t="str">
        <f>'Ingest Template'!F538</f>
        <v/>
      </c>
      <c r="AC538" s="5"/>
      <c r="AD538" s="5"/>
      <c r="AE538" s="5"/>
      <c r="AF538" s="8"/>
      <c r="AG538" s="5" t="str">
        <f t="array" ref="AG538">IF('Ingest Template'!A538="Standard",(CONCATENATE(IF(ISBLANK('Ingest Template'!N538),"", 'Ingest Template'!N538&amp;"|DAR"),CHAR(10), IF(ISBLANK('Ingest Template'!O538),"", 'Ingest Template'!O538&amp;"|DAR"),CHAR(10), IF(ISBLANK('Ingest Template'!P538),"", 'Ingest Template'!P538&amp;"|DAR"))),(CONCATENATE(IF(ISBLANK('Ingest Template'!N538),"", 'Ingest Template'!N538&amp;"|Operations - Core Title"),CHAR(10), IF(ISBLANK('Ingest Template'!O538),"", 'Ingest Template'!O538&amp;"|Operations - Core Title"),CHAR(10), IF(ISBLANK('Ingest Template'!P538),"", 'Ingest Template'!P538&amp;"|Operations - Core Title"))))</f>
        <v>#|Operations - Core Title
</v>
      </c>
      <c r="AH538" s="5"/>
      <c r="AI538" s="5"/>
      <c r="AJ538" s="5"/>
      <c r="AK538" s="5"/>
      <c r="AL538" s="5"/>
    </row>
    <row r="539">
      <c r="A539" s="5"/>
      <c r="B539" s="5" t="str">
        <f>'Ingest Template'!B539&amp;IF('Ingest Template'!A539 = "Standard", " - DAR","")</f>
        <v/>
      </c>
      <c r="C539" s="6" t="str">
        <f>'Ingest Template'!C539</f>
        <v/>
      </c>
      <c r="D539" s="7" t="str">
        <f>'Ingest Template'!E539</f>
        <v/>
      </c>
      <c r="E539" s="5"/>
      <c r="F539" s="5"/>
      <c r="G539" s="5"/>
      <c r="H539" s="7"/>
      <c r="I539" s="5"/>
      <c r="J539" s="7" t="str">
        <f>'Ingest Template'!Q539</f>
        <v/>
      </c>
      <c r="K539" s="5" t="str">
        <f>'Ingest Template'!R539</f>
        <v/>
      </c>
      <c r="L539" s="8" t="s">
        <v>38</v>
      </c>
      <c r="M539" s="9"/>
      <c r="N539" s="5"/>
      <c r="O539" s="5"/>
      <c r="P539" s="5"/>
      <c r="Q539" s="5"/>
      <c r="R539" s="5" t="str">
        <f>'Ingest Template'!D539</f>
        <v/>
      </c>
      <c r="S539" s="5" t="str">
        <f>'Ingest Template'!G539</f>
        <v/>
      </c>
      <c r="T539" s="5" t="str">
        <f>'Ingest Template'!H539</f>
        <v/>
      </c>
      <c r="U539" s="5" t="str">
        <f>LOWER(SUBSTITUTE(SUBSTITUTE(SUBSTITUTE(SUBSTITUTE(SUBSTITUTE('Ingest Template'!I539,"https:",""),"www.",""),"/",""),"?hl=en",""),"instagram.com",""))</f>
        <v/>
      </c>
      <c r="V539" s="10" t="str">
        <f>'Ingest Template'!J539</f>
        <v/>
      </c>
      <c r="W539" s="10" t="str">
        <f>'Ingest Template'!K539</f>
        <v/>
      </c>
      <c r="X539" s="5"/>
      <c r="Y539" s="5" t="str">
        <f>SUBSTITUTE(SUBSTITUTE(SUBSTITUTE('Ingest Template'!L539,"http:",""),"https:",""),"/","")</f>
        <v/>
      </c>
      <c r="Z539" s="5" t="str">
        <f t="array" ref="Z539">IF('Ingest Template'!A539="Standard",(IF(ISBLANK('Ingest Template'!M539),"", 'Ingest Template'!M539&amp;"|DAR")),(IF(ISBLANK('Ingest Template'!M539),"", 'Ingest Template'!M539&amp;"|Operations - Core Title")))</f>
        <v/>
      </c>
      <c r="AA539" s="5"/>
      <c r="AB539" s="5" t="str">
        <f>'Ingest Template'!F539</f>
        <v/>
      </c>
      <c r="AC539" s="5"/>
      <c r="AD539" s="5"/>
      <c r="AE539" s="5"/>
      <c r="AF539" s="8"/>
      <c r="AG539" s="5" t="str">
        <f t="array" ref="AG539">IF('Ingest Template'!A539="Standard",(CONCATENATE(IF(ISBLANK('Ingest Template'!N539),"", 'Ingest Template'!N539&amp;"|DAR"),CHAR(10), IF(ISBLANK('Ingest Template'!O539),"", 'Ingest Template'!O539&amp;"|DAR"),CHAR(10), IF(ISBLANK('Ingest Template'!P539),"", 'Ingest Template'!P539&amp;"|DAR"))),(CONCATENATE(IF(ISBLANK('Ingest Template'!N539),"", 'Ingest Template'!N539&amp;"|Operations - Core Title"),CHAR(10), IF(ISBLANK('Ingest Template'!O539),"", 'Ingest Template'!O539&amp;"|Operations - Core Title"),CHAR(10), IF(ISBLANK('Ingest Template'!P539),"", 'Ingest Template'!P539&amp;"|Operations - Core Title"))))</f>
        <v>#|Operations - Core Title
</v>
      </c>
      <c r="AH539" s="5"/>
      <c r="AI539" s="5"/>
      <c r="AJ539" s="5"/>
      <c r="AK539" s="5"/>
      <c r="AL539" s="5"/>
    </row>
    <row r="540">
      <c r="A540" s="5"/>
      <c r="B540" s="5" t="str">
        <f>'Ingest Template'!B540&amp;IF('Ingest Template'!A540 = "Standard", " - DAR","")</f>
        <v/>
      </c>
      <c r="C540" s="6" t="str">
        <f>'Ingest Template'!C540</f>
        <v/>
      </c>
      <c r="D540" s="7" t="str">
        <f>'Ingest Template'!E540</f>
        <v/>
      </c>
      <c r="E540" s="5"/>
      <c r="F540" s="5"/>
      <c r="G540" s="5"/>
      <c r="H540" s="7"/>
      <c r="I540" s="5"/>
      <c r="J540" s="7" t="str">
        <f>'Ingest Template'!Q540</f>
        <v/>
      </c>
      <c r="K540" s="5" t="str">
        <f>'Ingest Template'!R540</f>
        <v/>
      </c>
      <c r="L540" s="8" t="s">
        <v>38</v>
      </c>
      <c r="M540" s="9"/>
      <c r="N540" s="5"/>
      <c r="O540" s="5"/>
      <c r="P540" s="5"/>
      <c r="Q540" s="5"/>
      <c r="R540" s="5" t="str">
        <f>'Ingest Template'!D540</f>
        <v/>
      </c>
      <c r="S540" s="5" t="str">
        <f>'Ingest Template'!G540</f>
        <v/>
      </c>
      <c r="T540" s="5" t="str">
        <f>'Ingest Template'!H540</f>
        <v/>
      </c>
      <c r="U540" s="5" t="str">
        <f>LOWER(SUBSTITUTE(SUBSTITUTE(SUBSTITUTE(SUBSTITUTE(SUBSTITUTE('Ingest Template'!I540,"https:",""),"www.",""),"/",""),"?hl=en",""),"instagram.com",""))</f>
        <v/>
      </c>
      <c r="V540" s="10" t="str">
        <f>'Ingest Template'!J540</f>
        <v/>
      </c>
      <c r="W540" s="10" t="str">
        <f>'Ingest Template'!K540</f>
        <v/>
      </c>
      <c r="X540" s="5"/>
      <c r="Y540" s="5" t="str">
        <f>SUBSTITUTE(SUBSTITUTE(SUBSTITUTE('Ingest Template'!L540,"http:",""),"https:",""),"/","")</f>
        <v/>
      </c>
      <c r="Z540" s="5" t="str">
        <f t="array" ref="Z540">IF('Ingest Template'!A540="Standard",(IF(ISBLANK('Ingest Template'!M540),"", 'Ingest Template'!M540&amp;"|DAR")),(IF(ISBLANK('Ingest Template'!M540),"", 'Ingest Template'!M540&amp;"|Operations - Core Title")))</f>
        <v/>
      </c>
      <c r="AA540" s="5"/>
      <c r="AB540" s="5" t="str">
        <f>'Ingest Template'!F540</f>
        <v/>
      </c>
      <c r="AC540" s="5"/>
      <c r="AD540" s="5"/>
      <c r="AE540" s="5"/>
      <c r="AF540" s="8"/>
      <c r="AG540" s="5" t="str">
        <f t="array" ref="AG540">IF('Ingest Template'!A540="Standard",(CONCATENATE(IF(ISBLANK('Ingest Template'!N540),"", 'Ingest Template'!N540&amp;"|DAR"),CHAR(10), IF(ISBLANK('Ingest Template'!O540),"", 'Ingest Template'!O540&amp;"|DAR"),CHAR(10), IF(ISBLANK('Ingest Template'!P540),"", 'Ingest Template'!P540&amp;"|DAR"))),(CONCATENATE(IF(ISBLANK('Ingest Template'!N540),"", 'Ingest Template'!N540&amp;"|Operations - Core Title"),CHAR(10), IF(ISBLANK('Ingest Template'!O540),"", 'Ingest Template'!O540&amp;"|Operations - Core Title"),CHAR(10), IF(ISBLANK('Ingest Template'!P540),"", 'Ingest Template'!P540&amp;"|Operations - Core Title"))))</f>
        <v>#|Operations - Core Title
</v>
      </c>
      <c r="AH540" s="5"/>
      <c r="AI540" s="5"/>
      <c r="AJ540" s="5"/>
      <c r="AK540" s="5"/>
      <c r="AL540" s="5"/>
    </row>
    <row r="541">
      <c r="A541" s="5"/>
      <c r="B541" s="5" t="str">
        <f>'Ingest Template'!B541&amp;IF('Ingest Template'!A541 = "Standard", " - DAR","")</f>
        <v/>
      </c>
      <c r="C541" s="6" t="str">
        <f>'Ingest Template'!C541</f>
        <v/>
      </c>
      <c r="D541" s="7" t="str">
        <f>'Ingest Template'!E541</f>
        <v/>
      </c>
      <c r="E541" s="5"/>
      <c r="F541" s="5"/>
      <c r="G541" s="5"/>
      <c r="H541" s="7"/>
      <c r="I541" s="5"/>
      <c r="J541" s="7" t="str">
        <f>'Ingest Template'!Q541</f>
        <v/>
      </c>
      <c r="K541" s="5" t="str">
        <f>'Ingest Template'!R541</f>
        <v/>
      </c>
      <c r="L541" s="8" t="s">
        <v>38</v>
      </c>
      <c r="M541" s="9"/>
      <c r="N541" s="5"/>
      <c r="O541" s="5"/>
      <c r="P541" s="5"/>
      <c r="Q541" s="5"/>
      <c r="R541" s="5" t="str">
        <f>'Ingest Template'!D541</f>
        <v/>
      </c>
      <c r="S541" s="5" t="str">
        <f>'Ingest Template'!G541</f>
        <v/>
      </c>
      <c r="T541" s="5" t="str">
        <f>'Ingest Template'!H541</f>
        <v/>
      </c>
      <c r="U541" s="5" t="str">
        <f>LOWER(SUBSTITUTE(SUBSTITUTE(SUBSTITUTE(SUBSTITUTE(SUBSTITUTE('Ingest Template'!I541,"https:",""),"www.",""),"/",""),"?hl=en",""),"instagram.com",""))</f>
        <v/>
      </c>
      <c r="V541" s="10" t="str">
        <f>'Ingest Template'!J541</f>
        <v/>
      </c>
      <c r="W541" s="10" t="str">
        <f>'Ingest Template'!K541</f>
        <v/>
      </c>
      <c r="X541" s="5"/>
      <c r="Y541" s="5" t="str">
        <f>SUBSTITUTE(SUBSTITUTE(SUBSTITUTE('Ingest Template'!L541,"http:",""),"https:",""),"/","")</f>
        <v/>
      </c>
      <c r="Z541" s="5" t="str">
        <f t="array" ref="Z541">IF('Ingest Template'!A541="Standard",(IF(ISBLANK('Ingest Template'!M541),"", 'Ingest Template'!M541&amp;"|DAR")),(IF(ISBLANK('Ingest Template'!M541),"", 'Ingest Template'!M541&amp;"|Operations - Core Title")))</f>
        <v/>
      </c>
      <c r="AA541" s="5"/>
      <c r="AB541" s="5" t="str">
        <f>'Ingest Template'!F541</f>
        <v/>
      </c>
      <c r="AC541" s="5"/>
      <c r="AD541" s="5"/>
      <c r="AE541" s="5"/>
      <c r="AF541" s="8"/>
      <c r="AG541" s="5" t="str">
        <f t="array" ref="AG541">IF('Ingest Template'!A541="Standard",(CONCATENATE(IF(ISBLANK('Ingest Template'!N541),"", 'Ingest Template'!N541&amp;"|DAR"),CHAR(10), IF(ISBLANK('Ingest Template'!O541),"", 'Ingest Template'!O541&amp;"|DAR"),CHAR(10), IF(ISBLANK('Ingest Template'!P541),"", 'Ingest Template'!P541&amp;"|DAR"))),(CONCATENATE(IF(ISBLANK('Ingest Template'!N541),"", 'Ingest Template'!N541&amp;"|Operations - Core Title"),CHAR(10), IF(ISBLANK('Ingest Template'!O541),"", 'Ingest Template'!O541&amp;"|Operations - Core Title"),CHAR(10), IF(ISBLANK('Ingest Template'!P541),"", 'Ingest Template'!P541&amp;"|Operations - Core Title"))))</f>
        <v>#|Operations - Core Title
</v>
      </c>
      <c r="AH541" s="5"/>
      <c r="AI541" s="5"/>
      <c r="AJ541" s="5"/>
      <c r="AK541" s="5"/>
      <c r="AL541" s="5"/>
    </row>
    <row r="542">
      <c r="A542" s="5"/>
      <c r="B542" s="5" t="str">
        <f>'Ingest Template'!B542&amp;IF('Ingest Template'!A542 = "Standard", " - DAR","")</f>
        <v/>
      </c>
      <c r="C542" s="6" t="str">
        <f>'Ingest Template'!C542</f>
        <v/>
      </c>
      <c r="D542" s="7" t="str">
        <f>'Ingest Template'!E542</f>
        <v/>
      </c>
      <c r="E542" s="5"/>
      <c r="F542" s="5"/>
      <c r="G542" s="5"/>
      <c r="H542" s="7"/>
      <c r="I542" s="5"/>
      <c r="J542" s="7" t="str">
        <f>'Ingest Template'!Q542</f>
        <v/>
      </c>
      <c r="K542" s="5" t="str">
        <f>'Ingest Template'!R542</f>
        <v/>
      </c>
      <c r="L542" s="8" t="s">
        <v>38</v>
      </c>
      <c r="M542" s="9"/>
      <c r="N542" s="5"/>
      <c r="O542" s="5"/>
      <c r="P542" s="5"/>
      <c r="Q542" s="5"/>
      <c r="R542" s="5" t="str">
        <f>'Ingest Template'!D542</f>
        <v/>
      </c>
      <c r="S542" s="5" t="str">
        <f>'Ingest Template'!G542</f>
        <v/>
      </c>
      <c r="T542" s="5" t="str">
        <f>'Ingest Template'!H542</f>
        <v/>
      </c>
      <c r="U542" s="5" t="str">
        <f>LOWER(SUBSTITUTE(SUBSTITUTE(SUBSTITUTE(SUBSTITUTE(SUBSTITUTE('Ingest Template'!I542,"https:",""),"www.",""),"/",""),"?hl=en",""),"instagram.com",""))</f>
        <v/>
      </c>
      <c r="V542" s="10" t="str">
        <f>'Ingest Template'!J542</f>
        <v/>
      </c>
      <c r="W542" s="10" t="str">
        <f>'Ingest Template'!K542</f>
        <v/>
      </c>
      <c r="X542" s="5"/>
      <c r="Y542" s="5" t="str">
        <f>SUBSTITUTE(SUBSTITUTE(SUBSTITUTE('Ingest Template'!L542,"http:",""),"https:",""),"/","")</f>
        <v/>
      </c>
      <c r="Z542" s="5" t="str">
        <f t="array" ref="Z542">IF('Ingest Template'!A542="Standard",(IF(ISBLANK('Ingest Template'!M542),"", 'Ingest Template'!M542&amp;"|DAR")),(IF(ISBLANK('Ingest Template'!M542),"", 'Ingest Template'!M542&amp;"|Operations - Core Title")))</f>
        <v/>
      </c>
      <c r="AA542" s="5"/>
      <c r="AB542" s="5" t="str">
        <f>'Ingest Template'!F542</f>
        <v/>
      </c>
      <c r="AC542" s="5"/>
      <c r="AD542" s="5"/>
      <c r="AE542" s="5"/>
      <c r="AF542" s="8"/>
      <c r="AG542" s="5" t="str">
        <f t="array" ref="AG542">IF('Ingest Template'!A542="Standard",(CONCATENATE(IF(ISBLANK('Ingest Template'!N542),"", 'Ingest Template'!N542&amp;"|DAR"),CHAR(10), IF(ISBLANK('Ingest Template'!O542),"", 'Ingest Template'!O542&amp;"|DAR"),CHAR(10), IF(ISBLANK('Ingest Template'!P542),"", 'Ingest Template'!P542&amp;"|DAR"))),(CONCATENATE(IF(ISBLANK('Ingest Template'!N542),"", 'Ingest Template'!N542&amp;"|Operations - Core Title"),CHAR(10), IF(ISBLANK('Ingest Template'!O542),"", 'Ingest Template'!O542&amp;"|Operations - Core Title"),CHAR(10), IF(ISBLANK('Ingest Template'!P542),"", 'Ingest Template'!P542&amp;"|Operations - Core Title"))))</f>
        <v>#|Operations - Core Title
</v>
      </c>
      <c r="AH542" s="5"/>
      <c r="AI542" s="5"/>
      <c r="AJ542" s="5"/>
      <c r="AK542" s="5"/>
      <c r="AL542" s="5"/>
    </row>
    <row r="543">
      <c r="A543" s="5"/>
      <c r="B543" s="5" t="str">
        <f>'Ingest Template'!B543&amp;IF('Ingest Template'!A543 = "Standard", " - DAR","")</f>
        <v/>
      </c>
      <c r="C543" s="6" t="str">
        <f>'Ingest Template'!C543</f>
        <v/>
      </c>
      <c r="D543" s="7" t="str">
        <f>'Ingest Template'!E543</f>
        <v/>
      </c>
      <c r="E543" s="5"/>
      <c r="F543" s="5"/>
      <c r="G543" s="5"/>
      <c r="H543" s="7"/>
      <c r="I543" s="5"/>
      <c r="J543" s="7" t="str">
        <f>'Ingest Template'!Q543</f>
        <v/>
      </c>
      <c r="K543" s="5" t="str">
        <f>'Ingest Template'!R543</f>
        <v/>
      </c>
      <c r="L543" s="8" t="s">
        <v>38</v>
      </c>
      <c r="M543" s="9"/>
      <c r="N543" s="5"/>
      <c r="O543" s="5"/>
      <c r="P543" s="5"/>
      <c r="Q543" s="5"/>
      <c r="R543" s="5" t="str">
        <f>'Ingest Template'!D543</f>
        <v/>
      </c>
      <c r="S543" s="5" t="str">
        <f>'Ingest Template'!G543</f>
        <v/>
      </c>
      <c r="T543" s="5" t="str">
        <f>'Ingest Template'!H543</f>
        <v/>
      </c>
      <c r="U543" s="5" t="str">
        <f>LOWER(SUBSTITUTE(SUBSTITUTE(SUBSTITUTE(SUBSTITUTE(SUBSTITUTE('Ingest Template'!I543,"https:",""),"www.",""),"/",""),"?hl=en",""),"instagram.com",""))</f>
        <v/>
      </c>
      <c r="V543" s="10" t="str">
        <f>'Ingest Template'!J543</f>
        <v/>
      </c>
      <c r="W543" s="10" t="str">
        <f>'Ingest Template'!K543</f>
        <v/>
      </c>
      <c r="X543" s="5"/>
      <c r="Y543" s="5" t="str">
        <f>SUBSTITUTE(SUBSTITUTE(SUBSTITUTE('Ingest Template'!L543,"http:",""),"https:",""),"/","")</f>
        <v/>
      </c>
      <c r="Z543" s="5" t="str">
        <f t="array" ref="Z543">IF('Ingest Template'!A543="Standard",(IF(ISBLANK('Ingest Template'!M543),"", 'Ingest Template'!M543&amp;"|DAR")),(IF(ISBLANK('Ingest Template'!M543),"", 'Ingest Template'!M543&amp;"|Operations - Core Title")))</f>
        <v/>
      </c>
      <c r="AA543" s="5"/>
      <c r="AB543" s="5" t="str">
        <f>'Ingest Template'!F543</f>
        <v/>
      </c>
      <c r="AC543" s="5"/>
      <c r="AD543" s="5"/>
      <c r="AE543" s="5"/>
      <c r="AF543" s="8"/>
      <c r="AG543" s="5" t="str">
        <f t="array" ref="AG543">IF('Ingest Template'!A543="Standard",(CONCATENATE(IF(ISBLANK('Ingest Template'!N543),"", 'Ingest Template'!N543&amp;"|DAR"),CHAR(10), IF(ISBLANK('Ingest Template'!O543),"", 'Ingest Template'!O543&amp;"|DAR"),CHAR(10), IF(ISBLANK('Ingest Template'!P543),"", 'Ingest Template'!P543&amp;"|DAR"))),(CONCATENATE(IF(ISBLANK('Ingest Template'!N543),"", 'Ingest Template'!N543&amp;"|Operations - Core Title"),CHAR(10), IF(ISBLANK('Ingest Template'!O543),"", 'Ingest Template'!O543&amp;"|Operations - Core Title"),CHAR(10), IF(ISBLANK('Ingest Template'!P543),"", 'Ingest Template'!P543&amp;"|Operations - Core Title"))))</f>
        <v>#|Operations - Core Title
</v>
      </c>
      <c r="AH543" s="5"/>
      <c r="AI543" s="5"/>
      <c r="AJ543" s="5"/>
      <c r="AK543" s="5"/>
      <c r="AL543" s="5"/>
    </row>
    <row r="544">
      <c r="A544" s="5"/>
      <c r="B544" s="5" t="str">
        <f>'Ingest Template'!B544&amp;IF('Ingest Template'!A544 = "Standard", " - DAR","")</f>
        <v/>
      </c>
      <c r="C544" s="6" t="str">
        <f>'Ingest Template'!C544</f>
        <v/>
      </c>
      <c r="D544" s="7" t="str">
        <f>'Ingest Template'!E544</f>
        <v/>
      </c>
      <c r="E544" s="5"/>
      <c r="F544" s="5"/>
      <c r="G544" s="5"/>
      <c r="H544" s="7"/>
      <c r="I544" s="5"/>
      <c r="J544" s="7" t="str">
        <f>'Ingest Template'!Q544</f>
        <v/>
      </c>
      <c r="K544" s="5" t="str">
        <f>'Ingest Template'!R544</f>
        <v/>
      </c>
      <c r="L544" s="8" t="s">
        <v>38</v>
      </c>
      <c r="M544" s="9"/>
      <c r="N544" s="5"/>
      <c r="O544" s="5"/>
      <c r="P544" s="5"/>
      <c r="Q544" s="5"/>
      <c r="R544" s="5" t="str">
        <f>'Ingest Template'!D544</f>
        <v/>
      </c>
      <c r="S544" s="5" t="str">
        <f>'Ingest Template'!G544</f>
        <v/>
      </c>
      <c r="T544" s="5" t="str">
        <f>'Ingest Template'!H544</f>
        <v/>
      </c>
      <c r="U544" s="5" t="str">
        <f>LOWER(SUBSTITUTE(SUBSTITUTE(SUBSTITUTE(SUBSTITUTE(SUBSTITUTE('Ingest Template'!I544,"https:",""),"www.",""),"/",""),"?hl=en",""),"instagram.com",""))</f>
        <v/>
      </c>
      <c r="V544" s="10" t="str">
        <f>'Ingest Template'!J544</f>
        <v/>
      </c>
      <c r="W544" s="10" t="str">
        <f>'Ingest Template'!K544</f>
        <v/>
      </c>
      <c r="X544" s="5"/>
      <c r="Y544" s="5" t="str">
        <f>SUBSTITUTE(SUBSTITUTE(SUBSTITUTE('Ingest Template'!L544,"http:",""),"https:",""),"/","")</f>
        <v/>
      </c>
      <c r="Z544" s="5" t="str">
        <f t="array" ref="Z544">IF('Ingest Template'!A544="Standard",(IF(ISBLANK('Ingest Template'!M544),"", 'Ingest Template'!M544&amp;"|DAR")),(IF(ISBLANK('Ingest Template'!M544),"", 'Ingest Template'!M544&amp;"|Operations - Core Title")))</f>
        <v/>
      </c>
      <c r="AA544" s="5"/>
      <c r="AB544" s="5" t="str">
        <f>'Ingest Template'!F544</f>
        <v/>
      </c>
      <c r="AC544" s="5"/>
      <c r="AD544" s="5"/>
      <c r="AE544" s="5"/>
      <c r="AF544" s="8"/>
      <c r="AG544" s="5" t="str">
        <f t="array" ref="AG544">IF('Ingest Template'!A544="Standard",(CONCATENATE(IF(ISBLANK('Ingest Template'!N544),"", 'Ingest Template'!N544&amp;"|DAR"),CHAR(10), IF(ISBLANK('Ingest Template'!O544),"", 'Ingest Template'!O544&amp;"|DAR"),CHAR(10), IF(ISBLANK('Ingest Template'!P544),"", 'Ingest Template'!P544&amp;"|DAR"))),(CONCATENATE(IF(ISBLANK('Ingest Template'!N544),"", 'Ingest Template'!N544&amp;"|Operations - Core Title"),CHAR(10), IF(ISBLANK('Ingest Template'!O544),"", 'Ingest Template'!O544&amp;"|Operations - Core Title"),CHAR(10), IF(ISBLANK('Ingest Template'!P544),"", 'Ingest Template'!P544&amp;"|Operations - Core Title"))))</f>
        <v>#|Operations - Core Title
</v>
      </c>
      <c r="AH544" s="5"/>
      <c r="AI544" s="5"/>
      <c r="AJ544" s="5"/>
      <c r="AK544" s="5"/>
      <c r="AL544" s="5"/>
    </row>
    <row r="545">
      <c r="A545" s="5"/>
      <c r="B545" s="5" t="str">
        <f>'Ingest Template'!B545&amp;IF('Ingest Template'!A545 = "Standard", " - DAR","")</f>
        <v/>
      </c>
      <c r="C545" s="6" t="str">
        <f>'Ingest Template'!C545</f>
        <v/>
      </c>
      <c r="D545" s="7" t="str">
        <f>'Ingest Template'!E545</f>
        <v/>
      </c>
      <c r="E545" s="5"/>
      <c r="F545" s="5"/>
      <c r="G545" s="5"/>
      <c r="H545" s="7"/>
      <c r="I545" s="5"/>
      <c r="J545" s="7" t="str">
        <f>'Ingest Template'!Q545</f>
        <v/>
      </c>
      <c r="K545" s="5" t="str">
        <f>'Ingest Template'!R545</f>
        <v/>
      </c>
      <c r="L545" s="8" t="s">
        <v>38</v>
      </c>
      <c r="M545" s="9"/>
      <c r="N545" s="5"/>
      <c r="O545" s="5"/>
      <c r="P545" s="5"/>
      <c r="Q545" s="5"/>
      <c r="R545" s="5" t="str">
        <f>'Ingest Template'!D545</f>
        <v/>
      </c>
      <c r="S545" s="5" t="str">
        <f>'Ingest Template'!G545</f>
        <v/>
      </c>
      <c r="T545" s="5" t="str">
        <f>'Ingest Template'!H545</f>
        <v/>
      </c>
      <c r="U545" s="5" t="str">
        <f>LOWER(SUBSTITUTE(SUBSTITUTE(SUBSTITUTE(SUBSTITUTE(SUBSTITUTE('Ingest Template'!I545,"https:",""),"www.",""),"/",""),"?hl=en",""),"instagram.com",""))</f>
        <v/>
      </c>
      <c r="V545" s="10" t="str">
        <f>'Ingest Template'!J545</f>
        <v/>
      </c>
      <c r="W545" s="10" t="str">
        <f>'Ingest Template'!K545</f>
        <v/>
      </c>
      <c r="X545" s="5"/>
      <c r="Y545" s="5" t="str">
        <f>SUBSTITUTE(SUBSTITUTE(SUBSTITUTE('Ingest Template'!L545,"http:",""),"https:",""),"/","")</f>
        <v/>
      </c>
      <c r="Z545" s="5" t="str">
        <f t="array" ref="Z545">IF('Ingest Template'!A545="Standard",(IF(ISBLANK('Ingest Template'!M545),"", 'Ingest Template'!M545&amp;"|DAR")),(IF(ISBLANK('Ingest Template'!M545),"", 'Ingest Template'!M545&amp;"|Operations - Core Title")))</f>
        <v/>
      </c>
      <c r="AA545" s="5"/>
      <c r="AB545" s="5" t="str">
        <f>'Ingest Template'!F545</f>
        <v/>
      </c>
      <c r="AC545" s="5"/>
      <c r="AD545" s="5"/>
      <c r="AE545" s="5"/>
      <c r="AF545" s="8"/>
      <c r="AG545" s="5" t="str">
        <f t="array" ref="AG545">IF('Ingest Template'!A545="Standard",(CONCATENATE(IF(ISBLANK('Ingest Template'!N545),"", 'Ingest Template'!N545&amp;"|DAR"),CHAR(10), IF(ISBLANK('Ingest Template'!O545),"", 'Ingest Template'!O545&amp;"|DAR"),CHAR(10), IF(ISBLANK('Ingest Template'!P545),"", 'Ingest Template'!P545&amp;"|DAR"))),(CONCATENATE(IF(ISBLANK('Ingest Template'!N545),"", 'Ingest Template'!N545&amp;"|Operations - Core Title"),CHAR(10), IF(ISBLANK('Ingest Template'!O545),"", 'Ingest Template'!O545&amp;"|Operations - Core Title"),CHAR(10), IF(ISBLANK('Ingest Template'!P545),"", 'Ingest Template'!P545&amp;"|Operations - Core Title"))))</f>
        <v>#|Operations - Core Title
</v>
      </c>
      <c r="AH545" s="5"/>
      <c r="AI545" s="5"/>
      <c r="AJ545" s="5"/>
      <c r="AK545" s="5"/>
      <c r="AL545" s="5"/>
    </row>
    <row r="546">
      <c r="A546" s="5"/>
      <c r="B546" s="5" t="str">
        <f>'Ingest Template'!B546&amp;IF('Ingest Template'!A546 = "Standard", " - DAR","")</f>
        <v/>
      </c>
      <c r="C546" s="6" t="str">
        <f>'Ingest Template'!C546</f>
        <v/>
      </c>
      <c r="D546" s="7" t="str">
        <f>'Ingest Template'!E546</f>
        <v/>
      </c>
      <c r="E546" s="5"/>
      <c r="F546" s="5"/>
      <c r="G546" s="5"/>
      <c r="H546" s="7"/>
      <c r="I546" s="5"/>
      <c r="J546" s="7" t="str">
        <f>'Ingest Template'!Q546</f>
        <v/>
      </c>
      <c r="K546" s="5" t="str">
        <f>'Ingest Template'!R546</f>
        <v/>
      </c>
      <c r="L546" s="8" t="s">
        <v>38</v>
      </c>
      <c r="M546" s="9"/>
      <c r="N546" s="5"/>
      <c r="O546" s="5"/>
      <c r="P546" s="5"/>
      <c r="Q546" s="5"/>
      <c r="R546" s="5" t="str">
        <f>'Ingest Template'!D546</f>
        <v/>
      </c>
      <c r="S546" s="5" t="str">
        <f>'Ingest Template'!G546</f>
        <v/>
      </c>
      <c r="T546" s="5" t="str">
        <f>'Ingest Template'!H546</f>
        <v/>
      </c>
      <c r="U546" s="5" t="str">
        <f>LOWER(SUBSTITUTE(SUBSTITUTE(SUBSTITUTE(SUBSTITUTE(SUBSTITUTE('Ingest Template'!I546,"https:",""),"www.",""),"/",""),"?hl=en",""),"instagram.com",""))</f>
        <v/>
      </c>
      <c r="V546" s="10" t="str">
        <f>'Ingest Template'!J546</f>
        <v/>
      </c>
      <c r="W546" s="10" t="str">
        <f>'Ingest Template'!K546</f>
        <v/>
      </c>
      <c r="X546" s="5"/>
      <c r="Y546" s="5" t="str">
        <f>SUBSTITUTE(SUBSTITUTE(SUBSTITUTE('Ingest Template'!L546,"http:",""),"https:",""),"/","")</f>
        <v/>
      </c>
      <c r="Z546" s="5" t="str">
        <f t="array" ref="Z546">IF('Ingest Template'!A546="Standard",(IF(ISBLANK('Ingest Template'!M546),"", 'Ingest Template'!M546&amp;"|DAR")),(IF(ISBLANK('Ingest Template'!M546),"", 'Ingest Template'!M546&amp;"|Operations - Core Title")))</f>
        <v/>
      </c>
      <c r="AA546" s="5"/>
      <c r="AB546" s="5" t="str">
        <f>'Ingest Template'!F546</f>
        <v/>
      </c>
      <c r="AC546" s="5"/>
      <c r="AD546" s="5"/>
      <c r="AE546" s="5"/>
      <c r="AF546" s="8"/>
      <c r="AG546" s="5" t="str">
        <f t="array" ref="AG546">IF('Ingest Template'!A546="Standard",(CONCATENATE(IF(ISBLANK('Ingest Template'!N546),"", 'Ingest Template'!N546&amp;"|DAR"),CHAR(10), IF(ISBLANK('Ingest Template'!O546),"", 'Ingest Template'!O546&amp;"|DAR"),CHAR(10), IF(ISBLANK('Ingest Template'!P546),"", 'Ingest Template'!P546&amp;"|DAR"))),(CONCATENATE(IF(ISBLANK('Ingest Template'!N546),"", 'Ingest Template'!N546&amp;"|Operations - Core Title"),CHAR(10), IF(ISBLANK('Ingest Template'!O546),"", 'Ingest Template'!O546&amp;"|Operations - Core Title"),CHAR(10), IF(ISBLANK('Ingest Template'!P546),"", 'Ingest Template'!P546&amp;"|Operations - Core Title"))))</f>
        <v>#|Operations - Core Title
</v>
      </c>
      <c r="AH546" s="5"/>
      <c r="AI546" s="5"/>
      <c r="AJ546" s="5"/>
      <c r="AK546" s="5"/>
      <c r="AL546" s="5"/>
    </row>
    <row r="547">
      <c r="A547" s="5"/>
      <c r="B547" s="5" t="str">
        <f>'Ingest Template'!B547&amp;IF('Ingest Template'!A547 = "Standard", " - DAR","")</f>
        <v/>
      </c>
      <c r="C547" s="6" t="str">
        <f>'Ingest Template'!C547</f>
        <v/>
      </c>
      <c r="D547" s="7" t="str">
        <f>'Ingest Template'!E547</f>
        <v/>
      </c>
      <c r="E547" s="5"/>
      <c r="F547" s="5"/>
      <c r="G547" s="5"/>
      <c r="H547" s="7"/>
      <c r="I547" s="5"/>
      <c r="J547" s="7" t="str">
        <f>'Ingest Template'!Q547</f>
        <v/>
      </c>
      <c r="K547" s="5" t="str">
        <f>'Ingest Template'!R547</f>
        <v/>
      </c>
      <c r="L547" s="8" t="s">
        <v>38</v>
      </c>
      <c r="M547" s="9"/>
      <c r="N547" s="5"/>
      <c r="O547" s="5"/>
      <c r="P547" s="5"/>
      <c r="Q547" s="5"/>
      <c r="R547" s="5" t="str">
        <f>'Ingest Template'!D547</f>
        <v/>
      </c>
      <c r="S547" s="5" t="str">
        <f>'Ingest Template'!G547</f>
        <v/>
      </c>
      <c r="T547" s="5" t="str">
        <f>'Ingest Template'!H547</f>
        <v/>
      </c>
      <c r="U547" s="5" t="str">
        <f>LOWER(SUBSTITUTE(SUBSTITUTE(SUBSTITUTE(SUBSTITUTE(SUBSTITUTE('Ingest Template'!I547,"https:",""),"www.",""),"/",""),"?hl=en",""),"instagram.com",""))</f>
        <v/>
      </c>
      <c r="V547" s="10" t="str">
        <f>'Ingest Template'!J547</f>
        <v/>
      </c>
      <c r="W547" s="10" t="str">
        <f>'Ingest Template'!K547</f>
        <v/>
      </c>
      <c r="X547" s="5"/>
      <c r="Y547" s="5" t="str">
        <f>SUBSTITUTE(SUBSTITUTE(SUBSTITUTE('Ingest Template'!L547,"http:",""),"https:",""),"/","")</f>
        <v/>
      </c>
      <c r="Z547" s="5" t="str">
        <f t="array" ref="Z547">IF('Ingest Template'!A547="Standard",(IF(ISBLANK('Ingest Template'!M547),"", 'Ingest Template'!M547&amp;"|DAR")),(IF(ISBLANK('Ingest Template'!M547),"", 'Ingest Template'!M547&amp;"|Operations - Core Title")))</f>
        <v/>
      </c>
      <c r="AA547" s="5"/>
      <c r="AB547" s="5" t="str">
        <f>'Ingest Template'!F547</f>
        <v/>
      </c>
      <c r="AC547" s="5"/>
      <c r="AD547" s="5"/>
      <c r="AE547" s="5"/>
      <c r="AF547" s="8"/>
      <c r="AG547" s="5" t="str">
        <f t="array" ref="AG547">IF('Ingest Template'!A547="Standard",(CONCATENATE(IF(ISBLANK('Ingest Template'!N547),"", 'Ingest Template'!N547&amp;"|DAR"),CHAR(10), IF(ISBLANK('Ingest Template'!O547),"", 'Ingest Template'!O547&amp;"|DAR"),CHAR(10), IF(ISBLANK('Ingest Template'!P547),"", 'Ingest Template'!P547&amp;"|DAR"))),(CONCATENATE(IF(ISBLANK('Ingest Template'!N547),"", 'Ingest Template'!N547&amp;"|Operations - Core Title"),CHAR(10), IF(ISBLANK('Ingest Template'!O547),"", 'Ingest Template'!O547&amp;"|Operations - Core Title"),CHAR(10), IF(ISBLANK('Ingest Template'!P547),"", 'Ingest Template'!P547&amp;"|Operations - Core Title"))))</f>
        <v>#|Operations - Core Title
</v>
      </c>
      <c r="AH547" s="5"/>
      <c r="AI547" s="5"/>
      <c r="AJ547" s="5"/>
      <c r="AK547" s="5"/>
      <c r="AL547" s="5"/>
    </row>
    <row r="548">
      <c r="A548" s="5"/>
      <c r="B548" s="5" t="str">
        <f>'Ingest Template'!B548&amp;IF('Ingest Template'!A548 = "Standard", " - DAR","")</f>
        <v/>
      </c>
      <c r="C548" s="6" t="str">
        <f>'Ingest Template'!C548</f>
        <v/>
      </c>
      <c r="D548" s="7" t="str">
        <f>'Ingest Template'!E548</f>
        <v/>
      </c>
      <c r="E548" s="5"/>
      <c r="F548" s="5"/>
      <c r="G548" s="5"/>
      <c r="H548" s="7"/>
      <c r="I548" s="5"/>
      <c r="J548" s="7" t="str">
        <f>'Ingest Template'!Q548</f>
        <v/>
      </c>
      <c r="K548" s="5" t="str">
        <f>'Ingest Template'!R548</f>
        <v/>
      </c>
      <c r="L548" s="8" t="s">
        <v>38</v>
      </c>
      <c r="M548" s="9"/>
      <c r="N548" s="5"/>
      <c r="O548" s="5"/>
      <c r="P548" s="5"/>
      <c r="Q548" s="5"/>
      <c r="R548" s="5" t="str">
        <f>'Ingest Template'!D548</f>
        <v/>
      </c>
      <c r="S548" s="5" t="str">
        <f>'Ingest Template'!G548</f>
        <v/>
      </c>
      <c r="T548" s="5" t="str">
        <f>'Ingest Template'!H548</f>
        <v/>
      </c>
      <c r="U548" s="5" t="str">
        <f>LOWER(SUBSTITUTE(SUBSTITUTE(SUBSTITUTE(SUBSTITUTE(SUBSTITUTE('Ingest Template'!I548,"https:",""),"www.",""),"/",""),"?hl=en",""),"instagram.com",""))</f>
        <v/>
      </c>
      <c r="V548" s="10" t="str">
        <f>'Ingest Template'!J548</f>
        <v/>
      </c>
      <c r="W548" s="10" t="str">
        <f>'Ingest Template'!K548</f>
        <v/>
      </c>
      <c r="X548" s="5"/>
      <c r="Y548" s="5" t="str">
        <f>SUBSTITUTE(SUBSTITUTE(SUBSTITUTE('Ingest Template'!L548,"http:",""),"https:",""),"/","")</f>
        <v/>
      </c>
      <c r="Z548" s="5" t="str">
        <f t="array" ref="Z548">IF('Ingest Template'!A548="Standard",(IF(ISBLANK('Ingest Template'!M548),"", 'Ingest Template'!M548&amp;"|DAR")),(IF(ISBLANK('Ingest Template'!M548),"", 'Ingest Template'!M548&amp;"|Operations - Core Title")))</f>
        <v/>
      </c>
      <c r="AA548" s="5"/>
      <c r="AB548" s="5" t="str">
        <f>'Ingest Template'!F548</f>
        <v/>
      </c>
      <c r="AC548" s="5"/>
      <c r="AD548" s="5"/>
      <c r="AE548" s="5"/>
      <c r="AF548" s="8"/>
      <c r="AG548" s="5" t="str">
        <f t="array" ref="AG548">IF('Ingest Template'!A548="Standard",(CONCATENATE(IF(ISBLANK('Ingest Template'!N548),"", 'Ingest Template'!N548&amp;"|DAR"),CHAR(10), IF(ISBLANK('Ingest Template'!O548),"", 'Ingest Template'!O548&amp;"|DAR"),CHAR(10), IF(ISBLANK('Ingest Template'!P548),"", 'Ingest Template'!P548&amp;"|DAR"))),(CONCATENATE(IF(ISBLANK('Ingest Template'!N548),"", 'Ingest Template'!N548&amp;"|Operations - Core Title"),CHAR(10), IF(ISBLANK('Ingest Template'!O548),"", 'Ingest Template'!O548&amp;"|Operations - Core Title"),CHAR(10), IF(ISBLANK('Ingest Template'!P548),"", 'Ingest Template'!P548&amp;"|Operations - Core Title"))))</f>
        <v>#|Operations - Core Title
</v>
      </c>
      <c r="AH548" s="5"/>
      <c r="AI548" s="5"/>
      <c r="AJ548" s="5"/>
      <c r="AK548" s="5"/>
      <c r="AL548" s="5"/>
    </row>
    <row r="549">
      <c r="A549" s="5"/>
      <c r="B549" s="5" t="str">
        <f>'Ingest Template'!B549&amp;IF('Ingest Template'!A549 = "Standard", " - DAR","")</f>
        <v/>
      </c>
      <c r="C549" s="6" t="str">
        <f>'Ingest Template'!C549</f>
        <v/>
      </c>
      <c r="D549" s="7" t="str">
        <f>'Ingest Template'!E549</f>
        <v/>
      </c>
      <c r="E549" s="5"/>
      <c r="F549" s="5"/>
      <c r="G549" s="5"/>
      <c r="H549" s="7"/>
      <c r="I549" s="5"/>
      <c r="J549" s="7" t="str">
        <f>'Ingest Template'!Q549</f>
        <v/>
      </c>
      <c r="K549" s="5" t="str">
        <f>'Ingest Template'!R549</f>
        <v/>
      </c>
      <c r="L549" s="8" t="s">
        <v>38</v>
      </c>
      <c r="M549" s="9"/>
      <c r="N549" s="5"/>
      <c r="O549" s="5"/>
      <c r="P549" s="5"/>
      <c r="Q549" s="5"/>
      <c r="R549" s="5" t="str">
        <f>'Ingest Template'!D549</f>
        <v/>
      </c>
      <c r="S549" s="5" t="str">
        <f>'Ingest Template'!G549</f>
        <v/>
      </c>
      <c r="T549" s="5" t="str">
        <f>'Ingest Template'!H549</f>
        <v/>
      </c>
      <c r="U549" s="5" t="str">
        <f>LOWER(SUBSTITUTE(SUBSTITUTE(SUBSTITUTE(SUBSTITUTE(SUBSTITUTE('Ingest Template'!I549,"https:",""),"www.",""),"/",""),"?hl=en",""),"instagram.com",""))</f>
        <v/>
      </c>
      <c r="V549" s="10" t="str">
        <f>'Ingest Template'!J549</f>
        <v/>
      </c>
      <c r="W549" s="10" t="str">
        <f>'Ingest Template'!K549</f>
        <v/>
      </c>
      <c r="X549" s="5"/>
      <c r="Y549" s="5" t="str">
        <f>SUBSTITUTE(SUBSTITUTE(SUBSTITUTE('Ingest Template'!L549,"http:",""),"https:",""),"/","")</f>
        <v/>
      </c>
      <c r="Z549" s="5" t="str">
        <f t="array" ref="Z549">IF('Ingest Template'!A549="Standard",(IF(ISBLANK('Ingest Template'!M549),"", 'Ingest Template'!M549&amp;"|DAR")),(IF(ISBLANK('Ingest Template'!M549),"", 'Ingest Template'!M549&amp;"|Operations - Core Title")))</f>
        <v/>
      </c>
      <c r="AA549" s="5"/>
      <c r="AB549" s="5" t="str">
        <f>'Ingest Template'!F549</f>
        <v/>
      </c>
      <c r="AC549" s="5"/>
      <c r="AD549" s="5"/>
      <c r="AE549" s="5"/>
      <c r="AF549" s="8"/>
      <c r="AG549" s="5" t="str">
        <f t="array" ref="AG549">IF('Ingest Template'!A549="Standard",(CONCATENATE(IF(ISBLANK('Ingest Template'!N549),"", 'Ingest Template'!N549&amp;"|DAR"),CHAR(10), IF(ISBLANK('Ingest Template'!O549),"", 'Ingest Template'!O549&amp;"|DAR"),CHAR(10), IF(ISBLANK('Ingest Template'!P549),"", 'Ingest Template'!P549&amp;"|DAR"))),(CONCATENATE(IF(ISBLANK('Ingest Template'!N549),"", 'Ingest Template'!N549&amp;"|Operations - Core Title"),CHAR(10), IF(ISBLANK('Ingest Template'!O549),"", 'Ingest Template'!O549&amp;"|Operations - Core Title"),CHAR(10), IF(ISBLANK('Ingest Template'!P549),"", 'Ingest Template'!P549&amp;"|Operations - Core Title"))))</f>
        <v>#|Operations - Core Title
</v>
      </c>
      <c r="AH549" s="5"/>
      <c r="AI549" s="5"/>
      <c r="AJ549" s="5"/>
      <c r="AK549" s="5"/>
      <c r="AL549" s="5"/>
    </row>
    <row r="550">
      <c r="A550" s="5"/>
      <c r="B550" s="5" t="str">
        <f>'Ingest Template'!B550&amp;IF('Ingest Template'!A550 = "Standard", " - DAR","")</f>
        <v/>
      </c>
      <c r="C550" s="6" t="str">
        <f>'Ingest Template'!C550</f>
        <v/>
      </c>
      <c r="D550" s="7" t="str">
        <f>'Ingest Template'!E550</f>
        <v/>
      </c>
      <c r="E550" s="5"/>
      <c r="F550" s="5"/>
      <c r="G550" s="5"/>
      <c r="H550" s="7"/>
      <c r="I550" s="5"/>
      <c r="J550" s="7" t="str">
        <f>'Ingest Template'!Q550</f>
        <v/>
      </c>
      <c r="K550" s="5" t="str">
        <f>'Ingest Template'!R550</f>
        <v/>
      </c>
      <c r="L550" s="8" t="s">
        <v>38</v>
      </c>
      <c r="M550" s="9"/>
      <c r="N550" s="5"/>
      <c r="O550" s="5"/>
      <c r="P550" s="5"/>
      <c r="Q550" s="5"/>
      <c r="R550" s="5" t="str">
        <f>'Ingest Template'!D550</f>
        <v/>
      </c>
      <c r="S550" s="5" t="str">
        <f>'Ingest Template'!G550</f>
        <v/>
      </c>
      <c r="T550" s="5" t="str">
        <f>'Ingest Template'!H550</f>
        <v/>
      </c>
      <c r="U550" s="5" t="str">
        <f>LOWER(SUBSTITUTE(SUBSTITUTE(SUBSTITUTE(SUBSTITUTE(SUBSTITUTE('Ingest Template'!I550,"https:",""),"www.",""),"/",""),"?hl=en",""),"instagram.com",""))</f>
        <v/>
      </c>
      <c r="V550" s="10" t="str">
        <f>'Ingest Template'!J550</f>
        <v/>
      </c>
      <c r="W550" s="10" t="str">
        <f>'Ingest Template'!K550</f>
        <v/>
      </c>
      <c r="X550" s="5"/>
      <c r="Y550" s="5" t="str">
        <f>SUBSTITUTE(SUBSTITUTE(SUBSTITUTE('Ingest Template'!L550,"http:",""),"https:",""),"/","")</f>
        <v/>
      </c>
      <c r="Z550" s="5" t="str">
        <f t="array" ref="Z550">IF('Ingest Template'!A550="Standard",(IF(ISBLANK('Ingest Template'!M550),"", 'Ingest Template'!M550&amp;"|DAR")),(IF(ISBLANK('Ingest Template'!M550),"", 'Ingest Template'!M550&amp;"|Operations - Core Title")))</f>
        <v/>
      </c>
      <c r="AA550" s="5"/>
      <c r="AB550" s="5" t="str">
        <f>'Ingest Template'!F550</f>
        <v/>
      </c>
      <c r="AC550" s="5"/>
      <c r="AD550" s="5"/>
      <c r="AE550" s="5"/>
      <c r="AF550" s="8"/>
      <c r="AG550" s="5" t="str">
        <f t="array" ref="AG550">IF('Ingest Template'!A550="Standard",(CONCATENATE(IF(ISBLANK('Ingest Template'!N550),"", 'Ingest Template'!N550&amp;"|DAR"),CHAR(10), IF(ISBLANK('Ingest Template'!O550),"", 'Ingest Template'!O550&amp;"|DAR"),CHAR(10), IF(ISBLANK('Ingest Template'!P550),"", 'Ingest Template'!P550&amp;"|DAR"))),(CONCATENATE(IF(ISBLANK('Ingest Template'!N550),"", 'Ingest Template'!N550&amp;"|Operations - Core Title"),CHAR(10), IF(ISBLANK('Ingest Template'!O550),"", 'Ingest Template'!O550&amp;"|Operations - Core Title"),CHAR(10), IF(ISBLANK('Ingest Template'!P550),"", 'Ingest Template'!P550&amp;"|Operations - Core Title"))))</f>
        <v>#|Operations - Core Title
</v>
      </c>
      <c r="AH550" s="5"/>
      <c r="AI550" s="5"/>
      <c r="AJ550" s="5"/>
      <c r="AK550" s="5"/>
      <c r="AL550" s="5"/>
    </row>
    <row r="551">
      <c r="A551" s="5"/>
      <c r="B551" s="5" t="str">
        <f>'Ingest Template'!B551&amp;IF('Ingest Template'!A551 = "Standard", " - DAR","")</f>
        <v/>
      </c>
      <c r="C551" s="6" t="str">
        <f>'Ingest Template'!C551</f>
        <v/>
      </c>
      <c r="D551" s="7" t="str">
        <f>'Ingest Template'!E551</f>
        <v/>
      </c>
      <c r="E551" s="5"/>
      <c r="F551" s="5"/>
      <c r="G551" s="5"/>
      <c r="H551" s="7"/>
      <c r="I551" s="5"/>
      <c r="J551" s="7" t="str">
        <f>'Ingest Template'!Q551</f>
        <v/>
      </c>
      <c r="K551" s="5" t="str">
        <f>'Ingest Template'!R551</f>
        <v/>
      </c>
      <c r="L551" s="8" t="s">
        <v>38</v>
      </c>
      <c r="M551" s="9"/>
      <c r="N551" s="5"/>
      <c r="O551" s="5"/>
      <c r="P551" s="5"/>
      <c r="Q551" s="5"/>
      <c r="R551" s="5" t="str">
        <f>'Ingest Template'!D551</f>
        <v/>
      </c>
      <c r="S551" s="5" t="str">
        <f>'Ingest Template'!G551</f>
        <v/>
      </c>
      <c r="T551" s="5" t="str">
        <f>'Ingest Template'!H551</f>
        <v/>
      </c>
      <c r="U551" s="5" t="str">
        <f>LOWER(SUBSTITUTE(SUBSTITUTE(SUBSTITUTE(SUBSTITUTE(SUBSTITUTE('Ingest Template'!I551,"https:",""),"www.",""),"/",""),"?hl=en",""),"instagram.com",""))</f>
        <v/>
      </c>
      <c r="V551" s="10" t="str">
        <f>'Ingest Template'!J551</f>
        <v/>
      </c>
      <c r="W551" s="10" t="str">
        <f>'Ingest Template'!K551</f>
        <v/>
      </c>
      <c r="X551" s="5"/>
      <c r="Y551" s="5" t="str">
        <f>SUBSTITUTE(SUBSTITUTE(SUBSTITUTE('Ingest Template'!L551,"http:",""),"https:",""),"/","")</f>
        <v/>
      </c>
      <c r="Z551" s="5" t="str">
        <f t="array" ref="Z551">IF('Ingest Template'!A551="Standard",(IF(ISBLANK('Ingest Template'!M551),"", 'Ingest Template'!M551&amp;"|DAR")),(IF(ISBLANK('Ingest Template'!M551),"", 'Ingest Template'!M551&amp;"|Operations - Core Title")))</f>
        <v/>
      </c>
      <c r="AA551" s="5"/>
      <c r="AB551" s="5" t="str">
        <f>'Ingest Template'!F551</f>
        <v/>
      </c>
      <c r="AC551" s="5"/>
      <c r="AD551" s="5"/>
      <c r="AE551" s="5"/>
      <c r="AF551" s="8"/>
      <c r="AG551" s="5" t="str">
        <f t="array" ref="AG551">IF('Ingest Template'!A551="Standard",(CONCATENATE(IF(ISBLANK('Ingest Template'!N551),"", 'Ingest Template'!N551&amp;"|DAR"),CHAR(10), IF(ISBLANK('Ingest Template'!O551),"", 'Ingest Template'!O551&amp;"|DAR"),CHAR(10), IF(ISBLANK('Ingest Template'!P551),"", 'Ingest Template'!P551&amp;"|DAR"))),(CONCATENATE(IF(ISBLANK('Ingest Template'!N551),"", 'Ingest Template'!N551&amp;"|Operations - Core Title"),CHAR(10), IF(ISBLANK('Ingest Template'!O551),"", 'Ingest Template'!O551&amp;"|Operations - Core Title"),CHAR(10), IF(ISBLANK('Ingest Template'!P551),"", 'Ingest Template'!P551&amp;"|Operations - Core Title"))))</f>
        <v>#|Operations - Core Title
</v>
      </c>
      <c r="AH551" s="5"/>
      <c r="AI551" s="5"/>
      <c r="AJ551" s="5"/>
      <c r="AK551" s="5"/>
      <c r="AL551" s="5"/>
    </row>
    <row r="552">
      <c r="A552" s="5"/>
      <c r="B552" s="5" t="str">
        <f>'Ingest Template'!B552&amp;IF('Ingest Template'!A552 = "Standard", " - DAR","")</f>
        <v/>
      </c>
      <c r="C552" s="6" t="str">
        <f>'Ingest Template'!C552</f>
        <v/>
      </c>
      <c r="D552" s="7" t="str">
        <f>'Ingest Template'!E552</f>
        <v/>
      </c>
      <c r="E552" s="5"/>
      <c r="F552" s="5"/>
      <c r="G552" s="5"/>
      <c r="H552" s="7"/>
      <c r="I552" s="5"/>
      <c r="J552" s="7" t="str">
        <f>'Ingest Template'!Q552</f>
        <v/>
      </c>
      <c r="K552" s="5" t="str">
        <f>'Ingest Template'!R552</f>
        <v/>
      </c>
      <c r="L552" s="8" t="s">
        <v>38</v>
      </c>
      <c r="M552" s="9"/>
      <c r="N552" s="5"/>
      <c r="O552" s="5"/>
      <c r="P552" s="5"/>
      <c r="Q552" s="5"/>
      <c r="R552" s="5" t="str">
        <f>'Ingest Template'!D552</f>
        <v/>
      </c>
      <c r="S552" s="5" t="str">
        <f>'Ingest Template'!G552</f>
        <v/>
      </c>
      <c r="T552" s="5" t="str">
        <f>'Ingest Template'!H552</f>
        <v/>
      </c>
      <c r="U552" s="5" t="str">
        <f>LOWER(SUBSTITUTE(SUBSTITUTE(SUBSTITUTE(SUBSTITUTE(SUBSTITUTE('Ingest Template'!I552,"https:",""),"www.",""),"/",""),"?hl=en",""),"instagram.com",""))</f>
        <v/>
      </c>
      <c r="V552" s="10" t="str">
        <f>'Ingest Template'!J552</f>
        <v/>
      </c>
      <c r="W552" s="10" t="str">
        <f>'Ingest Template'!K552</f>
        <v/>
      </c>
      <c r="X552" s="5"/>
      <c r="Y552" s="5" t="str">
        <f>SUBSTITUTE(SUBSTITUTE(SUBSTITUTE('Ingest Template'!L552,"http:",""),"https:",""),"/","")</f>
        <v/>
      </c>
      <c r="Z552" s="5" t="str">
        <f t="array" ref="Z552">IF('Ingest Template'!A552="Standard",(IF(ISBLANK('Ingest Template'!M552),"", 'Ingest Template'!M552&amp;"|DAR")),(IF(ISBLANK('Ingest Template'!M552),"", 'Ingest Template'!M552&amp;"|Operations - Core Title")))</f>
        <v/>
      </c>
      <c r="AA552" s="5"/>
      <c r="AB552" s="5" t="str">
        <f>'Ingest Template'!F552</f>
        <v/>
      </c>
      <c r="AC552" s="5"/>
      <c r="AD552" s="5"/>
      <c r="AE552" s="5"/>
      <c r="AF552" s="8"/>
      <c r="AG552" s="5" t="str">
        <f t="array" ref="AG552">IF('Ingest Template'!A552="Standard",(CONCATENATE(IF(ISBLANK('Ingest Template'!N552),"", 'Ingest Template'!N552&amp;"|DAR"),CHAR(10), IF(ISBLANK('Ingest Template'!O552),"", 'Ingest Template'!O552&amp;"|DAR"),CHAR(10), IF(ISBLANK('Ingest Template'!P552),"", 'Ingest Template'!P552&amp;"|DAR"))),(CONCATENATE(IF(ISBLANK('Ingest Template'!N552),"", 'Ingest Template'!N552&amp;"|Operations - Core Title"),CHAR(10), IF(ISBLANK('Ingest Template'!O552),"", 'Ingest Template'!O552&amp;"|Operations - Core Title"),CHAR(10), IF(ISBLANK('Ingest Template'!P552),"", 'Ingest Template'!P552&amp;"|Operations - Core Title"))))</f>
        <v>#|Operations - Core Title
</v>
      </c>
      <c r="AH552" s="5"/>
      <c r="AI552" s="5"/>
      <c r="AJ552" s="5"/>
      <c r="AK552" s="5"/>
      <c r="AL552" s="5"/>
    </row>
    <row r="553">
      <c r="A553" s="5"/>
      <c r="B553" s="5" t="str">
        <f>'Ingest Template'!B553&amp;IF('Ingest Template'!A553 = "Standard", " - DAR","")</f>
        <v/>
      </c>
      <c r="C553" s="6" t="str">
        <f>'Ingest Template'!C553</f>
        <v/>
      </c>
      <c r="D553" s="7" t="str">
        <f>'Ingest Template'!E553</f>
        <v/>
      </c>
      <c r="E553" s="5"/>
      <c r="F553" s="5"/>
      <c r="G553" s="5"/>
      <c r="H553" s="7"/>
      <c r="I553" s="5"/>
      <c r="J553" s="7" t="str">
        <f>'Ingest Template'!Q553</f>
        <v/>
      </c>
      <c r="K553" s="5" t="str">
        <f>'Ingest Template'!R553</f>
        <v/>
      </c>
      <c r="L553" s="8" t="s">
        <v>38</v>
      </c>
      <c r="M553" s="9"/>
      <c r="N553" s="5"/>
      <c r="O553" s="5"/>
      <c r="P553" s="5"/>
      <c r="Q553" s="5"/>
      <c r="R553" s="5" t="str">
        <f>'Ingest Template'!D553</f>
        <v/>
      </c>
      <c r="S553" s="5" t="str">
        <f>'Ingest Template'!G553</f>
        <v/>
      </c>
      <c r="T553" s="5" t="str">
        <f>'Ingest Template'!H553</f>
        <v/>
      </c>
      <c r="U553" s="5" t="str">
        <f>LOWER(SUBSTITUTE(SUBSTITUTE(SUBSTITUTE(SUBSTITUTE(SUBSTITUTE('Ingest Template'!I553,"https:",""),"www.",""),"/",""),"?hl=en",""),"instagram.com",""))</f>
        <v/>
      </c>
      <c r="V553" s="10" t="str">
        <f>'Ingest Template'!J553</f>
        <v/>
      </c>
      <c r="W553" s="10" t="str">
        <f>'Ingest Template'!K553</f>
        <v/>
      </c>
      <c r="X553" s="5"/>
      <c r="Y553" s="5" t="str">
        <f>SUBSTITUTE(SUBSTITUTE(SUBSTITUTE('Ingest Template'!L553,"http:",""),"https:",""),"/","")</f>
        <v/>
      </c>
      <c r="Z553" s="5" t="str">
        <f t="array" ref="Z553">IF('Ingest Template'!A553="Standard",(IF(ISBLANK('Ingest Template'!M553),"", 'Ingest Template'!M553&amp;"|DAR")),(IF(ISBLANK('Ingest Template'!M553),"", 'Ingest Template'!M553&amp;"|Operations - Core Title")))</f>
        <v/>
      </c>
      <c r="AA553" s="5"/>
      <c r="AB553" s="5" t="str">
        <f>'Ingest Template'!F553</f>
        <v/>
      </c>
      <c r="AC553" s="5"/>
      <c r="AD553" s="5"/>
      <c r="AE553" s="5"/>
      <c r="AF553" s="8"/>
      <c r="AG553" s="5" t="str">
        <f t="array" ref="AG553">IF('Ingest Template'!A553="Standard",(CONCATENATE(IF(ISBLANK('Ingest Template'!N553),"", 'Ingest Template'!N553&amp;"|DAR"),CHAR(10), IF(ISBLANK('Ingest Template'!O553),"", 'Ingest Template'!O553&amp;"|DAR"),CHAR(10), IF(ISBLANK('Ingest Template'!P553),"", 'Ingest Template'!P553&amp;"|DAR"))),(CONCATENATE(IF(ISBLANK('Ingest Template'!N553),"", 'Ingest Template'!N553&amp;"|Operations - Core Title"),CHAR(10), IF(ISBLANK('Ingest Template'!O553),"", 'Ingest Template'!O553&amp;"|Operations - Core Title"),CHAR(10), IF(ISBLANK('Ingest Template'!P553),"", 'Ingest Template'!P553&amp;"|Operations - Core Title"))))</f>
        <v>#|Operations - Core Title
</v>
      </c>
      <c r="AH553" s="5"/>
      <c r="AI553" s="5"/>
      <c r="AJ553" s="5"/>
      <c r="AK553" s="5"/>
      <c r="AL553" s="5"/>
    </row>
    <row r="554">
      <c r="A554" s="5"/>
      <c r="B554" s="5" t="str">
        <f>'Ingest Template'!B554&amp;IF('Ingest Template'!A554 = "Standard", " - DAR","")</f>
        <v/>
      </c>
      <c r="C554" s="6" t="str">
        <f>'Ingest Template'!C554</f>
        <v/>
      </c>
      <c r="D554" s="7" t="str">
        <f>'Ingest Template'!E554</f>
        <v/>
      </c>
      <c r="E554" s="5"/>
      <c r="F554" s="5"/>
      <c r="G554" s="5"/>
      <c r="H554" s="7"/>
      <c r="I554" s="5"/>
      <c r="J554" s="7" t="str">
        <f>'Ingest Template'!Q554</f>
        <v/>
      </c>
      <c r="K554" s="5" t="str">
        <f>'Ingest Template'!R554</f>
        <v/>
      </c>
      <c r="L554" s="8" t="s">
        <v>38</v>
      </c>
      <c r="M554" s="9"/>
      <c r="N554" s="5"/>
      <c r="O554" s="5"/>
      <c r="P554" s="5"/>
      <c r="Q554" s="5"/>
      <c r="R554" s="5" t="str">
        <f>'Ingest Template'!D554</f>
        <v/>
      </c>
      <c r="S554" s="5" t="str">
        <f>'Ingest Template'!G554</f>
        <v/>
      </c>
      <c r="T554" s="5" t="str">
        <f>'Ingest Template'!H554</f>
        <v/>
      </c>
      <c r="U554" s="5" t="str">
        <f>LOWER(SUBSTITUTE(SUBSTITUTE(SUBSTITUTE(SUBSTITUTE(SUBSTITUTE('Ingest Template'!I554,"https:",""),"www.",""),"/",""),"?hl=en",""),"instagram.com",""))</f>
        <v/>
      </c>
      <c r="V554" s="10" t="str">
        <f>'Ingest Template'!J554</f>
        <v/>
      </c>
      <c r="W554" s="10" t="str">
        <f>'Ingest Template'!K554</f>
        <v/>
      </c>
      <c r="X554" s="5"/>
      <c r="Y554" s="5" t="str">
        <f>SUBSTITUTE(SUBSTITUTE(SUBSTITUTE('Ingest Template'!L554,"http:",""),"https:",""),"/","")</f>
        <v/>
      </c>
      <c r="Z554" s="5" t="str">
        <f t="array" ref="Z554">IF('Ingest Template'!A554="Standard",(IF(ISBLANK('Ingest Template'!M554),"", 'Ingest Template'!M554&amp;"|DAR")),(IF(ISBLANK('Ingest Template'!M554),"", 'Ingest Template'!M554&amp;"|Operations - Core Title")))</f>
        <v/>
      </c>
      <c r="AA554" s="5"/>
      <c r="AB554" s="5" t="str">
        <f>'Ingest Template'!F554</f>
        <v/>
      </c>
      <c r="AC554" s="5"/>
      <c r="AD554" s="5"/>
      <c r="AE554" s="5"/>
      <c r="AF554" s="8"/>
      <c r="AG554" s="5" t="str">
        <f t="array" ref="AG554">IF('Ingest Template'!A554="Standard",(CONCATENATE(IF(ISBLANK('Ingest Template'!N554),"", 'Ingest Template'!N554&amp;"|DAR"),CHAR(10), IF(ISBLANK('Ingest Template'!O554),"", 'Ingest Template'!O554&amp;"|DAR"),CHAR(10), IF(ISBLANK('Ingest Template'!P554),"", 'Ingest Template'!P554&amp;"|DAR"))),(CONCATENATE(IF(ISBLANK('Ingest Template'!N554),"", 'Ingest Template'!N554&amp;"|Operations - Core Title"),CHAR(10), IF(ISBLANK('Ingest Template'!O554),"", 'Ingest Template'!O554&amp;"|Operations - Core Title"),CHAR(10), IF(ISBLANK('Ingest Template'!P554),"", 'Ingest Template'!P554&amp;"|Operations - Core Title"))))</f>
        <v>#|Operations - Core Title
</v>
      </c>
      <c r="AH554" s="5"/>
      <c r="AI554" s="5"/>
      <c r="AJ554" s="5"/>
      <c r="AK554" s="5"/>
      <c r="AL554" s="5"/>
    </row>
    <row r="555">
      <c r="A555" s="5"/>
      <c r="B555" s="5" t="str">
        <f>'Ingest Template'!B555&amp;IF('Ingest Template'!A555 = "Standard", " - DAR","")</f>
        <v/>
      </c>
      <c r="C555" s="6" t="str">
        <f>'Ingest Template'!C555</f>
        <v/>
      </c>
      <c r="D555" s="7" t="str">
        <f>'Ingest Template'!E555</f>
        <v/>
      </c>
      <c r="E555" s="5"/>
      <c r="F555" s="5"/>
      <c r="G555" s="5"/>
      <c r="H555" s="7"/>
      <c r="I555" s="5"/>
      <c r="J555" s="7" t="str">
        <f>'Ingest Template'!Q555</f>
        <v/>
      </c>
      <c r="K555" s="5" t="str">
        <f>'Ingest Template'!R555</f>
        <v/>
      </c>
      <c r="L555" s="8" t="s">
        <v>38</v>
      </c>
      <c r="M555" s="9"/>
      <c r="N555" s="5"/>
      <c r="O555" s="5"/>
      <c r="P555" s="5"/>
      <c r="Q555" s="5"/>
      <c r="R555" s="5" t="str">
        <f>'Ingest Template'!D555</f>
        <v/>
      </c>
      <c r="S555" s="5" t="str">
        <f>'Ingest Template'!G555</f>
        <v/>
      </c>
      <c r="T555" s="5" t="str">
        <f>'Ingest Template'!H555</f>
        <v/>
      </c>
      <c r="U555" s="5" t="str">
        <f>LOWER(SUBSTITUTE(SUBSTITUTE(SUBSTITUTE(SUBSTITUTE(SUBSTITUTE('Ingest Template'!I555,"https:",""),"www.",""),"/",""),"?hl=en",""),"instagram.com",""))</f>
        <v/>
      </c>
      <c r="V555" s="10" t="str">
        <f>'Ingest Template'!J555</f>
        <v/>
      </c>
      <c r="W555" s="10" t="str">
        <f>'Ingest Template'!K555</f>
        <v/>
      </c>
      <c r="X555" s="5"/>
      <c r="Y555" s="5" t="str">
        <f>SUBSTITUTE(SUBSTITUTE(SUBSTITUTE('Ingest Template'!L555,"http:",""),"https:",""),"/","")</f>
        <v/>
      </c>
      <c r="Z555" s="5" t="str">
        <f t="array" ref="Z555">IF('Ingest Template'!A555="Standard",(IF(ISBLANK('Ingest Template'!M555),"", 'Ingest Template'!M555&amp;"|DAR")),(IF(ISBLANK('Ingest Template'!M555),"", 'Ingest Template'!M555&amp;"|Operations - Core Title")))</f>
        <v/>
      </c>
      <c r="AA555" s="5"/>
      <c r="AB555" s="5" t="str">
        <f>'Ingest Template'!F555</f>
        <v/>
      </c>
      <c r="AC555" s="5"/>
      <c r="AD555" s="5"/>
      <c r="AE555" s="5"/>
      <c r="AF555" s="8"/>
      <c r="AG555" s="5" t="str">
        <f t="array" ref="AG555">IF('Ingest Template'!A555="Standard",(CONCATENATE(IF(ISBLANK('Ingest Template'!N555),"", 'Ingest Template'!N555&amp;"|DAR"),CHAR(10), IF(ISBLANK('Ingest Template'!O555),"", 'Ingest Template'!O555&amp;"|DAR"),CHAR(10), IF(ISBLANK('Ingest Template'!P555),"", 'Ingest Template'!P555&amp;"|DAR"))),(CONCATENATE(IF(ISBLANK('Ingest Template'!N555),"", 'Ingest Template'!N555&amp;"|Operations - Core Title"),CHAR(10), IF(ISBLANK('Ingest Template'!O555),"", 'Ingest Template'!O555&amp;"|Operations - Core Title"),CHAR(10), IF(ISBLANK('Ingest Template'!P555),"", 'Ingest Template'!P555&amp;"|Operations - Core Title"))))</f>
        <v>#|Operations - Core Title
</v>
      </c>
      <c r="AH555" s="5"/>
      <c r="AI555" s="5"/>
      <c r="AJ555" s="5"/>
      <c r="AK555" s="5"/>
      <c r="AL555" s="5"/>
    </row>
    <row r="556">
      <c r="A556" s="5"/>
      <c r="B556" s="5" t="str">
        <f>'Ingest Template'!B556&amp;IF('Ingest Template'!A556 = "Standard", " - DAR","")</f>
        <v/>
      </c>
      <c r="C556" s="6" t="str">
        <f>'Ingest Template'!C556</f>
        <v/>
      </c>
      <c r="D556" s="7" t="str">
        <f>'Ingest Template'!E556</f>
        <v/>
      </c>
      <c r="E556" s="5"/>
      <c r="F556" s="5"/>
      <c r="G556" s="5"/>
      <c r="H556" s="7"/>
      <c r="I556" s="5"/>
      <c r="J556" s="7" t="str">
        <f>'Ingest Template'!Q556</f>
        <v/>
      </c>
      <c r="K556" s="5" t="str">
        <f>'Ingest Template'!R556</f>
        <v/>
      </c>
      <c r="L556" s="8" t="s">
        <v>38</v>
      </c>
      <c r="M556" s="9"/>
      <c r="N556" s="5"/>
      <c r="O556" s="5"/>
      <c r="P556" s="5"/>
      <c r="Q556" s="5"/>
      <c r="R556" s="5" t="str">
        <f>'Ingest Template'!D556</f>
        <v/>
      </c>
      <c r="S556" s="5" t="str">
        <f>'Ingest Template'!G556</f>
        <v/>
      </c>
      <c r="T556" s="5" t="str">
        <f>'Ingest Template'!H556</f>
        <v/>
      </c>
      <c r="U556" s="5" t="str">
        <f>LOWER(SUBSTITUTE(SUBSTITUTE(SUBSTITUTE(SUBSTITUTE(SUBSTITUTE('Ingest Template'!I556,"https:",""),"www.",""),"/",""),"?hl=en",""),"instagram.com",""))</f>
        <v/>
      </c>
      <c r="V556" s="10" t="str">
        <f>'Ingest Template'!J556</f>
        <v/>
      </c>
      <c r="W556" s="10" t="str">
        <f>'Ingest Template'!K556</f>
        <v/>
      </c>
      <c r="X556" s="5"/>
      <c r="Y556" s="5" t="str">
        <f>SUBSTITUTE(SUBSTITUTE(SUBSTITUTE('Ingest Template'!L556,"http:",""),"https:",""),"/","")</f>
        <v/>
      </c>
      <c r="Z556" s="5" t="str">
        <f t="array" ref="Z556">IF('Ingest Template'!A556="Standard",(IF(ISBLANK('Ingest Template'!M556),"", 'Ingest Template'!M556&amp;"|DAR")),(IF(ISBLANK('Ingest Template'!M556),"", 'Ingest Template'!M556&amp;"|Operations - Core Title")))</f>
        <v/>
      </c>
      <c r="AA556" s="5"/>
      <c r="AB556" s="5" t="str">
        <f>'Ingest Template'!F556</f>
        <v/>
      </c>
      <c r="AC556" s="5"/>
      <c r="AD556" s="5"/>
      <c r="AE556" s="5"/>
      <c r="AF556" s="8"/>
      <c r="AG556" s="5" t="str">
        <f t="array" ref="AG556">IF('Ingest Template'!A556="Standard",(CONCATENATE(IF(ISBLANK('Ingest Template'!N556),"", 'Ingest Template'!N556&amp;"|DAR"),CHAR(10), IF(ISBLANK('Ingest Template'!O556),"", 'Ingest Template'!O556&amp;"|DAR"),CHAR(10), IF(ISBLANK('Ingest Template'!P556),"", 'Ingest Template'!P556&amp;"|DAR"))),(CONCATENATE(IF(ISBLANK('Ingest Template'!N556),"", 'Ingest Template'!N556&amp;"|Operations - Core Title"),CHAR(10), IF(ISBLANK('Ingest Template'!O556),"", 'Ingest Template'!O556&amp;"|Operations - Core Title"),CHAR(10), IF(ISBLANK('Ingest Template'!P556),"", 'Ingest Template'!P556&amp;"|Operations - Core Title"))))</f>
        <v>#|Operations - Core Title
</v>
      </c>
      <c r="AH556" s="5"/>
      <c r="AI556" s="5"/>
      <c r="AJ556" s="5"/>
      <c r="AK556" s="5"/>
      <c r="AL556" s="5"/>
    </row>
    <row r="557">
      <c r="A557" s="5"/>
      <c r="B557" s="5" t="str">
        <f>'Ingest Template'!B557&amp;IF('Ingest Template'!A557 = "Standard", " - DAR","")</f>
        <v/>
      </c>
      <c r="C557" s="6" t="str">
        <f>'Ingest Template'!C557</f>
        <v/>
      </c>
      <c r="D557" s="7" t="str">
        <f>'Ingest Template'!E557</f>
        <v/>
      </c>
      <c r="E557" s="5"/>
      <c r="F557" s="5"/>
      <c r="G557" s="5"/>
      <c r="H557" s="7"/>
      <c r="I557" s="5"/>
      <c r="J557" s="7" t="str">
        <f>'Ingest Template'!Q557</f>
        <v/>
      </c>
      <c r="K557" s="5" t="str">
        <f>'Ingest Template'!R557</f>
        <v/>
      </c>
      <c r="L557" s="8" t="s">
        <v>38</v>
      </c>
      <c r="M557" s="9"/>
      <c r="N557" s="5"/>
      <c r="O557" s="5"/>
      <c r="P557" s="5"/>
      <c r="Q557" s="5"/>
      <c r="R557" s="5" t="str">
        <f>'Ingest Template'!D557</f>
        <v/>
      </c>
      <c r="S557" s="5" t="str">
        <f>'Ingest Template'!G557</f>
        <v/>
      </c>
      <c r="T557" s="5" t="str">
        <f>'Ingest Template'!H557</f>
        <v/>
      </c>
      <c r="U557" s="5" t="str">
        <f>LOWER(SUBSTITUTE(SUBSTITUTE(SUBSTITUTE(SUBSTITUTE(SUBSTITUTE('Ingest Template'!I557,"https:",""),"www.",""),"/",""),"?hl=en",""),"instagram.com",""))</f>
        <v/>
      </c>
      <c r="V557" s="10" t="str">
        <f>'Ingest Template'!J557</f>
        <v/>
      </c>
      <c r="W557" s="10" t="str">
        <f>'Ingest Template'!K557</f>
        <v/>
      </c>
      <c r="X557" s="5"/>
      <c r="Y557" s="5" t="str">
        <f>SUBSTITUTE(SUBSTITUTE(SUBSTITUTE('Ingest Template'!L557,"http:",""),"https:",""),"/","")</f>
        <v/>
      </c>
      <c r="Z557" s="5" t="str">
        <f t="array" ref="Z557">IF('Ingest Template'!A557="Standard",(IF(ISBLANK('Ingest Template'!M557),"", 'Ingest Template'!M557&amp;"|DAR")),(IF(ISBLANK('Ingest Template'!M557),"", 'Ingest Template'!M557&amp;"|Operations - Core Title")))</f>
        <v/>
      </c>
      <c r="AA557" s="5"/>
      <c r="AB557" s="5" t="str">
        <f>'Ingest Template'!F557</f>
        <v/>
      </c>
      <c r="AC557" s="5"/>
      <c r="AD557" s="5"/>
      <c r="AE557" s="5"/>
      <c r="AF557" s="8"/>
      <c r="AG557" s="5" t="str">
        <f t="array" ref="AG557">IF('Ingest Template'!A557="Standard",(CONCATENATE(IF(ISBLANK('Ingest Template'!N557),"", 'Ingest Template'!N557&amp;"|DAR"),CHAR(10), IF(ISBLANK('Ingest Template'!O557),"", 'Ingest Template'!O557&amp;"|DAR"),CHAR(10), IF(ISBLANK('Ingest Template'!P557),"", 'Ingest Template'!P557&amp;"|DAR"))),(CONCATENATE(IF(ISBLANK('Ingest Template'!N557),"", 'Ingest Template'!N557&amp;"|Operations - Core Title"),CHAR(10), IF(ISBLANK('Ingest Template'!O557),"", 'Ingest Template'!O557&amp;"|Operations - Core Title"),CHAR(10), IF(ISBLANK('Ingest Template'!P557),"", 'Ingest Template'!P557&amp;"|Operations - Core Title"))))</f>
        <v>#|Operations - Core Title
</v>
      </c>
      <c r="AH557" s="5"/>
      <c r="AI557" s="5"/>
      <c r="AJ557" s="5"/>
      <c r="AK557" s="5"/>
      <c r="AL557" s="5"/>
    </row>
    <row r="558">
      <c r="A558" s="5"/>
      <c r="B558" s="5" t="str">
        <f>'Ingest Template'!B558&amp;IF('Ingest Template'!A558 = "Standard", " - DAR","")</f>
        <v/>
      </c>
      <c r="C558" s="6" t="str">
        <f>'Ingest Template'!C558</f>
        <v/>
      </c>
      <c r="D558" s="7" t="str">
        <f>'Ingest Template'!E558</f>
        <v/>
      </c>
      <c r="E558" s="5"/>
      <c r="F558" s="5"/>
      <c r="G558" s="5"/>
      <c r="H558" s="7"/>
      <c r="I558" s="5"/>
      <c r="J558" s="7" t="str">
        <f>'Ingest Template'!Q558</f>
        <v/>
      </c>
      <c r="K558" s="5" t="str">
        <f>'Ingest Template'!R558</f>
        <v/>
      </c>
      <c r="L558" s="8" t="s">
        <v>38</v>
      </c>
      <c r="M558" s="9"/>
      <c r="N558" s="5"/>
      <c r="O558" s="5"/>
      <c r="P558" s="5"/>
      <c r="Q558" s="5"/>
      <c r="R558" s="5" t="str">
        <f>'Ingest Template'!D558</f>
        <v/>
      </c>
      <c r="S558" s="5" t="str">
        <f>'Ingest Template'!G558</f>
        <v/>
      </c>
      <c r="T558" s="5" t="str">
        <f>'Ingest Template'!H558</f>
        <v/>
      </c>
      <c r="U558" s="5" t="str">
        <f>LOWER(SUBSTITUTE(SUBSTITUTE(SUBSTITUTE(SUBSTITUTE(SUBSTITUTE('Ingest Template'!I558,"https:",""),"www.",""),"/",""),"?hl=en",""),"instagram.com",""))</f>
        <v/>
      </c>
      <c r="V558" s="10" t="str">
        <f>'Ingest Template'!J558</f>
        <v/>
      </c>
      <c r="W558" s="10" t="str">
        <f>'Ingest Template'!K558</f>
        <v/>
      </c>
      <c r="X558" s="5"/>
      <c r="Y558" s="5" t="str">
        <f>SUBSTITUTE(SUBSTITUTE(SUBSTITUTE('Ingest Template'!L558,"http:",""),"https:",""),"/","")</f>
        <v/>
      </c>
      <c r="Z558" s="5" t="str">
        <f t="array" ref="Z558">IF('Ingest Template'!A558="Standard",(IF(ISBLANK('Ingest Template'!M558),"", 'Ingest Template'!M558&amp;"|DAR")),(IF(ISBLANK('Ingest Template'!M558),"", 'Ingest Template'!M558&amp;"|Operations - Core Title")))</f>
        <v/>
      </c>
      <c r="AA558" s="5"/>
      <c r="AB558" s="5" t="str">
        <f>'Ingest Template'!F558</f>
        <v/>
      </c>
      <c r="AC558" s="5"/>
      <c r="AD558" s="5"/>
      <c r="AE558" s="5"/>
      <c r="AF558" s="8"/>
      <c r="AG558" s="5" t="str">
        <f t="array" ref="AG558">IF('Ingest Template'!A558="Standard",(CONCATENATE(IF(ISBLANK('Ingest Template'!N558),"", 'Ingest Template'!N558&amp;"|DAR"),CHAR(10), IF(ISBLANK('Ingest Template'!O558),"", 'Ingest Template'!O558&amp;"|DAR"),CHAR(10), IF(ISBLANK('Ingest Template'!P558),"", 'Ingest Template'!P558&amp;"|DAR"))),(CONCATENATE(IF(ISBLANK('Ingest Template'!N558),"", 'Ingest Template'!N558&amp;"|Operations - Core Title"),CHAR(10), IF(ISBLANK('Ingest Template'!O558),"", 'Ingest Template'!O558&amp;"|Operations - Core Title"),CHAR(10), IF(ISBLANK('Ingest Template'!P558),"", 'Ingest Template'!P558&amp;"|Operations - Core Title"))))</f>
        <v>#|Operations - Core Title
</v>
      </c>
      <c r="AH558" s="5"/>
      <c r="AI558" s="5"/>
      <c r="AJ558" s="5"/>
      <c r="AK558" s="5"/>
      <c r="AL558" s="5"/>
    </row>
    <row r="559">
      <c r="A559" s="5"/>
      <c r="B559" s="5" t="str">
        <f>'Ingest Template'!B559&amp;IF('Ingest Template'!A559 = "Standard", " - DAR","")</f>
        <v/>
      </c>
      <c r="C559" s="6" t="str">
        <f>'Ingest Template'!C559</f>
        <v/>
      </c>
      <c r="D559" s="7" t="str">
        <f>'Ingest Template'!E559</f>
        <v/>
      </c>
      <c r="E559" s="5"/>
      <c r="F559" s="5"/>
      <c r="G559" s="5"/>
      <c r="H559" s="7"/>
      <c r="I559" s="5"/>
      <c r="J559" s="7" t="str">
        <f>'Ingest Template'!Q559</f>
        <v/>
      </c>
      <c r="K559" s="5" t="str">
        <f>'Ingest Template'!R559</f>
        <v/>
      </c>
      <c r="L559" s="8" t="s">
        <v>38</v>
      </c>
      <c r="M559" s="9"/>
      <c r="N559" s="5"/>
      <c r="O559" s="5"/>
      <c r="P559" s="5"/>
      <c r="Q559" s="5"/>
      <c r="R559" s="5" t="str">
        <f>'Ingest Template'!D559</f>
        <v/>
      </c>
      <c r="S559" s="5" t="str">
        <f>'Ingest Template'!G559</f>
        <v/>
      </c>
      <c r="T559" s="5" t="str">
        <f>'Ingest Template'!H559</f>
        <v/>
      </c>
      <c r="U559" s="5" t="str">
        <f>LOWER(SUBSTITUTE(SUBSTITUTE(SUBSTITUTE(SUBSTITUTE(SUBSTITUTE('Ingest Template'!I559,"https:",""),"www.",""),"/",""),"?hl=en",""),"instagram.com",""))</f>
        <v/>
      </c>
      <c r="V559" s="10" t="str">
        <f>'Ingest Template'!J559</f>
        <v/>
      </c>
      <c r="W559" s="10" t="str">
        <f>'Ingest Template'!K559</f>
        <v/>
      </c>
      <c r="X559" s="5"/>
      <c r="Y559" s="5" t="str">
        <f>SUBSTITUTE(SUBSTITUTE(SUBSTITUTE('Ingest Template'!L559,"http:",""),"https:",""),"/","")</f>
        <v/>
      </c>
      <c r="Z559" s="5" t="str">
        <f t="array" ref="Z559">IF('Ingest Template'!A559="Standard",(IF(ISBLANK('Ingest Template'!M559),"", 'Ingest Template'!M559&amp;"|DAR")),(IF(ISBLANK('Ingest Template'!M559),"", 'Ingest Template'!M559&amp;"|Operations - Core Title")))</f>
        <v/>
      </c>
      <c r="AA559" s="5"/>
      <c r="AB559" s="5" t="str">
        <f>'Ingest Template'!F559</f>
        <v/>
      </c>
      <c r="AC559" s="5"/>
      <c r="AD559" s="5"/>
      <c r="AE559" s="5"/>
      <c r="AF559" s="8"/>
      <c r="AG559" s="5" t="str">
        <f t="array" ref="AG559">IF('Ingest Template'!A559="Standard",(CONCATENATE(IF(ISBLANK('Ingest Template'!N559),"", 'Ingest Template'!N559&amp;"|DAR"),CHAR(10), IF(ISBLANK('Ingest Template'!O559),"", 'Ingest Template'!O559&amp;"|DAR"),CHAR(10), IF(ISBLANK('Ingest Template'!P559),"", 'Ingest Template'!P559&amp;"|DAR"))),(CONCATENATE(IF(ISBLANK('Ingest Template'!N559),"", 'Ingest Template'!N559&amp;"|Operations - Core Title"),CHAR(10), IF(ISBLANK('Ingest Template'!O559),"", 'Ingest Template'!O559&amp;"|Operations - Core Title"),CHAR(10), IF(ISBLANK('Ingest Template'!P559),"", 'Ingest Template'!P559&amp;"|Operations - Core Title"))))</f>
        <v>#|Operations - Core Title
</v>
      </c>
      <c r="AH559" s="5"/>
      <c r="AI559" s="5"/>
      <c r="AJ559" s="5"/>
      <c r="AK559" s="5"/>
      <c r="AL559" s="5"/>
    </row>
    <row r="560">
      <c r="A560" s="5"/>
      <c r="B560" s="5" t="str">
        <f>'Ingest Template'!B560&amp;IF('Ingest Template'!A560 = "Standard", " - DAR","")</f>
        <v/>
      </c>
      <c r="C560" s="6" t="str">
        <f>'Ingest Template'!C560</f>
        <v/>
      </c>
      <c r="D560" s="7" t="str">
        <f>'Ingest Template'!E560</f>
        <v/>
      </c>
      <c r="E560" s="5"/>
      <c r="F560" s="5"/>
      <c r="G560" s="5"/>
      <c r="H560" s="7"/>
      <c r="I560" s="5"/>
      <c r="J560" s="7" t="str">
        <f>'Ingest Template'!Q560</f>
        <v/>
      </c>
      <c r="K560" s="5" t="str">
        <f>'Ingest Template'!R560</f>
        <v/>
      </c>
      <c r="L560" s="8" t="s">
        <v>38</v>
      </c>
      <c r="M560" s="9"/>
      <c r="N560" s="5"/>
      <c r="O560" s="5"/>
      <c r="P560" s="5"/>
      <c r="Q560" s="5"/>
      <c r="R560" s="5" t="str">
        <f>'Ingest Template'!D560</f>
        <v/>
      </c>
      <c r="S560" s="5" t="str">
        <f>'Ingest Template'!G560</f>
        <v/>
      </c>
      <c r="T560" s="5" t="str">
        <f>'Ingest Template'!H560</f>
        <v/>
      </c>
      <c r="U560" s="5" t="str">
        <f>LOWER(SUBSTITUTE(SUBSTITUTE(SUBSTITUTE(SUBSTITUTE(SUBSTITUTE('Ingest Template'!I560,"https:",""),"www.",""),"/",""),"?hl=en",""),"instagram.com",""))</f>
        <v/>
      </c>
      <c r="V560" s="10" t="str">
        <f>'Ingest Template'!J560</f>
        <v/>
      </c>
      <c r="W560" s="10" t="str">
        <f>'Ingest Template'!K560</f>
        <v/>
      </c>
      <c r="X560" s="5"/>
      <c r="Y560" s="5" t="str">
        <f>SUBSTITUTE(SUBSTITUTE(SUBSTITUTE('Ingest Template'!L560,"http:",""),"https:",""),"/","")</f>
        <v/>
      </c>
      <c r="Z560" s="5" t="str">
        <f t="array" ref="Z560">IF('Ingest Template'!A560="Standard",(IF(ISBLANK('Ingest Template'!M560),"", 'Ingest Template'!M560&amp;"|DAR")),(IF(ISBLANK('Ingest Template'!M560),"", 'Ingest Template'!M560&amp;"|Operations - Core Title")))</f>
        <v/>
      </c>
      <c r="AA560" s="5"/>
      <c r="AB560" s="5" t="str">
        <f>'Ingest Template'!F560</f>
        <v/>
      </c>
      <c r="AC560" s="5"/>
      <c r="AD560" s="5"/>
      <c r="AE560" s="5"/>
      <c r="AF560" s="8"/>
      <c r="AG560" s="5" t="str">
        <f t="array" ref="AG560">IF('Ingest Template'!A560="Standard",(CONCATENATE(IF(ISBLANK('Ingest Template'!N560),"", 'Ingest Template'!N560&amp;"|DAR"),CHAR(10), IF(ISBLANK('Ingest Template'!O560),"", 'Ingest Template'!O560&amp;"|DAR"),CHAR(10), IF(ISBLANK('Ingest Template'!P560),"", 'Ingest Template'!P560&amp;"|DAR"))),(CONCATENATE(IF(ISBLANK('Ingest Template'!N560),"", 'Ingest Template'!N560&amp;"|Operations - Core Title"),CHAR(10), IF(ISBLANK('Ingest Template'!O560),"", 'Ingest Template'!O560&amp;"|Operations - Core Title"),CHAR(10), IF(ISBLANK('Ingest Template'!P560),"", 'Ingest Template'!P560&amp;"|Operations - Core Title"))))</f>
        <v>#|Operations - Core Title
</v>
      </c>
      <c r="AH560" s="5"/>
      <c r="AI560" s="5"/>
      <c r="AJ560" s="5"/>
      <c r="AK560" s="5"/>
      <c r="AL560" s="5"/>
    </row>
    <row r="561">
      <c r="A561" s="5"/>
      <c r="B561" s="5" t="str">
        <f>'Ingest Template'!B561&amp;IF('Ingest Template'!A561 = "Standard", " - DAR","")</f>
        <v/>
      </c>
      <c r="C561" s="6" t="str">
        <f>'Ingest Template'!C561</f>
        <v/>
      </c>
      <c r="D561" s="7" t="str">
        <f>'Ingest Template'!E561</f>
        <v/>
      </c>
      <c r="E561" s="5"/>
      <c r="F561" s="5"/>
      <c r="G561" s="5"/>
      <c r="H561" s="7"/>
      <c r="I561" s="5"/>
      <c r="J561" s="7" t="str">
        <f>'Ingest Template'!Q561</f>
        <v/>
      </c>
      <c r="K561" s="5" t="str">
        <f>'Ingest Template'!R561</f>
        <v/>
      </c>
      <c r="L561" s="8" t="s">
        <v>38</v>
      </c>
      <c r="M561" s="9"/>
      <c r="N561" s="5"/>
      <c r="O561" s="5"/>
      <c r="P561" s="5"/>
      <c r="Q561" s="5"/>
      <c r="R561" s="5" t="str">
        <f>'Ingest Template'!D561</f>
        <v/>
      </c>
      <c r="S561" s="5" t="str">
        <f>'Ingest Template'!G561</f>
        <v/>
      </c>
      <c r="T561" s="5" t="str">
        <f>'Ingest Template'!H561</f>
        <v/>
      </c>
      <c r="U561" s="5" t="str">
        <f>LOWER(SUBSTITUTE(SUBSTITUTE(SUBSTITUTE(SUBSTITUTE(SUBSTITUTE('Ingest Template'!I561,"https:",""),"www.",""),"/",""),"?hl=en",""),"instagram.com",""))</f>
        <v/>
      </c>
      <c r="V561" s="10" t="str">
        <f>'Ingest Template'!J561</f>
        <v/>
      </c>
      <c r="W561" s="10" t="str">
        <f>'Ingest Template'!K561</f>
        <v/>
      </c>
      <c r="X561" s="5"/>
      <c r="Y561" s="5" t="str">
        <f>SUBSTITUTE(SUBSTITUTE(SUBSTITUTE('Ingest Template'!L561,"http:",""),"https:",""),"/","")</f>
        <v/>
      </c>
      <c r="Z561" s="5" t="str">
        <f t="array" ref="Z561">IF('Ingest Template'!A561="Standard",(IF(ISBLANK('Ingest Template'!M561),"", 'Ingest Template'!M561&amp;"|DAR")),(IF(ISBLANK('Ingest Template'!M561),"", 'Ingest Template'!M561&amp;"|Operations - Core Title")))</f>
        <v/>
      </c>
      <c r="AA561" s="5"/>
      <c r="AB561" s="5" t="str">
        <f>'Ingest Template'!F561</f>
        <v/>
      </c>
      <c r="AC561" s="5"/>
      <c r="AD561" s="5"/>
      <c r="AE561" s="5"/>
      <c r="AF561" s="8"/>
      <c r="AG561" s="5" t="str">
        <f t="array" ref="AG561">IF('Ingest Template'!A561="Standard",(CONCATENATE(IF(ISBLANK('Ingest Template'!N561),"", 'Ingest Template'!N561&amp;"|DAR"),CHAR(10), IF(ISBLANK('Ingest Template'!O561),"", 'Ingest Template'!O561&amp;"|DAR"),CHAR(10), IF(ISBLANK('Ingest Template'!P561),"", 'Ingest Template'!P561&amp;"|DAR"))),(CONCATENATE(IF(ISBLANK('Ingest Template'!N561),"", 'Ingest Template'!N561&amp;"|Operations - Core Title"),CHAR(10), IF(ISBLANK('Ingest Template'!O561),"", 'Ingest Template'!O561&amp;"|Operations - Core Title"),CHAR(10), IF(ISBLANK('Ingest Template'!P561),"", 'Ingest Template'!P561&amp;"|Operations - Core Title"))))</f>
        <v>#|Operations - Core Title
</v>
      </c>
      <c r="AH561" s="5"/>
      <c r="AI561" s="5"/>
      <c r="AJ561" s="5"/>
      <c r="AK561" s="5"/>
      <c r="AL561" s="5"/>
    </row>
    <row r="562">
      <c r="A562" s="5"/>
      <c r="B562" s="5" t="str">
        <f>'Ingest Template'!B562&amp;IF('Ingest Template'!A562 = "Standard", " - DAR","")</f>
        <v/>
      </c>
      <c r="C562" s="6" t="str">
        <f>'Ingest Template'!C562</f>
        <v/>
      </c>
      <c r="D562" s="7" t="str">
        <f>'Ingest Template'!E562</f>
        <v/>
      </c>
      <c r="E562" s="5"/>
      <c r="F562" s="5"/>
      <c r="G562" s="5"/>
      <c r="H562" s="7"/>
      <c r="I562" s="5"/>
      <c r="J562" s="7" t="str">
        <f>'Ingest Template'!Q562</f>
        <v/>
      </c>
      <c r="K562" s="5" t="str">
        <f>'Ingest Template'!R562</f>
        <v/>
      </c>
      <c r="L562" s="8" t="s">
        <v>38</v>
      </c>
      <c r="M562" s="9"/>
      <c r="N562" s="5"/>
      <c r="O562" s="5"/>
      <c r="P562" s="5"/>
      <c r="Q562" s="5"/>
      <c r="R562" s="5" t="str">
        <f>'Ingest Template'!D562</f>
        <v/>
      </c>
      <c r="S562" s="5" t="str">
        <f>'Ingest Template'!G562</f>
        <v/>
      </c>
      <c r="T562" s="5" t="str">
        <f>'Ingest Template'!H562</f>
        <v/>
      </c>
      <c r="U562" s="5" t="str">
        <f>LOWER(SUBSTITUTE(SUBSTITUTE(SUBSTITUTE(SUBSTITUTE(SUBSTITUTE('Ingest Template'!I562,"https:",""),"www.",""),"/",""),"?hl=en",""),"instagram.com",""))</f>
        <v/>
      </c>
      <c r="V562" s="10" t="str">
        <f>'Ingest Template'!J562</f>
        <v/>
      </c>
      <c r="W562" s="10" t="str">
        <f>'Ingest Template'!K562</f>
        <v/>
      </c>
      <c r="X562" s="5"/>
      <c r="Y562" s="5" t="str">
        <f>SUBSTITUTE(SUBSTITUTE(SUBSTITUTE('Ingest Template'!L562,"http:",""),"https:",""),"/","")</f>
        <v/>
      </c>
      <c r="Z562" s="5" t="str">
        <f t="array" ref="Z562">IF('Ingest Template'!A562="Standard",(IF(ISBLANK('Ingest Template'!M562),"", 'Ingest Template'!M562&amp;"|DAR")),(IF(ISBLANK('Ingest Template'!M562),"", 'Ingest Template'!M562&amp;"|Operations - Core Title")))</f>
        <v/>
      </c>
      <c r="AA562" s="5"/>
      <c r="AB562" s="5" t="str">
        <f>'Ingest Template'!F562</f>
        <v/>
      </c>
      <c r="AC562" s="5"/>
      <c r="AD562" s="5"/>
      <c r="AE562" s="5"/>
      <c r="AF562" s="8"/>
      <c r="AG562" s="5" t="str">
        <f t="array" ref="AG562">IF('Ingest Template'!A562="Standard",(CONCATENATE(IF(ISBLANK('Ingest Template'!N562),"", 'Ingest Template'!N562&amp;"|DAR"),CHAR(10), IF(ISBLANK('Ingest Template'!O562),"", 'Ingest Template'!O562&amp;"|DAR"),CHAR(10), IF(ISBLANK('Ingest Template'!P562),"", 'Ingest Template'!P562&amp;"|DAR"))),(CONCATENATE(IF(ISBLANK('Ingest Template'!N562),"", 'Ingest Template'!N562&amp;"|Operations - Core Title"),CHAR(10), IF(ISBLANK('Ingest Template'!O562),"", 'Ingest Template'!O562&amp;"|Operations - Core Title"),CHAR(10), IF(ISBLANK('Ingest Template'!P562),"", 'Ingest Template'!P562&amp;"|Operations - Core Title"))))</f>
        <v>#|Operations - Core Title
</v>
      </c>
      <c r="AH562" s="5"/>
      <c r="AI562" s="5"/>
      <c r="AJ562" s="5"/>
      <c r="AK562" s="5"/>
      <c r="AL562" s="5"/>
    </row>
    <row r="563">
      <c r="A563" s="5"/>
      <c r="B563" s="5" t="str">
        <f>'Ingest Template'!B563&amp;IF('Ingest Template'!A563 = "Standard", " - DAR","")</f>
        <v/>
      </c>
      <c r="C563" s="6" t="str">
        <f>'Ingest Template'!C563</f>
        <v/>
      </c>
      <c r="D563" s="7" t="str">
        <f>'Ingest Template'!E563</f>
        <v/>
      </c>
      <c r="E563" s="5"/>
      <c r="F563" s="5"/>
      <c r="G563" s="5"/>
      <c r="H563" s="7"/>
      <c r="I563" s="5"/>
      <c r="J563" s="7" t="str">
        <f>'Ingest Template'!Q563</f>
        <v/>
      </c>
      <c r="K563" s="5" t="str">
        <f>'Ingest Template'!R563</f>
        <v/>
      </c>
      <c r="L563" s="8" t="s">
        <v>38</v>
      </c>
      <c r="M563" s="9"/>
      <c r="N563" s="5"/>
      <c r="O563" s="5"/>
      <c r="P563" s="5"/>
      <c r="Q563" s="5"/>
      <c r="R563" s="5" t="str">
        <f>'Ingest Template'!D563</f>
        <v/>
      </c>
      <c r="S563" s="5" t="str">
        <f>'Ingest Template'!G563</f>
        <v/>
      </c>
      <c r="T563" s="5" t="str">
        <f>'Ingest Template'!H563</f>
        <v/>
      </c>
      <c r="U563" s="5" t="str">
        <f>LOWER(SUBSTITUTE(SUBSTITUTE(SUBSTITUTE(SUBSTITUTE(SUBSTITUTE('Ingest Template'!I563,"https:",""),"www.",""),"/",""),"?hl=en",""),"instagram.com",""))</f>
        <v/>
      </c>
      <c r="V563" s="10" t="str">
        <f>'Ingest Template'!J563</f>
        <v/>
      </c>
      <c r="W563" s="10" t="str">
        <f>'Ingest Template'!K563</f>
        <v/>
      </c>
      <c r="X563" s="5"/>
      <c r="Y563" s="5" t="str">
        <f>SUBSTITUTE(SUBSTITUTE(SUBSTITUTE('Ingest Template'!L563,"http:",""),"https:",""),"/","")</f>
        <v/>
      </c>
      <c r="Z563" s="5" t="str">
        <f t="array" ref="Z563">IF('Ingest Template'!A563="Standard",(IF(ISBLANK('Ingest Template'!M563),"", 'Ingest Template'!M563&amp;"|DAR")),(IF(ISBLANK('Ingest Template'!M563),"", 'Ingest Template'!M563&amp;"|Operations - Core Title")))</f>
        <v/>
      </c>
      <c r="AA563" s="5"/>
      <c r="AB563" s="5" t="str">
        <f>'Ingest Template'!F563</f>
        <v/>
      </c>
      <c r="AC563" s="5"/>
      <c r="AD563" s="5"/>
      <c r="AE563" s="5"/>
      <c r="AF563" s="8"/>
      <c r="AG563" s="5" t="str">
        <f t="array" ref="AG563">IF('Ingest Template'!A563="Standard",(CONCATENATE(IF(ISBLANK('Ingest Template'!N563),"", 'Ingest Template'!N563&amp;"|DAR"),CHAR(10), IF(ISBLANK('Ingest Template'!O563),"", 'Ingest Template'!O563&amp;"|DAR"),CHAR(10), IF(ISBLANK('Ingest Template'!P563),"", 'Ingest Template'!P563&amp;"|DAR"))),(CONCATENATE(IF(ISBLANK('Ingest Template'!N563),"", 'Ingest Template'!N563&amp;"|Operations - Core Title"),CHAR(10), IF(ISBLANK('Ingest Template'!O563),"", 'Ingest Template'!O563&amp;"|Operations - Core Title"),CHAR(10), IF(ISBLANK('Ingest Template'!P563),"", 'Ingest Template'!P563&amp;"|Operations - Core Title"))))</f>
        <v>#|Operations - Core Title
</v>
      </c>
      <c r="AH563" s="5"/>
      <c r="AI563" s="5"/>
      <c r="AJ563" s="5"/>
      <c r="AK563" s="5"/>
      <c r="AL563" s="5"/>
    </row>
    <row r="564">
      <c r="A564" s="5"/>
      <c r="B564" s="5" t="str">
        <f>'Ingest Template'!B564&amp;IF('Ingest Template'!A564 = "Standard", " - DAR","")</f>
        <v/>
      </c>
      <c r="C564" s="6" t="str">
        <f>'Ingest Template'!C564</f>
        <v/>
      </c>
      <c r="D564" s="7" t="str">
        <f>'Ingest Template'!E564</f>
        <v/>
      </c>
      <c r="E564" s="5"/>
      <c r="F564" s="5"/>
      <c r="G564" s="5"/>
      <c r="H564" s="7"/>
      <c r="I564" s="5"/>
      <c r="J564" s="7" t="str">
        <f>'Ingest Template'!Q564</f>
        <v/>
      </c>
      <c r="K564" s="5" t="str">
        <f>'Ingest Template'!R564</f>
        <v/>
      </c>
      <c r="L564" s="8" t="s">
        <v>38</v>
      </c>
      <c r="M564" s="9"/>
      <c r="N564" s="5"/>
      <c r="O564" s="5"/>
      <c r="P564" s="5"/>
      <c r="Q564" s="5"/>
      <c r="R564" s="5" t="str">
        <f>'Ingest Template'!D564</f>
        <v/>
      </c>
      <c r="S564" s="5" t="str">
        <f>'Ingest Template'!G564</f>
        <v/>
      </c>
      <c r="T564" s="5" t="str">
        <f>'Ingest Template'!H564</f>
        <v/>
      </c>
      <c r="U564" s="5" t="str">
        <f>LOWER(SUBSTITUTE(SUBSTITUTE(SUBSTITUTE(SUBSTITUTE(SUBSTITUTE('Ingest Template'!I564,"https:",""),"www.",""),"/",""),"?hl=en",""),"instagram.com",""))</f>
        <v/>
      </c>
      <c r="V564" s="10" t="str">
        <f>'Ingest Template'!J564</f>
        <v/>
      </c>
      <c r="W564" s="10" t="str">
        <f>'Ingest Template'!K564</f>
        <v/>
      </c>
      <c r="X564" s="5"/>
      <c r="Y564" s="5" t="str">
        <f>SUBSTITUTE(SUBSTITUTE(SUBSTITUTE('Ingest Template'!L564,"http:",""),"https:",""),"/","")</f>
        <v/>
      </c>
      <c r="Z564" s="5" t="str">
        <f t="array" ref="Z564">IF('Ingest Template'!A564="Standard",(IF(ISBLANK('Ingest Template'!M564),"", 'Ingest Template'!M564&amp;"|DAR")),(IF(ISBLANK('Ingest Template'!M564),"", 'Ingest Template'!M564&amp;"|Operations - Core Title")))</f>
        <v/>
      </c>
      <c r="AA564" s="5"/>
      <c r="AB564" s="5" t="str">
        <f>'Ingest Template'!F564</f>
        <v/>
      </c>
      <c r="AC564" s="5"/>
      <c r="AD564" s="5"/>
      <c r="AE564" s="5"/>
      <c r="AF564" s="8"/>
      <c r="AG564" s="5" t="str">
        <f t="array" ref="AG564">IF('Ingest Template'!A564="Standard",(CONCATENATE(IF(ISBLANK('Ingest Template'!N564),"", 'Ingest Template'!N564&amp;"|DAR"),CHAR(10), IF(ISBLANK('Ingest Template'!O564),"", 'Ingest Template'!O564&amp;"|DAR"),CHAR(10), IF(ISBLANK('Ingest Template'!P564),"", 'Ingest Template'!P564&amp;"|DAR"))),(CONCATENATE(IF(ISBLANK('Ingest Template'!N564),"", 'Ingest Template'!N564&amp;"|Operations - Core Title"),CHAR(10), IF(ISBLANK('Ingest Template'!O564),"", 'Ingest Template'!O564&amp;"|Operations - Core Title"),CHAR(10), IF(ISBLANK('Ingest Template'!P564),"", 'Ingest Template'!P564&amp;"|Operations - Core Title"))))</f>
        <v>#|Operations - Core Title
</v>
      </c>
      <c r="AH564" s="5"/>
      <c r="AI564" s="5"/>
      <c r="AJ564" s="5"/>
      <c r="AK564" s="5"/>
      <c r="AL564" s="5"/>
    </row>
    <row r="565">
      <c r="A565" s="5"/>
      <c r="B565" s="5" t="str">
        <f>'Ingest Template'!B565&amp;IF('Ingest Template'!A565 = "Standard", " - DAR","")</f>
        <v/>
      </c>
      <c r="C565" s="6" t="str">
        <f>'Ingest Template'!C565</f>
        <v/>
      </c>
      <c r="D565" s="7" t="str">
        <f>'Ingest Template'!E565</f>
        <v/>
      </c>
      <c r="E565" s="5"/>
      <c r="F565" s="5"/>
      <c r="G565" s="5"/>
      <c r="H565" s="7"/>
      <c r="I565" s="5"/>
      <c r="J565" s="7" t="str">
        <f>'Ingest Template'!Q565</f>
        <v/>
      </c>
      <c r="K565" s="5" t="str">
        <f>'Ingest Template'!R565</f>
        <v/>
      </c>
      <c r="L565" s="8" t="s">
        <v>38</v>
      </c>
      <c r="M565" s="9"/>
      <c r="N565" s="5"/>
      <c r="O565" s="5"/>
      <c r="P565" s="5"/>
      <c r="Q565" s="5"/>
      <c r="R565" s="5" t="str">
        <f>'Ingest Template'!D565</f>
        <v/>
      </c>
      <c r="S565" s="5" t="str">
        <f>'Ingest Template'!G565</f>
        <v/>
      </c>
      <c r="T565" s="5" t="str">
        <f>'Ingest Template'!H565</f>
        <v/>
      </c>
      <c r="U565" s="5" t="str">
        <f>LOWER(SUBSTITUTE(SUBSTITUTE(SUBSTITUTE(SUBSTITUTE(SUBSTITUTE('Ingest Template'!I565,"https:",""),"www.",""),"/",""),"?hl=en",""),"instagram.com",""))</f>
        <v/>
      </c>
      <c r="V565" s="10" t="str">
        <f>'Ingest Template'!J565</f>
        <v/>
      </c>
      <c r="W565" s="10" t="str">
        <f>'Ingest Template'!K565</f>
        <v/>
      </c>
      <c r="X565" s="5"/>
      <c r="Y565" s="5" t="str">
        <f>SUBSTITUTE(SUBSTITUTE(SUBSTITUTE('Ingest Template'!L565,"http:",""),"https:",""),"/","")</f>
        <v/>
      </c>
      <c r="Z565" s="5" t="str">
        <f t="array" ref="Z565">IF('Ingest Template'!A565="Standard",(IF(ISBLANK('Ingest Template'!M565),"", 'Ingest Template'!M565&amp;"|DAR")),(IF(ISBLANK('Ingest Template'!M565),"", 'Ingest Template'!M565&amp;"|Operations - Core Title")))</f>
        <v/>
      </c>
      <c r="AA565" s="5"/>
      <c r="AB565" s="5" t="str">
        <f>'Ingest Template'!F565</f>
        <v/>
      </c>
      <c r="AC565" s="5"/>
      <c r="AD565" s="5"/>
      <c r="AE565" s="5"/>
      <c r="AF565" s="8"/>
      <c r="AG565" s="5" t="str">
        <f t="array" ref="AG565">IF('Ingest Template'!A565="Standard",(CONCATENATE(IF(ISBLANK('Ingest Template'!N565),"", 'Ingest Template'!N565&amp;"|DAR"),CHAR(10), IF(ISBLANK('Ingest Template'!O565),"", 'Ingest Template'!O565&amp;"|DAR"),CHAR(10), IF(ISBLANK('Ingest Template'!P565),"", 'Ingest Template'!P565&amp;"|DAR"))),(CONCATENATE(IF(ISBLANK('Ingest Template'!N565),"", 'Ingest Template'!N565&amp;"|Operations - Core Title"),CHAR(10), IF(ISBLANK('Ingest Template'!O565),"", 'Ingest Template'!O565&amp;"|Operations - Core Title"),CHAR(10), IF(ISBLANK('Ingest Template'!P565),"", 'Ingest Template'!P565&amp;"|Operations - Core Title"))))</f>
        <v>#|Operations - Core Title
</v>
      </c>
      <c r="AH565" s="5"/>
      <c r="AI565" s="5"/>
      <c r="AJ565" s="5"/>
      <c r="AK565" s="5"/>
      <c r="AL565" s="5"/>
    </row>
    <row r="566">
      <c r="A566" s="5"/>
      <c r="B566" s="5" t="str">
        <f>'Ingest Template'!B566&amp;IF('Ingest Template'!A566 = "Standard", " - DAR","")</f>
        <v/>
      </c>
      <c r="C566" s="6" t="str">
        <f>'Ingest Template'!C566</f>
        <v/>
      </c>
      <c r="D566" s="7" t="str">
        <f>'Ingest Template'!E566</f>
        <v/>
      </c>
      <c r="E566" s="5"/>
      <c r="F566" s="5"/>
      <c r="G566" s="5"/>
      <c r="H566" s="7"/>
      <c r="I566" s="5"/>
      <c r="J566" s="7" t="str">
        <f>'Ingest Template'!Q566</f>
        <v/>
      </c>
      <c r="K566" s="5" t="str">
        <f>'Ingest Template'!R566</f>
        <v/>
      </c>
      <c r="L566" s="8" t="s">
        <v>38</v>
      </c>
      <c r="M566" s="9"/>
      <c r="N566" s="5"/>
      <c r="O566" s="5"/>
      <c r="P566" s="5"/>
      <c r="Q566" s="5"/>
      <c r="R566" s="5" t="str">
        <f>'Ingest Template'!D566</f>
        <v/>
      </c>
      <c r="S566" s="5" t="str">
        <f>'Ingest Template'!G566</f>
        <v/>
      </c>
      <c r="T566" s="5" t="str">
        <f>'Ingest Template'!H566</f>
        <v/>
      </c>
      <c r="U566" s="5" t="str">
        <f>LOWER(SUBSTITUTE(SUBSTITUTE(SUBSTITUTE(SUBSTITUTE(SUBSTITUTE('Ingest Template'!I566,"https:",""),"www.",""),"/",""),"?hl=en",""),"instagram.com",""))</f>
        <v/>
      </c>
      <c r="V566" s="10" t="str">
        <f>'Ingest Template'!J566</f>
        <v/>
      </c>
      <c r="W566" s="10" t="str">
        <f>'Ingest Template'!K566</f>
        <v/>
      </c>
      <c r="X566" s="5"/>
      <c r="Y566" s="5" t="str">
        <f>SUBSTITUTE(SUBSTITUTE(SUBSTITUTE('Ingest Template'!L566,"http:",""),"https:",""),"/","")</f>
        <v/>
      </c>
      <c r="Z566" s="5" t="str">
        <f t="array" ref="Z566">IF('Ingest Template'!A566="Standard",(IF(ISBLANK('Ingest Template'!M566),"", 'Ingest Template'!M566&amp;"|DAR")),(IF(ISBLANK('Ingest Template'!M566),"", 'Ingest Template'!M566&amp;"|Operations - Core Title")))</f>
        <v/>
      </c>
      <c r="AA566" s="5"/>
      <c r="AB566" s="5" t="str">
        <f>'Ingest Template'!F566</f>
        <v/>
      </c>
      <c r="AC566" s="5"/>
      <c r="AD566" s="5"/>
      <c r="AE566" s="5"/>
      <c r="AF566" s="8"/>
      <c r="AG566" s="5" t="str">
        <f t="array" ref="AG566">IF('Ingest Template'!A566="Standard",(CONCATENATE(IF(ISBLANK('Ingest Template'!N566),"", 'Ingest Template'!N566&amp;"|DAR"),CHAR(10), IF(ISBLANK('Ingest Template'!O566),"", 'Ingest Template'!O566&amp;"|DAR"),CHAR(10), IF(ISBLANK('Ingest Template'!P566),"", 'Ingest Template'!P566&amp;"|DAR"))),(CONCATENATE(IF(ISBLANK('Ingest Template'!N566),"", 'Ingest Template'!N566&amp;"|Operations - Core Title"),CHAR(10), IF(ISBLANK('Ingest Template'!O566),"", 'Ingest Template'!O566&amp;"|Operations - Core Title"),CHAR(10), IF(ISBLANK('Ingest Template'!P566),"", 'Ingest Template'!P566&amp;"|Operations - Core Title"))))</f>
        <v>#|Operations - Core Title
</v>
      </c>
      <c r="AH566" s="5"/>
      <c r="AI566" s="5"/>
      <c r="AJ566" s="5"/>
      <c r="AK566" s="5"/>
      <c r="AL566" s="5"/>
    </row>
    <row r="567">
      <c r="A567" s="5"/>
      <c r="B567" s="5" t="str">
        <f>'Ingest Template'!B567&amp;IF('Ingest Template'!A567 = "Standard", " - DAR","")</f>
        <v/>
      </c>
      <c r="C567" s="6" t="str">
        <f>'Ingest Template'!C567</f>
        <v/>
      </c>
      <c r="D567" s="7" t="str">
        <f>'Ingest Template'!E567</f>
        <v/>
      </c>
      <c r="E567" s="5"/>
      <c r="F567" s="5"/>
      <c r="G567" s="5"/>
      <c r="H567" s="7"/>
      <c r="I567" s="5"/>
      <c r="J567" s="7" t="str">
        <f>'Ingest Template'!Q567</f>
        <v/>
      </c>
      <c r="K567" s="5" t="str">
        <f>'Ingest Template'!R567</f>
        <v/>
      </c>
      <c r="L567" s="8" t="s">
        <v>38</v>
      </c>
      <c r="M567" s="9"/>
      <c r="N567" s="5"/>
      <c r="O567" s="5"/>
      <c r="P567" s="5"/>
      <c r="Q567" s="5"/>
      <c r="R567" s="5" t="str">
        <f>'Ingest Template'!D567</f>
        <v/>
      </c>
      <c r="S567" s="5" t="str">
        <f>'Ingest Template'!G567</f>
        <v/>
      </c>
      <c r="T567" s="5" t="str">
        <f>'Ingest Template'!H567</f>
        <v/>
      </c>
      <c r="U567" s="5" t="str">
        <f>LOWER(SUBSTITUTE(SUBSTITUTE(SUBSTITUTE(SUBSTITUTE(SUBSTITUTE('Ingest Template'!I567,"https:",""),"www.",""),"/",""),"?hl=en",""),"instagram.com",""))</f>
        <v/>
      </c>
      <c r="V567" s="10" t="str">
        <f>'Ingest Template'!J567</f>
        <v/>
      </c>
      <c r="W567" s="10" t="str">
        <f>'Ingest Template'!K567</f>
        <v/>
      </c>
      <c r="X567" s="5"/>
      <c r="Y567" s="5" t="str">
        <f>SUBSTITUTE(SUBSTITUTE(SUBSTITUTE('Ingest Template'!L567,"http:",""),"https:",""),"/","")</f>
        <v/>
      </c>
      <c r="Z567" s="5" t="str">
        <f t="array" ref="Z567">IF('Ingest Template'!A567="Standard",(IF(ISBLANK('Ingest Template'!M567),"", 'Ingest Template'!M567&amp;"|DAR")),(IF(ISBLANK('Ingest Template'!M567),"", 'Ingest Template'!M567&amp;"|Operations - Core Title")))</f>
        <v/>
      </c>
      <c r="AA567" s="5"/>
      <c r="AB567" s="5" t="str">
        <f>'Ingest Template'!F567</f>
        <v/>
      </c>
      <c r="AC567" s="5"/>
      <c r="AD567" s="5"/>
      <c r="AE567" s="5"/>
      <c r="AF567" s="8"/>
      <c r="AG567" s="5" t="str">
        <f t="array" ref="AG567">IF('Ingest Template'!A567="Standard",(CONCATENATE(IF(ISBLANK('Ingest Template'!N567),"", 'Ingest Template'!N567&amp;"|DAR"),CHAR(10), IF(ISBLANK('Ingest Template'!O567),"", 'Ingest Template'!O567&amp;"|DAR"),CHAR(10), IF(ISBLANK('Ingest Template'!P567),"", 'Ingest Template'!P567&amp;"|DAR"))),(CONCATENATE(IF(ISBLANK('Ingest Template'!N567),"", 'Ingest Template'!N567&amp;"|Operations - Core Title"),CHAR(10), IF(ISBLANK('Ingest Template'!O567),"", 'Ingest Template'!O567&amp;"|Operations - Core Title"),CHAR(10), IF(ISBLANK('Ingest Template'!P567),"", 'Ingest Template'!P567&amp;"|Operations - Core Title"))))</f>
        <v>#|Operations - Core Title
</v>
      </c>
      <c r="AH567" s="5"/>
      <c r="AI567" s="5"/>
      <c r="AJ567" s="5"/>
      <c r="AK567" s="5"/>
      <c r="AL567" s="5"/>
    </row>
    <row r="568">
      <c r="A568" s="5"/>
      <c r="B568" s="5" t="str">
        <f>'Ingest Template'!B568&amp;IF('Ingest Template'!A568 = "Standard", " - DAR","")</f>
        <v/>
      </c>
      <c r="C568" s="6" t="str">
        <f>'Ingest Template'!C568</f>
        <v/>
      </c>
      <c r="D568" s="7" t="str">
        <f>'Ingest Template'!E568</f>
        <v/>
      </c>
      <c r="E568" s="5"/>
      <c r="F568" s="5"/>
      <c r="G568" s="5"/>
      <c r="H568" s="7"/>
      <c r="I568" s="5"/>
      <c r="J568" s="7" t="str">
        <f>'Ingest Template'!Q568</f>
        <v/>
      </c>
      <c r="K568" s="5" t="str">
        <f>'Ingest Template'!R568</f>
        <v/>
      </c>
      <c r="L568" s="8" t="s">
        <v>38</v>
      </c>
      <c r="M568" s="9"/>
      <c r="N568" s="5"/>
      <c r="O568" s="5"/>
      <c r="P568" s="5"/>
      <c r="Q568" s="5"/>
      <c r="R568" s="5" t="str">
        <f>'Ingest Template'!D568</f>
        <v/>
      </c>
      <c r="S568" s="5" t="str">
        <f>'Ingest Template'!G568</f>
        <v/>
      </c>
      <c r="T568" s="5" t="str">
        <f>'Ingest Template'!H568</f>
        <v/>
      </c>
      <c r="U568" s="5" t="str">
        <f>LOWER(SUBSTITUTE(SUBSTITUTE(SUBSTITUTE(SUBSTITUTE(SUBSTITUTE('Ingest Template'!I568,"https:",""),"www.",""),"/",""),"?hl=en",""),"instagram.com",""))</f>
        <v/>
      </c>
      <c r="V568" s="10" t="str">
        <f>'Ingest Template'!J568</f>
        <v/>
      </c>
      <c r="W568" s="10" t="str">
        <f>'Ingest Template'!K568</f>
        <v/>
      </c>
      <c r="X568" s="5"/>
      <c r="Y568" s="5" t="str">
        <f>SUBSTITUTE(SUBSTITUTE(SUBSTITUTE('Ingest Template'!L568,"http:",""),"https:",""),"/","")</f>
        <v/>
      </c>
      <c r="Z568" s="5" t="str">
        <f t="array" ref="Z568">IF('Ingest Template'!A568="Standard",(IF(ISBLANK('Ingest Template'!M568),"", 'Ingest Template'!M568&amp;"|DAR")),(IF(ISBLANK('Ingest Template'!M568),"", 'Ingest Template'!M568&amp;"|Operations - Core Title")))</f>
        <v/>
      </c>
      <c r="AA568" s="5"/>
      <c r="AB568" s="5" t="str">
        <f>'Ingest Template'!F568</f>
        <v/>
      </c>
      <c r="AC568" s="5"/>
      <c r="AD568" s="5"/>
      <c r="AE568" s="5"/>
      <c r="AF568" s="8"/>
      <c r="AG568" s="5" t="str">
        <f t="array" ref="AG568">IF('Ingest Template'!A568="Standard",(CONCATENATE(IF(ISBLANK('Ingest Template'!N568),"", 'Ingest Template'!N568&amp;"|DAR"),CHAR(10), IF(ISBLANK('Ingest Template'!O568),"", 'Ingest Template'!O568&amp;"|DAR"),CHAR(10), IF(ISBLANK('Ingest Template'!P568),"", 'Ingest Template'!P568&amp;"|DAR"))),(CONCATENATE(IF(ISBLANK('Ingest Template'!N568),"", 'Ingest Template'!N568&amp;"|Operations - Core Title"),CHAR(10), IF(ISBLANK('Ingest Template'!O568),"", 'Ingest Template'!O568&amp;"|Operations - Core Title"),CHAR(10), IF(ISBLANK('Ingest Template'!P568),"", 'Ingest Template'!P568&amp;"|Operations - Core Title"))))</f>
        <v>#|Operations - Core Title
</v>
      </c>
      <c r="AH568" s="5"/>
      <c r="AI568" s="5"/>
      <c r="AJ568" s="5"/>
      <c r="AK568" s="5"/>
      <c r="AL568" s="5"/>
    </row>
    <row r="569">
      <c r="A569" s="5"/>
      <c r="B569" s="5" t="str">
        <f>'Ingest Template'!B569&amp;IF('Ingest Template'!A569 = "Standard", " - DAR","")</f>
        <v/>
      </c>
      <c r="C569" s="6" t="str">
        <f>'Ingest Template'!C569</f>
        <v/>
      </c>
      <c r="D569" s="7" t="str">
        <f>'Ingest Template'!E569</f>
        <v/>
      </c>
      <c r="E569" s="5"/>
      <c r="F569" s="5"/>
      <c r="G569" s="5"/>
      <c r="H569" s="7"/>
      <c r="I569" s="5"/>
      <c r="J569" s="7" t="str">
        <f>'Ingest Template'!Q569</f>
        <v/>
      </c>
      <c r="K569" s="5" t="str">
        <f>'Ingest Template'!R569</f>
        <v/>
      </c>
      <c r="L569" s="8" t="s">
        <v>38</v>
      </c>
      <c r="M569" s="9"/>
      <c r="N569" s="5"/>
      <c r="O569" s="5"/>
      <c r="P569" s="5"/>
      <c r="Q569" s="5"/>
      <c r="R569" s="5" t="str">
        <f>'Ingest Template'!D569</f>
        <v/>
      </c>
      <c r="S569" s="5" t="str">
        <f>'Ingest Template'!G569</f>
        <v/>
      </c>
      <c r="T569" s="5" t="str">
        <f>'Ingest Template'!H569</f>
        <v/>
      </c>
      <c r="U569" s="5" t="str">
        <f>LOWER(SUBSTITUTE(SUBSTITUTE(SUBSTITUTE(SUBSTITUTE(SUBSTITUTE('Ingest Template'!I569,"https:",""),"www.",""),"/",""),"?hl=en",""),"instagram.com",""))</f>
        <v/>
      </c>
      <c r="V569" s="10" t="str">
        <f>'Ingest Template'!J569</f>
        <v/>
      </c>
      <c r="W569" s="10" t="str">
        <f>'Ingest Template'!K569</f>
        <v/>
      </c>
      <c r="X569" s="5"/>
      <c r="Y569" s="5" t="str">
        <f>SUBSTITUTE(SUBSTITUTE(SUBSTITUTE('Ingest Template'!L569,"http:",""),"https:",""),"/","")</f>
        <v/>
      </c>
      <c r="Z569" s="5" t="str">
        <f t="array" ref="Z569">IF('Ingest Template'!A569="Standard",(IF(ISBLANK('Ingest Template'!M569),"", 'Ingest Template'!M569&amp;"|DAR")),(IF(ISBLANK('Ingest Template'!M569),"", 'Ingest Template'!M569&amp;"|Operations - Core Title")))</f>
        <v/>
      </c>
      <c r="AA569" s="5"/>
      <c r="AB569" s="5" t="str">
        <f>'Ingest Template'!F569</f>
        <v/>
      </c>
      <c r="AC569" s="5"/>
      <c r="AD569" s="5"/>
      <c r="AE569" s="5"/>
      <c r="AF569" s="8"/>
      <c r="AG569" s="5" t="str">
        <f t="array" ref="AG569">IF('Ingest Template'!A569="Standard",(CONCATENATE(IF(ISBLANK('Ingest Template'!N569),"", 'Ingest Template'!N569&amp;"|DAR"),CHAR(10), IF(ISBLANK('Ingest Template'!O569),"", 'Ingest Template'!O569&amp;"|DAR"),CHAR(10), IF(ISBLANK('Ingest Template'!P569),"", 'Ingest Template'!P569&amp;"|DAR"))),(CONCATENATE(IF(ISBLANK('Ingest Template'!N569),"", 'Ingest Template'!N569&amp;"|Operations - Core Title"),CHAR(10), IF(ISBLANK('Ingest Template'!O569),"", 'Ingest Template'!O569&amp;"|Operations - Core Title"),CHAR(10), IF(ISBLANK('Ingest Template'!P569),"", 'Ingest Template'!P569&amp;"|Operations - Core Title"))))</f>
        <v>#|Operations - Core Title
</v>
      </c>
      <c r="AH569" s="5"/>
      <c r="AI569" s="5"/>
      <c r="AJ569" s="5"/>
      <c r="AK569" s="5"/>
      <c r="AL569" s="5"/>
    </row>
    <row r="570">
      <c r="A570" s="5"/>
      <c r="B570" s="5" t="str">
        <f>'Ingest Template'!B570&amp;IF('Ingest Template'!A570 = "Standard", " - DAR","")</f>
        <v/>
      </c>
      <c r="C570" s="6" t="str">
        <f>'Ingest Template'!C570</f>
        <v/>
      </c>
      <c r="D570" s="7" t="str">
        <f>'Ingest Template'!E570</f>
        <v/>
      </c>
      <c r="E570" s="5"/>
      <c r="F570" s="5"/>
      <c r="G570" s="5"/>
      <c r="H570" s="7"/>
      <c r="I570" s="5"/>
      <c r="J570" s="7" t="str">
        <f>'Ingest Template'!Q570</f>
        <v/>
      </c>
      <c r="K570" s="5" t="str">
        <f>'Ingest Template'!R570</f>
        <v/>
      </c>
      <c r="L570" s="8" t="s">
        <v>38</v>
      </c>
      <c r="M570" s="9"/>
      <c r="N570" s="5"/>
      <c r="O570" s="5"/>
      <c r="P570" s="5"/>
      <c r="Q570" s="5"/>
      <c r="R570" s="5" t="str">
        <f>'Ingest Template'!D570</f>
        <v/>
      </c>
      <c r="S570" s="5" t="str">
        <f>'Ingest Template'!G570</f>
        <v/>
      </c>
      <c r="T570" s="5" t="str">
        <f>'Ingest Template'!H570</f>
        <v/>
      </c>
      <c r="U570" s="5" t="str">
        <f>LOWER(SUBSTITUTE(SUBSTITUTE(SUBSTITUTE(SUBSTITUTE(SUBSTITUTE('Ingest Template'!I570,"https:",""),"www.",""),"/",""),"?hl=en",""),"instagram.com",""))</f>
        <v/>
      </c>
      <c r="V570" s="10" t="str">
        <f>'Ingest Template'!J570</f>
        <v/>
      </c>
      <c r="W570" s="10" t="str">
        <f>'Ingest Template'!K570</f>
        <v/>
      </c>
      <c r="X570" s="5"/>
      <c r="Y570" s="5" t="str">
        <f>SUBSTITUTE(SUBSTITUTE(SUBSTITUTE('Ingest Template'!L570,"http:",""),"https:",""),"/","")</f>
        <v/>
      </c>
      <c r="Z570" s="5" t="str">
        <f t="array" ref="Z570">IF('Ingest Template'!A570="Standard",(IF(ISBLANK('Ingest Template'!M570),"", 'Ingest Template'!M570&amp;"|DAR")),(IF(ISBLANK('Ingest Template'!M570),"", 'Ingest Template'!M570&amp;"|Operations - Core Title")))</f>
        <v/>
      </c>
      <c r="AA570" s="5"/>
      <c r="AB570" s="5" t="str">
        <f>'Ingest Template'!F570</f>
        <v/>
      </c>
      <c r="AC570" s="5"/>
      <c r="AD570" s="5"/>
      <c r="AE570" s="5"/>
      <c r="AF570" s="8"/>
      <c r="AG570" s="5" t="str">
        <f t="array" ref="AG570">IF('Ingest Template'!A570="Standard",(CONCATENATE(IF(ISBLANK('Ingest Template'!N570),"", 'Ingest Template'!N570&amp;"|DAR"),CHAR(10), IF(ISBLANK('Ingest Template'!O570),"", 'Ingest Template'!O570&amp;"|DAR"),CHAR(10), IF(ISBLANK('Ingest Template'!P570),"", 'Ingest Template'!P570&amp;"|DAR"))),(CONCATENATE(IF(ISBLANK('Ingest Template'!N570),"", 'Ingest Template'!N570&amp;"|Operations - Core Title"),CHAR(10), IF(ISBLANK('Ingest Template'!O570),"", 'Ingest Template'!O570&amp;"|Operations - Core Title"),CHAR(10), IF(ISBLANK('Ingest Template'!P570),"", 'Ingest Template'!P570&amp;"|Operations - Core Title"))))</f>
        <v>#|Operations - Core Title
</v>
      </c>
      <c r="AH570" s="5"/>
      <c r="AI570" s="5"/>
      <c r="AJ570" s="5"/>
      <c r="AK570" s="5"/>
      <c r="AL570" s="5"/>
    </row>
    <row r="571">
      <c r="A571" s="5"/>
      <c r="B571" s="5" t="str">
        <f>'Ingest Template'!B571&amp;IF('Ingest Template'!A571 = "Standard", " - DAR","")</f>
        <v/>
      </c>
      <c r="C571" s="6" t="str">
        <f>'Ingest Template'!C571</f>
        <v/>
      </c>
      <c r="D571" s="7" t="str">
        <f>'Ingest Template'!E571</f>
        <v/>
      </c>
      <c r="E571" s="5"/>
      <c r="F571" s="5"/>
      <c r="G571" s="5"/>
      <c r="H571" s="7"/>
      <c r="I571" s="5"/>
      <c r="J571" s="7" t="str">
        <f>'Ingest Template'!Q571</f>
        <v/>
      </c>
      <c r="K571" s="5" t="str">
        <f>'Ingest Template'!R571</f>
        <v/>
      </c>
      <c r="L571" s="8" t="s">
        <v>38</v>
      </c>
      <c r="M571" s="9"/>
      <c r="N571" s="5"/>
      <c r="O571" s="5"/>
      <c r="P571" s="5"/>
      <c r="Q571" s="5"/>
      <c r="R571" s="5" t="str">
        <f>'Ingest Template'!D571</f>
        <v/>
      </c>
      <c r="S571" s="5" t="str">
        <f>'Ingest Template'!G571</f>
        <v/>
      </c>
      <c r="T571" s="5" t="str">
        <f>'Ingest Template'!H571</f>
        <v/>
      </c>
      <c r="U571" s="5" t="str">
        <f>LOWER(SUBSTITUTE(SUBSTITUTE(SUBSTITUTE(SUBSTITUTE(SUBSTITUTE('Ingest Template'!I571,"https:",""),"www.",""),"/",""),"?hl=en",""),"instagram.com",""))</f>
        <v/>
      </c>
      <c r="V571" s="10" t="str">
        <f>'Ingest Template'!J571</f>
        <v/>
      </c>
      <c r="W571" s="10" t="str">
        <f>'Ingest Template'!K571</f>
        <v/>
      </c>
      <c r="X571" s="5"/>
      <c r="Y571" s="5" t="str">
        <f>SUBSTITUTE(SUBSTITUTE(SUBSTITUTE('Ingest Template'!L571,"http:",""),"https:",""),"/","")</f>
        <v/>
      </c>
      <c r="Z571" s="5" t="str">
        <f t="array" ref="Z571">IF('Ingest Template'!A571="Standard",(IF(ISBLANK('Ingest Template'!M571),"", 'Ingest Template'!M571&amp;"|DAR")),(IF(ISBLANK('Ingest Template'!M571),"", 'Ingest Template'!M571&amp;"|Operations - Core Title")))</f>
        <v/>
      </c>
      <c r="AA571" s="5"/>
      <c r="AB571" s="5" t="str">
        <f>'Ingest Template'!F571</f>
        <v/>
      </c>
      <c r="AC571" s="5"/>
      <c r="AD571" s="5"/>
      <c r="AE571" s="5"/>
      <c r="AF571" s="8"/>
      <c r="AG571" s="5" t="str">
        <f t="array" ref="AG571">IF('Ingest Template'!A571="Standard",(CONCATENATE(IF(ISBLANK('Ingest Template'!N571),"", 'Ingest Template'!N571&amp;"|DAR"),CHAR(10), IF(ISBLANK('Ingest Template'!O571),"", 'Ingest Template'!O571&amp;"|DAR"),CHAR(10), IF(ISBLANK('Ingest Template'!P571),"", 'Ingest Template'!P571&amp;"|DAR"))),(CONCATENATE(IF(ISBLANK('Ingest Template'!N571),"", 'Ingest Template'!N571&amp;"|Operations - Core Title"),CHAR(10), IF(ISBLANK('Ingest Template'!O571),"", 'Ingest Template'!O571&amp;"|Operations - Core Title"),CHAR(10), IF(ISBLANK('Ingest Template'!P571),"", 'Ingest Template'!P571&amp;"|Operations - Core Title"))))</f>
        <v>#|Operations - Core Title
</v>
      </c>
      <c r="AH571" s="5"/>
      <c r="AI571" s="5"/>
      <c r="AJ571" s="5"/>
      <c r="AK571" s="5"/>
      <c r="AL571" s="5"/>
    </row>
    <row r="572">
      <c r="A572" s="5"/>
      <c r="B572" s="5" t="str">
        <f>'Ingest Template'!B572&amp;IF('Ingest Template'!A572 = "Standard", " - DAR","")</f>
        <v/>
      </c>
      <c r="C572" s="6" t="str">
        <f>'Ingest Template'!C572</f>
        <v/>
      </c>
      <c r="D572" s="7" t="str">
        <f>'Ingest Template'!E572</f>
        <v/>
      </c>
      <c r="E572" s="5"/>
      <c r="F572" s="5"/>
      <c r="G572" s="5"/>
      <c r="H572" s="7"/>
      <c r="I572" s="5"/>
      <c r="J572" s="7" t="str">
        <f>'Ingest Template'!Q572</f>
        <v/>
      </c>
      <c r="K572" s="5" t="str">
        <f>'Ingest Template'!R572</f>
        <v/>
      </c>
      <c r="L572" s="8" t="s">
        <v>38</v>
      </c>
      <c r="M572" s="9"/>
      <c r="N572" s="5"/>
      <c r="O572" s="5"/>
      <c r="P572" s="5"/>
      <c r="Q572" s="5"/>
      <c r="R572" s="5" t="str">
        <f>'Ingest Template'!D572</f>
        <v/>
      </c>
      <c r="S572" s="5" t="str">
        <f>'Ingest Template'!G572</f>
        <v/>
      </c>
      <c r="T572" s="5" t="str">
        <f>'Ingest Template'!H572</f>
        <v/>
      </c>
      <c r="U572" s="5" t="str">
        <f>LOWER(SUBSTITUTE(SUBSTITUTE(SUBSTITUTE(SUBSTITUTE(SUBSTITUTE('Ingest Template'!I572,"https:",""),"www.",""),"/",""),"?hl=en",""),"instagram.com",""))</f>
        <v/>
      </c>
      <c r="V572" s="10" t="str">
        <f>'Ingest Template'!J572</f>
        <v/>
      </c>
      <c r="W572" s="10" t="str">
        <f>'Ingest Template'!K572</f>
        <v/>
      </c>
      <c r="X572" s="5"/>
      <c r="Y572" s="5" t="str">
        <f>SUBSTITUTE(SUBSTITUTE(SUBSTITUTE('Ingest Template'!L572,"http:",""),"https:",""),"/","")</f>
        <v/>
      </c>
      <c r="Z572" s="5" t="str">
        <f t="array" ref="Z572">IF('Ingest Template'!A572="Standard",(IF(ISBLANK('Ingest Template'!M572),"", 'Ingest Template'!M572&amp;"|DAR")),(IF(ISBLANK('Ingest Template'!M572),"", 'Ingest Template'!M572&amp;"|Operations - Core Title")))</f>
        <v/>
      </c>
      <c r="AA572" s="5"/>
      <c r="AB572" s="5" t="str">
        <f>'Ingest Template'!F572</f>
        <v/>
      </c>
      <c r="AC572" s="5"/>
      <c r="AD572" s="5"/>
      <c r="AE572" s="5"/>
      <c r="AF572" s="8"/>
      <c r="AG572" s="5" t="str">
        <f t="array" ref="AG572">IF('Ingest Template'!A572="Standard",(CONCATENATE(IF(ISBLANK('Ingest Template'!N572),"", 'Ingest Template'!N572&amp;"|DAR"),CHAR(10), IF(ISBLANK('Ingest Template'!O572),"", 'Ingest Template'!O572&amp;"|DAR"),CHAR(10), IF(ISBLANK('Ingest Template'!P572),"", 'Ingest Template'!P572&amp;"|DAR"))),(CONCATENATE(IF(ISBLANK('Ingest Template'!N572),"", 'Ingest Template'!N572&amp;"|Operations - Core Title"),CHAR(10), IF(ISBLANK('Ingest Template'!O572),"", 'Ingest Template'!O572&amp;"|Operations - Core Title"),CHAR(10), IF(ISBLANK('Ingest Template'!P572),"", 'Ingest Template'!P572&amp;"|Operations - Core Title"))))</f>
        <v>#|Operations - Core Title
</v>
      </c>
      <c r="AH572" s="5"/>
      <c r="AI572" s="5"/>
      <c r="AJ572" s="5"/>
      <c r="AK572" s="5"/>
      <c r="AL572" s="5"/>
    </row>
    <row r="573">
      <c r="A573" s="5"/>
      <c r="B573" s="5" t="str">
        <f>'Ingest Template'!B573&amp;IF('Ingest Template'!A573 = "Standard", " - DAR","")</f>
        <v/>
      </c>
      <c r="C573" s="6" t="str">
        <f>'Ingest Template'!C573</f>
        <v/>
      </c>
      <c r="D573" s="7" t="str">
        <f>'Ingest Template'!E573</f>
        <v/>
      </c>
      <c r="E573" s="5"/>
      <c r="F573" s="5"/>
      <c r="G573" s="5"/>
      <c r="H573" s="7"/>
      <c r="I573" s="5"/>
      <c r="J573" s="7" t="str">
        <f>'Ingest Template'!Q573</f>
        <v/>
      </c>
      <c r="K573" s="5" t="str">
        <f>'Ingest Template'!R573</f>
        <v/>
      </c>
      <c r="L573" s="8" t="s">
        <v>38</v>
      </c>
      <c r="M573" s="9"/>
      <c r="N573" s="5"/>
      <c r="O573" s="5"/>
      <c r="P573" s="5"/>
      <c r="Q573" s="5"/>
      <c r="R573" s="5" t="str">
        <f>'Ingest Template'!D573</f>
        <v/>
      </c>
      <c r="S573" s="5" t="str">
        <f>'Ingest Template'!G573</f>
        <v/>
      </c>
      <c r="T573" s="5" t="str">
        <f>'Ingest Template'!H573</f>
        <v/>
      </c>
      <c r="U573" s="5" t="str">
        <f>LOWER(SUBSTITUTE(SUBSTITUTE(SUBSTITUTE(SUBSTITUTE(SUBSTITUTE('Ingest Template'!I573,"https:",""),"www.",""),"/",""),"?hl=en",""),"instagram.com",""))</f>
        <v/>
      </c>
      <c r="V573" s="10" t="str">
        <f>'Ingest Template'!J573</f>
        <v/>
      </c>
      <c r="W573" s="10" t="str">
        <f>'Ingest Template'!K573</f>
        <v/>
      </c>
      <c r="X573" s="5"/>
      <c r="Y573" s="5" t="str">
        <f>SUBSTITUTE(SUBSTITUTE(SUBSTITUTE('Ingest Template'!L573,"http:",""),"https:",""),"/","")</f>
        <v/>
      </c>
      <c r="Z573" s="5" t="str">
        <f t="array" ref="Z573">IF('Ingest Template'!A573="Standard",(IF(ISBLANK('Ingest Template'!M573),"", 'Ingest Template'!M573&amp;"|DAR")),(IF(ISBLANK('Ingest Template'!M573),"", 'Ingest Template'!M573&amp;"|Operations - Core Title")))</f>
        <v/>
      </c>
      <c r="AA573" s="5"/>
      <c r="AB573" s="5" t="str">
        <f>'Ingest Template'!F573</f>
        <v/>
      </c>
      <c r="AC573" s="5"/>
      <c r="AD573" s="5"/>
      <c r="AE573" s="5"/>
      <c r="AF573" s="8"/>
      <c r="AG573" s="5" t="str">
        <f t="array" ref="AG573">IF('Ingest Template'!A573="Standard",(CONCATENATE(IF(ISBLANK('Ingest Template'!N573),"", 'Ingest Template'!N573&amp;"|DAR"),CHAR(10), IF(ISBLANK('Ingest Template'!O573),"", 'Ingest Template'!O573&amp;"|DAR"),CHAR(10), IF(ISBLANK('Ingest Template'!P573),"", 'Ingest Template'!P573&amp;"|DAR"))),(CONCATENATE(IF(ISBLANK('Ingest Template'!N573),"", 'Ingest Template'!N573&amp;"|Operations - Core Title"),CHAR(10), IF(ISBLANK('Ingest Template'!O573),"", 'Ingest Template'!O573&amp;"|Operations - Core Title"),CHAR(10), IF(ISBLANK('Ingest Template'!P573),"", 'Ingest Template'!P573&amp;"|Operations - Core Title"))))</f>
        <v>#|Operations - Core Title
</v>
      </c>
      <c r="AH573" s="5"/>
      <c r="AI573" s="5"/>
      <c r="AJ573" s="5"/>
      <c r="AK573" s="5"/>
      <c r="AL573" s="5"/>
    </row>
    <row r="574">
      <c r="A574" s="5"/>
      <c r="B574" s="5" t="str">
        <f>'Ingest Template'!B574&amp;IF('Ingest Template'!A574 = "Standard", " - DAR","")</f>
        <v/>
      </c>
      <c r="C574" s="6" t="str">
        <f>'Ingest Template'!C574</f>
        <v/>
      </c>
      <c r="D574" s="7" t="str">
        <f>'Ingest Template'!E574</f>
        <v/>
      </c>
      <c r="E574" s="5"/>
      <c r="F574" s="5"/>
      <c r="G574" s="5"/>
      <c r="H574" s="7"/>
      <c r="I574" s="5"/>
      <c r="J574" s="7" t="str">
        <f>'Ingest Template'!Q574</f>
        <v/>
      </c>
      <c r="K574" s="5" t="str">
        <f>'Ingest Template'!R574</f>
        <v/>
      </c>
      <c r="L574" s="8" t="s">
        <v>38</v>
      </c>
      <c r="M574" s="9"/>
      <c r="N574" s="5"/>
      <c r="O574" s="5"/>
      <c r="P574" s="5"/>
      <c r="Q574" s="5"/>
      <c r="R574" s="5" t="str">
        <f>'Ingest Template'!D574</f>
        <v/>
      </c>
      <c r="S574" s="5" t="str">
        <f>'Ingest Template'!G574</f>
        <v/>
      </c>
      <c r="T574" s="5" t="str">
        <f>'Ingest Template'!H574</f>
        <v/>
      </c>
      <c r="U574" s="5" t="str">
        <f>LOWER(SUBSTITUTE(SUBSTITUTE(SUBSTITUTE(SUBSTITUTE(SUBSTITUTE('Ingest Template'!I574,"https:",""),"www.",""),"/",""),"?hl=en",""),"instagram.com",""))</f>
        <v/>
      </c>
      <c r="V574" s="10" t="str">
        <f>'Ingest Template'!J574</f>
        <v/>
      </c>
      <c r="W574" s="10" t="str">
        <f>'Ingest Template'!K574</f>
        <v/>
      </c>
      <c r="X574" s="5"/>
      <c r="Y574" s="5" t="str">
        <f>SUBSTITUTE(SUBSTITUTE(SUBSTITUTE('Ingest Template'!L574,"http:",""),"https:",""),"/","")</f>
        <v/>
      </c>
      <c r="Z574" s="5" t="str">
        <f t="array" ref="Z574">IF('Ingest Template'!A574="Standard",(IF(ISBLANK('Ingest Template'!M574),"", 'Ingest Template'!M574&amp;"|DAR")),(IF(ISBLANK('Ingest Template'!M574),"", 'Ingest Template'!M574&amp;"|Operations - Core Title")))</f>
        <v/>
      </c>
      <c r="AA574" s="5"/>
      <c r="AB574" s="5" t="str">
        <f>'Ingest Template'!F574</f>
        <v/>
      </c>
      <c r="AC574" s="5"/>
      <c r="AD574" s="5"/>
      <c r="AE574" s="5"/>
      <c r="AF574" s="8"/>
      <c r="AG574" s="5" t="str">
        <f t="array" ref="AG574">IF('Ingest Template'!A574="Standard",(CONCATENATE(IF(ISBLANK('Ingest Template'!N574),"", 'Ingest Template'!N574&amp;"|DAR"),CHAR(10), IF(ISBLANK('Ingest Template'!O574),"", 'Ingest Template'!O574&amp;"|DAR"),CHAR(10), IF(ISBLANK('Ingest Template'!P574),"", 'Ingest Template'!P574&amp;"|DAR"))),(CONCATENATE(IF(ISBLANK('Ingest Template'!N574),"", 'Ingest Template'!N574&amp;"|Operations - Core Title"),CHAR(10), IF(ISBLANK('Ingest Template'!O574),"", 'Ingest Template'!O574&amp;"|Operations - Core Title"),CHAR(10), IF(ISBLANK('Ingest Template'!P574),"", 'Ingest Template'!P574&amp;"|Operations - Core Title"))))</f>
        <v>#|Operations - Core Title
</v>
      </c>
      <c r="AH574" s="5"/>
      <c r="AI574" s="5"/>
      <c r="AJ574" s="5"/>
      <c r="AK574" s="5"/>
      <c r="AL574" s="5"/>
    </row>
    <row r="575">
      <c r="A575" s="5"/>
      <c r="B575" s="5" t="str">
        <f>'Ingest Template'!B575&amp;IF('Ingest Template'!A575 = "Standard", " - DAR","")</f>
        <v/>
      </c>
      <c r="C575" s="6" t="str">
        <f>'Ingest Template'!C575</f>
        <v/>
      </c>
      <c r="D575" s="7" t="str">
        <f>'Ingest Template'!E575</f>
        <v/>
      </c>
      <c r="E575" s="5"/>
      <c r="F575" s="5"/>
      <c r="G575" s="5"/>
      <c r="H575" s="7"/>
      <c r="I575" s="5"/>
      <c r="J575" s="7" t="str">
        <f>'Ingest Template'!Q575</f>
        <v/>
      </c>
      <c r="K575" s="5" t="str">
        <f>'Ingest Template'!R575</f>
        <v/>
      </c>
      <c r="L575" s="8" t="s">
        <v>38</v>
      </c>
      <c r="M575" s="9"/>
      <c r="N575" s="5"/>
      <c r="O575" s="5"/>
      <c r="P575" s="5"/>
      <c r="Q575" s="5"/>
      <c r="R575" s="5" t="str">
        <f>'Ingest Template'!D575</f>
        <v/>
      </c>
      <c r="S575" s="5" t="str">
        <f>'Ingest Template'!G575</f>
        <v/>
      </c>
      <c r="T575" s="5" t="str">
        <f>'Ingest Template'!H575</f>
        <v/>
      </c>
      <c r="U575" s="5" t="str">
        <f>LOWER(SUBSTITUTE(SUBSTITUTE(SUBSTITUTE(SUBSTITUTE(SUBSTITUTE('Ingest Template'!I575,"https:",""),"www.",""),"/",""),"?hl=en",""),"instagram.com",""))</f>
        <v/>
      </c>
      <c r="V575" s="10" t="str">
        <f>'Ingest Template'!J575</f>
        <v/>
      </c>
      <c r="W575" s="10" t="str">
        <f>'Ingest Template'!K575</f>
        <v/>
      </c>
      <c r="X575" s="5"/>
      <c r="Y575" s="5" t="str">
        <f>SUBSTITUTE(SUBSTITUTE(SUBSTITUTE('Ingest Template'!L575,"http:",""),"https:",""),"/","")</f>
        <v/>
      </c>
      <c r="Z575" s="5" t="str">
        <f t="array" ref="Z575">IF('Ingest Template'!A575="Standard",(IF(ISBLANK('Ingest Template'!M575),"", 'Ingest Template'!M575&amp;"|DAR")),(IF(ISBLANK('Ingest Template'!M575),"", 'Ingest Template'!M575&amp;"|Operations - Core Title")))</f>
        <v/>
      </c>
      <c r="AA575" s="5"/>
      <c r="AB575" s="5" t="str">
        <f>'Ingest Template'!F575</f>
        <v/>
      </c>
      <c r="AC575" s="5"/>
      <c r="AD575" s="5"/>
      <c r="AE575" s="5"/>
      <c r="AF575" s="8"/>
      <c r="AG575" s="5" t="str">
        <f t="array" ref="AG575">IF('Ingest Template'!A575="Standard",(CONCATENATE(IF(ISBLANK('Ingest Template'!N575),"", 'Ingest Template'!N575&amp;"|DAR"),CHAR(10), IF(ISBLANK('Ingest Template'!O575),"", 'Ingest Template'!O575&amp;"|DAR"),CHAR(10), IF(ISBLANK('Ingest Template'!P575),"", 'Ingest Template'!P575&amp;"|DAR"))),(CONCATENATE(IF(ISBLANK('Ingest Template'!N575),"", 'Ingest Template'!N575&amp;"|Operations - Core Title"),CHAR(10), IF(ISBLANK('Ingest Template'!O575),"", 'Ingest Template'!O575&amp;"|Operations - Core Title"),CHAR(10), IF(ISBLANK('Ingest Template'!P575),"", 'Ingest Template'!P575&amp;"|Operations - Core Title"))))</f>
        <v>#|Operations - Core Title
</v>
      </c>
      <c r="AH575" s="5"/>
      <c r="AI575" s="5"/>
      <c r="AJ575" s="5"/>
      <c r="AK575" s="5"/>
      <c r="AL575" s="5"/>
    </row>
    <row r="576">
      <c r="A576" s="5"/>
      <c r="B576" s="5" t="str">
        <f>'Ingest Template'!B576&amp;IF('Ingest Template'!A576 = "Standard", " - DAR","")</f>
        <v/>
      </c>
      <c r="C576" s="6" t="str">
        <f>'Ingest Template'!C576</f>
        <v/>
      </c>
      <c r="D576" s="7" t="str">
        <f>'Ingest Template'!E576</f>
        <v/>
      </c>
      <c r="E576" s="5"/>
      <c r="F576" s="5"/>
      <c r="G576" s="5"/>
      <c r="H576" s="7"/>
      <c r="I576" s="5"/>
      <c r="J576" s="7" t="str">
        <f>'Ingest Template'!Q576</f>
        <v/>
      </c>
      <c r="K576" s="5" t="str">
        <f>'Ingest Template'!R576</f>
        <v/>
      </c>
      <c r="L576" s="8" t="s">
        <v>38</v>
      </c>
      <c r="M576" s="9"/>
      <c r="N576" s="5"/>
      <c r="O576" s="5"/>
      <c r="P576" s="5"/>
      <c r="Q576" s="5"/>
      <c r="R576" s="5" t="str">
        <f>'Ingest Template'!D576</f>
        <v/>
      </c>
      <c r="S576" s="5" t="str">
        <f>'Ingest Template'!G576</f>
        <v/>
      </c>
      <c r="T576" s="5" t="str">
        <f>'Ingest Template'!H576</f>
        <v/>
      </c>
      <c r="U576" s="5" t="str">
        <f>LOWER(SUBSTITUTE(SUBSTITUTE(SUBSTITUTE(SUBSTITUTE(SUBSTITUTE('Ingest Template'!I576,"https:",""),"www.",""),"/",""),"?hl=en",""),"instagram.com",""))</f>
        <v/>
      </c>
      <c r="V576" s="10" t="str">
        <f>'Ingest Template'!J576</f>
        <v/>
      </c>
      <c r="W576" s="10" t="str">
        <f>'Ingest Template'!K576</f>
        <v/>
      </c>
      <c r="X576" s="5"/>
      <c r="Y576" s="5" t="str">
        <f>SUBSTITUTE(SUBSTITUTE(SUBSTITUTE('Ingest Template'!L576,"http:",""),"https:",""),"/","")</f>
        <v/>
      </c>
      <c r="Z576" s="5" t="str">
        <f t="array" ref="Z576">IF('Ingest Template'!A576="Standard",(IF(ISBLANK('Ingest Template'!M576),"", 'Ingest Template'!M576&amp;"|DAR")),(IF(ISBLANK('Ingest Template'!M576),"", 'Ingest Template'!M576&amp;"|Operations - Core Title")))</f>
        <v/>
      </c>
      <c r="AA576" s="5"/>
      <c r="AB576" s="5" t="str">
        <f>'Ingest Template'!F576</f>
        <v/>
      </c>
      <c r="AC576" s="5"/>
      <c r="AD576" s="5"/>
      <c r="AE576" s="5"/>
      <c r="AF576" s="8"/>
      <c r="AG576" s="5" t="str">
        <f t="array" ref="AG576">IF('Ingest Template'!A576="Standard",(CONCATENATE(IF(ISBLANK('Ingest Template'!N576),"", 'Ingest Template'!N576&amp;"|DAR"),CHAR(10), IF(ISBLANK('Ingest Template'!O576),"", 'Ingest Template'!O576&amp;"|DAR"),CHAR(10), IF(ISBLANK('Ingest Template'!P576),"", 'Ingest Template'!P576&amp;"|DAR"))),(CONCATENATE(IF(ISBLANK('Ingest Template'!N576),"", 'Ingest Template'!N576&amp;"|Operations - Core Title"),CHAR(10), IF(ISBLANK('Ingest Template'!O576),"", 'Ingest Template'!O576&amp;"|Operations - Core Title"),CHAR(10), IF(ISBLANK('Ingest Template'!P576),"", 'Ingest Template'!P576&amp;"|Operations - Core Title"))))</f>
        <v>#|Operations - Core Title
</v>
      </c>
      <c r="AH576" s="5"/>
      <c r="AI576" s="5"/>
      <c r="AJ576" s="5"/>
      <c r="AK576" s="5"/>
      <c r="AL576" s="5"/>
    </row>
    <row r="577">
      <c r="A577" s="5"/>
      <c r="B577" s="5" t="str">
        <f>'Ingest Template'!B577&amp;IF('Ingest Template'!A577 = "Standard", " - DAR","")</f>
        <v/>
      </c>
      <c r="C577" s="6" t="str">
        <f>'Ingest Template'!C577</f>
        <v/>
      </c>
      <c r="D577" s="7" t="str">
        <f>'Ingest Template'!E577</f>
        <v/>
      </c>
      <c r="E577" s="5"/>
      <c r="F577" s="5"/>
      <c r="G577" s="5"/>
      <c r="H577" s="7"/>
      <c r="I577" s="5"/>
      <c r="J577" s="7" t="str">
        <f>'Ingest Template'!Q577</f>
        <v/>
      </c>
      <c r="K577" s="5" t="str">
        <f>'Ingest Template'!R577</f>
        <v/>
      </c>
      <c r="L577" s="8" t="s">
        <v>38</v>
      </c>
      <c r="M577" s="9"/>
      <c r="N577" s="5"/>
      <c r="O577" s="5"/>
      <c r="P577" s="5"/>
      <c r="Q577" s="5"/>
      <c r="R577" s="5" t="str">
        <f>'Ingest Template'!D577</f>
        <v/>
      </c>
      <c r="S577" s="5" t="str">
        <f>'Ingest Template'!G577</f>
        <v/>
      </c>
      <c r="T577" s="5" t="str">
        <f>'Ingest Template'!H577</f>
        <v/>
      </c>
      <c r="U577" s="5" t="str">
        <f>LOWER(SUBSTITUTE(SUBSTITUTE(SUBSTITUTE(SUBSTITUTE(SUBSTITUTE('Ingest Template'!I577,"https:",""),"www.",""),"/",""),"?hl=en",""),"instagram.com",""))</f>
        <v/>
      </c>
      <c r="V577" s="10" t="str">
        <f>'Ingest Template'!J577</f>
        <v/>
      </c>
      <c r="W577" s="10" t="str">
        <f>'Ingest Template'!K577</f>
        <v/>
      </c>
      <c r="X577" s="5"/>
      <c r="Y577" s="5" t="str">
        <f>SUBSTITUTE(SUBSTITUTE(SUBSTITUTE('Ingest Template'!L577,"http:",""),"https:",""),"/","")</f>
        <v/>
      </c>
      <c r="Z577" s="5" t="str">
        <f t="array" ref="Z577">IF('Ingest Template'!A577="Standard",(IF(ISBLANK('Ingest Template'!M577),"", 'Ingest Template'!M577&amp;"|DAR")),(IF(ISBLANK('Ingest Template'!M577),"", 'Ingest Template'!M577&amp;"|Operations - Core Title")))</f>
        <v/>
      </c>
      <c r="AA577" s="5"/>
      <c r="AB577" s="5" t="str">
        <f>'Ingest Template'!F577</f>
        <v/>
      </c>
      <c r="AC577" s="5"/>
      <c r="AD577" s="5"/>
      <c r="AE577" s="5"/>
      <c r="AF577" s="8"/>
      <c r="AG577" s="5" t="str">
        <f t="array" ref="AG577">IF('Ingest Template'!A577="Standard",(CONCATENATE(IF(ISBLANK('Ingest Template'!N577),"", 'Ingest Template'!N577&amp;"|DAR"),CHAR(10), IF(ISBLANK('Ingest Template'!O577),"", 'Ingest Template'!O577&amp;"|DAR"),CHAR(10), IF(ISBLANK('Ingest Template'!P577),"", 'Ingest Template'!P577&amp;"|DAR"))),(CONCATENATE(IF(ISBLANK('Ingest Template'!N577),"", 'Ingest Template'!N577&amp;"|Operations - Core Title"),CHAR(10), IF(ISBLANK('Ingest Template'!O577),"", 'Ingest Template'!O577&amp;"|Operations - Core Title"),CHAR(10), IF(ISBLANK('Ingest Template'!P577),"", 'Ingest Template'!P577&amp;"|Operations - Core Title"))))</f>
        <v>#|Operations - Core Title
</v>
      </c>
      <c r="AH577" s="5"/>
      <c r="AI577" s="5"/>
      <c r="AJ577" s="5"/>
      <c r="AK577" s="5"/>
      <c r="AL577" s="5"/>
    </row>
    <row r="578">
      <c r="A578" s="5"/>
      <c r="B578" s="5" t="str">
        <f>'Ingest Template'!B578&amp;IF('Ingest Template'!A578 = "Standard", " - DAR","")</f>
        <v/>
      </c>
      <c r="C578" s="6" t="str">
        <f>'Ingest Template'!C578</f>
        <v/>
      </c>
      <c r="D578" s="7" t="str">
        <f>'Ingest Template'!E578</f>
        <v/>
      </c>
      <c r="E578" s="5"/>
      <c r="F578" s="5"/>
      <c r="G578" s="5"/>
      <c r="H578" s="7"/>
      <c r="I578" s="5"/>
      <c r="J578" s="7" t="str">
        <f>'Ingest Template'!Q578</f>
        <v/>
      </c>
      <c r="K578" s="5" t="str">
        <f>'Ingest Template'!R578</f>
        <v/>
      </c>
      <c r="L578" s="8" t="s">
        <v>38</v>
      </c>
      <c r="M578" s="9"/>
      <c r="N578" s="5"/>
      <c r="O578" s="5"/>
      <c r="P578" s="5"/>
      <c r="Q578" s="5"/>
      <c r="R578" s="5" t="str">
        <f>'Ingest Template'!D578</f>
        <v/>
      </c>
      <c r="S578" s="5" t="str">
        <f>'Ingest Template'!G578</f>
        <v/>
      </c>
      <c r="T578" s="5" t="str">
        <f>'Ingest Template'!H578</f>
        <v/>
      </c>
      <c r="U578" s="5" t="str">
        <f>LOWER(SUBSTITUTE(SUBSTITUTE(SUBSTITUTE(SUBSTITUTE(SUBSTITUTE('Ingest Template'!I578,"https:",""),"www.",""),"/",""),"?hl=en",""),"instagram.com",""))</f>
        <v/>
      </c>
      <c r="V578" s="10" t="str">
        <f>'Ingest Template'!J578</f>
        <v/>
      </c>
      <c r="W578" s="10" t="str">
        <f>'Ingest Template'!K578</f>
        <v/>
      </c>
      <c r="X578" s="5"/>
      <c r="Y578" s="5" t="str">
        <f>SUBSTITUTE(SUBSTITUTE(SUBSTITUTE('Ingest Template'!L578,"http:",""),"https:",""),"/","")</f>
        <v/>
      </c>
      <c r="Z578" s="5" t="str">
        <f t="array" ref="Z578">IF('Ingest Template'!A578="Standard",(IF(ISBLANK('Ingest Template'!M578),"", 'Ingest Template'!M578&amp;"|DAR")),(IF(ISBLANK('Ingest Template'!M578),"", 'Ingest Template'!M578&amp;"|Operations - Core Title")))</f>
        <v/>
      </c>
      <c r="AA578" s="5"/>
      <c r="AB578" s="5" t="str">
        <f>'Ingest Template'!F578</f>
        <v/>
      </c>
      <c r="AC578" s="5"/>
      <c r="AD578" s="5"/>
      <c r="AE578" s="5"/>
      <c r="AF578" s="8"/>
      <c r="AG578" s="5" t="str">
        <f t="array" ref="AG578">IF('Ingest Template'!A578="Standard",(CONCATENATE(IF(ISBLANK('Ingest Template'!N578),"", 'Ingest Template'!N578&amp;"|DAR"),CHAR(10), IF(ISBLANK('Ingest Template'!O578),"", 'Ingest Template'!O578&amp;"|DAR"),CHAR(10), IF(ISBLANK('Ingest Template'!P578),"", 'Ingest Template'!P578&amp;"|DAR"))),(CONCATENATE(IF(ISBLANK('Ingest Template'!N578),"", 'Ingest Template'!N578&amp;"|Operations - Core Title"),CHAR(10), IF(ISBLANK('Ingest Template'!O578),"", 'Ingest Template'!O578&amp;"|Operations - Core Title"),CHAR(10), IF(ISBLANK('Ingest Template'!P578),"", 'Ingest Template'!P578&amp;"|Operations - Core Title"))))</f>
        <v>#|Operations - Core Title
</v>
      </c>
      <c r="AH578" s="5"/>
      <c r="AI578" s="5"/>
      <c r="AJ578" s="5"/>
      <c r="AK578" s="5"/>
      <c r="AL578" s="5"/>
    </row>
    <row r="579">
      <c r="A579" s="5"/>
      <c r="B579" s="5" t="str">
        <f>'Ingest Template'!B579&amp;IF('Ingest Template'!A579 = "Standard", " - DAR","")</f>
        <v/>
      </c>
      <c r="C579" s="6" t="str">
        <f>'Ingest Template'!C579</f>
        <v/>
      </c>
      <c r="D579" s="7" t="str">
        <f>'Ingest Template'!E579</f>
        <v/>
      </c>
      <c r="E579" s="5"/>
      <c r="F579" s="5"/>
      <c r="G579" s="5"/>
      <c r="H579" s="7"/>
      <c r="I579" s="5"/>
      <c r="J579" s="7" t="str">
        <f>'Ingest Template'!Q579</f>
        <v/>
      </c>
      <c r="K579" s="5" t="str">
        <f>'Ingest Template'!R579</f>
        <v/>
      </c>
      <c r="L579" s="8" t="s">
        <v>38</v>
      </c>
      <c r="M579" s="9"/>
      <c r="N579" s="5"/>
      <c r="O579" s="5"/>
      <c r="P579" s="5"/>
      <c r="Q579" s="5"/>
      <c r="R579" s="5" t="str">
        <f>'Ingest Template'!D579</f>
        <v/>
      </c>
      <c r="S579" s="5" t="str">
        <f>'Ingest Template'!G579</f>
        <v/>
      </c>
      <c r="T579" s="5" t="str">
        <f>'Ingest Template'!H579</f>
        <v/>
      </c>
      <c r="U579" s="5" t="str">
        <f>LOWER(SUBSTITUTE(SUBSTITUTE(SUBSTITUTE(SUBSTITUTE(SUBSTITUTE('Ingest Template'!I579,"https:",""),"www.",""),"/",""),"?hl=en",""),"instagram.com",""))</f>
        <v/>
      </c>
      <c r="V579" s="10" t="str">
        <f>'Ingest Template'!J579</f>
        <v/>
      </c>
      <c r="W579" s="10" t="str">
        <f>'Ingest Template'!K579</f>
        <v/>
      </c>
      <c r="X579" s="5"/>
      <c r="Y579" s="5" t="str">
        <f>SUBSTITUTE(SUBSTITUTE(SUBSTITUTE('Ingest Template'!L579,"http:",""),"https:",""),"/","")</f>
        <v/>
      </c>
      <c r="Z579" s="5" t="str">
        <f t="array" ref="Z579">IF('Ingest Template'!A579="Standard",(IF(ISBLANK('Ingest Template'!M579),"", 'Ingest Template'!M579&amp;"|DAR")),(IF(ISBLANK('Ingest Template'!M579),"", 'Ingest Template'!M579&amp;"|Operations - Core Title")))</f>
        <v/>
      </c>
      <c r="AA579" s="5"/>
      <c r="AB579" s="5" t="str">
        <f>'Ingest Template'!F579</f>
        <v/>
      </c>
      <c r="AC579" s="5"/>
      <c r="AD579" s="5"/>
      <c r="AE579" s="5"/>
      <c r="AF579" s="8"/>
      <c r="AG579" s="5" t="str">
        <f t="array" ref="AG579">IF('Ingest Template'!A579="Standard",(CONCATENATE(IF(ISBLANK('Ingest Template'!N579),"", 'Ingest Template'!N579&amp;"|DAR"),CHAR(10), IF(ISBLANK('Ingest Template'!O579),"", 'Ingest Template'!O579&amp;"|DAR"),CHAR(10), IF(ISBLANK('Ingest Template'!P579),"", 'Ingest Template'!P579&amp;"|DAR"))),(CONCATENATE(IF(ISBLANK('Ingest Template'!N579),"", 'Ingest Template'!N579&amp;"|Operations - Core Title"),CHAR(10), IF(ISBLANK('Ingest Template'!O579),"", 'Ingest Template'!O579&amp;"|Operations - Core Title"),CHAR(10), IF(ISBLANK('Ingest Template'!P579),"", 'Ingest Template'!P579&amp;"|Operations - Core Title"))))</f>
        <v>#|Operations - Core Title
</v>
      </c>
      <c r="AH579" s="5"/>
      <c r="AI579" s="5"/>
      <c r="AJ579" s="5"/>
      <c r="AK579" s="5"/>
      <c r="AL579" s="5"/>
    </row>
    <row r="580">
      <c r="A580" s="5"/>
      <c r="B580" s="5" t="str">
        <f>'Ingest Template'!B580&amp;IF('Ingest Template'!A580 = "Standard", " - DAR","")</f>
        <v/>
      </c>
      <c r="C580" s="6" t="str">
        <f>'Ingest Template'!C580</f>
        <v/>
      </c>
      <c r="D580" s="7" t="str">
        <f>'Ingest Template'!E580</f>
        <v/>
      </c>
      <c r="E580" s="5"/>
      <c r="F580" s="5"/>
      <c r="G580" s="5"/>
      <c r="H580" s="7"/>
      <c r="I580" s="5"/>
      <c r="J580" s="7" t="str">
        <f>'Ingest Template'!Q580</f>
        <v/>
      </c>
      <c r="K580" s="5" t="str">
        <f>'Ingest Template'!R580</f>
        <v/>
      </c>
      <c r="L580" s="8" t="s">
        <v>38</v>
      </c>
      <c r="M580" s="9"/>
      <c r="N580" s="5"/>
      <c r="O580" s="5"/>
      <c r="P580" s="5"/>
      <c r="Q580" s="5"/>
      <c r="R580" s="5" t="str">
        <f>'Ingest Template'!D580</f>
        <v/>
      </c>
      <c r="S580" s="5" t="str">
        <f>'Ingest Template'!G580</f>
        <v/>
      </c>
      <c r="T580" s="5" t="str">
        <f>'Ingest Template'!H580</f>
        <v/>
      </c>
      <c r="U580" s="5" t="str">
        <f>LOWER(SUBSTITUTE(SUBSTITUTE(SUBSTITUTE(SUBSTITUTE(SUBSTITUTE('Ingest Template'!I580,"https:",""),"www.",""),"/",""),"?hl=en",""),"instagram.com",""))</f>
        <v/>
      </c>
      <c r="V580" s="10" t="str">
        <f>'Ingest Template'!J580</f>
        <v/>
      </c>
      <c r="W580" s="10" t="str">
        <f>'Ingest Template'!K580</f>
        <v/>
      </c>
      <c r="X580" s="5"/>
      <c r="Y580" s="5" t="str">
        <f>SUBSTITUTE(SUBSTITUTE(SUBSTITUTE('Ingest Template'!L580,"http:",""),"https:",""),"/","")</f>
        <v/>
      </c>
      <c r="Z580" s="5" t="str">
        <f t="array" ref="Z580">IF('Ingest Template'!A580="Standard",(IF(ISBLANK('Ingest Template'!M580),"", 'Ingest Template'!M580&amp;"|DAR")),(IF(ISBLANK('Ingest Template'!M580),"", 'Ingest Template'!M580&amp;"|Operations - Core Title")))</f>
        <v/>
      </c>
      <c r="AA580" s="5"/>
      <c r="AB580" s="5" t="str">
        <f>'Ingest Template'!F580</f>
        <v/>
      </c>
      <c r="AC580" s="5"/>
      <c r="AD580" s="5"/>
      <c r="AE580" s="5"/>
      <c r="AF580" s="8"/>
      <c r="AG580" s="5" t="str">
        <f t="array" ref="AG580">IF('Ingest Template'!A580="Standard",(CONCATENATE(IF(ISBLANK('Ingest Template'!N580),"", 'Ingest Template'!N580&amp;"|DAR"),CHAR(10), IF(ISBLANK('Ingest Template'!O580),"", 'Ingest Template'!O580&amp;"|DAR"),CHAR(10), IF(ISBLANK('Ingest Template'!P580),"", 'Ingest Template'!P580&amp;"|DAR"))),(CONCATENATE(IF(ISBLANK('Ingest Template'!N580),"", 'Ingest Template'!N580&amp;"|Operations - Core Title"),CHAR(10), IF(ISBLANK('Ingest Template'!O580),"", 'Ingest Template'!O580&amp;"|Operations - Core Title"),CHAR(10), IF(ISBLANK('Ingest Template'!P580),"", 'Ingest Template'!P580&amp;"|Operations - Core Title"))))</f>
        <v>#|Operations - Core Title
</v>
      </c>
      <c r="AH580" s="5"/>
      <c r="AI580" s="5"/>
      <c r="AJ580" s="5"/>
      <c r="AK580" s="5"/>
      <c r="AL580" s="5"/>
    </row>
    <row r="581">
      <c r="A581" s="5"/>
      <c r="B581" s="5" t="str">
        <f>'Ingest Template'!B581&amp;IF('Ingest Template'!A581 = "Standard", " - DAR","")</f>
        <v/>
      </c>
      <c r="C581" s="6" t="str">
        <f>'Ingest Template'!C581</f>
        <v/>
      </c>
      <c r="D581" s="7" t="str">
        <f>'Ingest Template'!E581</f>
        <v/>
      </c>
      <c r="E581" s="5"/>
      <c r="F581" s="5"/>
      <c r="G581" s="5"/>
      <c r="H581" s="7"/>
      <c r="I581" s="5"/>
      <c r="J581" s="7" t="str">
        <f>'Ingest Template'!Q581</f>
        <v/>
      </c>
      <c r="K581" s="5" t="str">
        <f>'Ingest Template'!R581</f>
        <v/>
      </c>
      <c r="L581" s="8" t="s">
        <v>38</v>
      </c>
      <c r="M581" s="9"/>
      <c r="N581" s="5"/>
      <c r="O581" s="5"/>
      <c r="P581" s="5"/>
      <c r="Q581" s="5"/>
      <c r="R581" s="5" t="str">
        <f>'Ingest Template'!D581</f>
        <v/>
      </c>
      <c r="S581" s="5" t="str">
        <f>'Ingest Template'!G581</f>
        <v/>
      </c>
      <c r="T581" s="5" t="str">
        <f>'Ingest Template'!H581</f>
        <v/>
      </c>
      <c r="U581" s="5" t="str">
        <f>LOWER(SUBSTITUTE(SUBSTITUTE(SUBSTITUTE(SUBSTITUTE(SUBSTITUTE('Ingest Template'!I581,"https:",""),"www.",""),"/",""),"?hl=en",""),"instagram.com",""))</f>
        <v/>
      </c>
      <c r="V581" s="10" t="str">
        <f>'Ingest Template'!J581</f>
        <v/>
      </c>
      <c r="W581" s="10" t="str">
        <f>'Ingest Template'!K581</f>
        <v/>
      </c>
      <c r="X581" s="5"/>
      <c r="Y581" s="5" t="str">
        <f>SUBSTITUTE(SUBSTITUTE(SUBSTITUTE('Ingest Template'!L581,"http:",""),"https:",""),"/","")</f>
        <v/>
      </c>
      <c r="Z581" s="5" t="str">
        <f t="array" ref="Z581">IF('Ingest Template'!A581="Standard",(IF(ISBLANK('Ingest Template'!M581),"", 'Ingest Template'!M581&amp;"|DAR")),(IF(ISBLANK('Ingest Template'!M581),"", 'Ingest Template'!M581&amp;"|Operations - Core Title")))</f>
        <v/>
      </c>
      <c r="AA581" s="5"/>
      <c r="AB581" s="5" t="str">
        <f>'Ingest Template'!F581</f>
        <v/>
      </c>
      <c r="AC581" s="5"/>
      <c r="AD581" s="5"/>
      <c r="AE581" s="5"/>
      <c r="AF581" s="8"/>
      <c r="AG581" s="5" t="str">
        <f t="array" ref="AG581">IF('Ingest Template'!A581="Standard",(CONCATENATE(IF(ISBLANK('Ingest Template'!N581),"", 'Ingest Template'!N581&amp;"|DAR"),CHAR(10), IF(ISBLANK('Ingest Template'!O581),"", 'Ingest Template'!O581&amp;"|DAR"),CHAR(10), IF(ISBLANK('Ingest Template'!P581),"", 'Ingest Template'!P581&amp;"|DAR"))),(CONCATENATE(IF(ISBLANK('Ingest Template'!N581),"", 'Ingest Template'!N581&amp;"|Operations - Core Title"),CHAR(10), IF(ISBLANK('Ingest Template'!O581),"", 'Ingest Template'!O581&amp;"|Operations - Core Title"),CHAR(10), IF(ISBLANK('Ingest Template'!P581),"", 'Ingest Template'!P581&amp;"|Operations - Core Title"))))</f>
        <v>#|Operations - Core Title
</v>
      </c>
      <c r="AH581" s="5"/>
      <c r="AI581" s="5"/>
      <c r="AJ581" s="5"/>
      <c r="AK581" s="5"/>
      <c r="AL581" s="5"/>
    </row>
    <row r="582">
      <c r="A582" s="5"/>
      <c r="B582" s="5" t="str">
        <f>'Ingest Template'!B582&amp;IF('Ingest Template'!A582 = "Standard", " - DAR","")</f>
        <v/>
      </c>
      <c r="C582" s="6" t="str">
        <f>'Ingest Template'!C582</f>
        <v/>
      </c>
      <c r="D582" s="7" t="str">
        <f>'Ingest Template'!E582</f>
        <v/>
      </c>
      <c r="E582" s="5"/>
      <c r="F582" s="5"/>
      <c r="G582" s="5"/>
      <c r="H582" s="7"/>
      <c r="I582" s="5"/>
      <c r="J582" s="7" t="str">
        <f>'Ingest Template'!Q582</f>
        <v/>
      </c>
      <c r="K582" s="5" t="str">
        <f>'Ingest Template'!R582</f>
        <v/>
      </c>
      <c r="L582" s="8" t="s">
        <v>38</v>
      </c>
      <c r="M582" s="9"/>
      <c r="N582" s="5"/>
      <c r="O582" s="5"/>
      <c r="P582" s="5"/>
      <c r="Q582" s="5"/>
      <c r="R582" s="5" t="str">
        <f>'Ingest Template'!D582</f>
        <v/>
      </c>
      <c r="S582" s="5" t="str">
        <f>'Ingest Template'!G582</f>
        <v/>
      </c>
      <c r="T582" s="5" t="str">
        <f>'Ingest Template'!H582</f>
        <v/>
      </c>
      <c r="U582" s="5" t="str">
        <f>LOWER(SUBSTITUTE(SUBSTITUTE(SUBSTITUTE(SUBSTITUTE(SUBSTITUTE('Ingest Template'!I582,"https:",""),"www.",""),"/",""),"?hl=en",""),"instagram.com",""))</f>
        <v/>
      </c>
      <c r="V582" s="10" t="str">
        <f>'Ingest Template'!J582</f>
        <v/>
      </c>
      <c r="W582" s="10" t="str">
        <f>'Ingest Template'!K582</f>
        <v/>
      </c>
      <c r="X582" s="5"/>
      <c r="Y582" s="5" t="str">
        <f>SUBSTITUTE(SUBSTITUTE(SUBSTITUTE('Ingest Template'!L582,"http:",""),"https:",""),"/","")</f>
        <v/>
      </c>
      <c r="Z582" s="5" t="str">
        <f t="array" ref="Z582">IF('Ingest Template'!A582="Standard",(IF(ISBLANK('Ingest Template'!M582),"", 'Ingest Template'!M582&amp;"|DAR")),(IF(ISBLANK('Ingest Template'!M582),"", 'Ingest Template'!M582&amp;"|Operations - Core Title")))</f>
        <v/>
      </c>
      <c r="AA582" s="5"/>
      <c r="AB582" s="5" t="str">
        <f>'Ingest Template'!F582</f>
        <v/>
      </c>
      <c r="AC582" s="5"/>
      <c r="AD582" s="5"/>
      <c r="AE582" s="5"/>
      <c r="AF582" s="8"/>
      <c r="AG582" s="5" t="str">
        <f t="array" ref="AG582">IF('Ingest Template'!A582="Standard",(CONCATENATE(IF(ISBLANK('Ingest Template'!N582),"", 'Ingest Template'!N582&amp;"|DAR"),CHAR(10), IF(ISBLANK('Ingest Template'!O582),"", 'Ingest Template'!O582&amp;"|DAR"),CHAR(10), IF(ISBLANK('Ingest Template'!P582),"", 'Ingest Template'!P582&amp;"|DAR"))),(CONCATENATE(IF(ISBLANK('Ingest Template'!N582),"", 'Ingest Template'!N582&amp;"|Operations - Core Title"),CHAR(10), IF(ISBLANK('Ingest Template'!O582),"", 'Ingest Template'!O582&amp;"|Operations - Core Title"),CHAR(10), IF(ISBLANK('Ingest Template'!P582),"", 'Ingest Template'!P582&amp;"|Operations - Core Title"))))</f>
        <v>#|Operations - Core Title
</v>
      </c>
      <c r="AH582" s="5"/>
      <c r="AI582" s="5"/>
      <c r="AJ582" s="5"/>
      <c r="AK582" s="5"/>
      <c r="AL582" s="5"/>
    </row>
    <row r="583">
      <c r="A583" s="5"/>
      <c r="B583" s="5" t="str">
        <f>'Ingest Template'!B583&amp;IF('Ingest Template'!A583 = "Standard", " - DAR","")</f>
        <v/>
      </c>
      <c r="C583" s="6" t="str">
        <f>'Ingest Template'!C583</f>
        <v/>
      </c>
      <c r="D583" s="7" t="str">
        <f>'Ingest Template'!E583</f>
        <v/>
      </c>
      <c r="E583" s="5"/>
      <c r="F583" s="5"/>
      <c r="G583" s="5"/>
      <c r="H583" s="7"/>
      <c r="I583" s="5"/>
      <c r="J583" s="7" t="str">
        <f>'Ingest Template'!Q583</f>
        <v/>
      </c>
      <c r="K583" s="5" t="str">
        <f>'Ingest Template'!R583</f>
        <v/>
      </c>
      <c r="L583" s="8" t="s">
        <v>38</v>
      </c>
      <c r="M583" s="9"/>
      <c r="N583" s="5"/>
      <c r="O583" s="5"/>
      <c r="P583" s="5"/>
      <c r="Q583" s="5"/>
      <c r="R583" s="5" t="str">
        <f>'Ingest Template'!D583</f>
        <v/>
      </c>
      <c r="S583" s="5" t="str">
        <f>'Ingest Template'!G583</f>
        <v/>
      </c>
      <c r="T583" s="5" t="str">
        <f>'Ingest Template'!H583</f>
        <v/>
      </c>
      <c r="U583" s="5" t="str">
        <f>LOWER(SUBSTITUTE(SUBSTITUTE(SUBSTITUTE(SUBSTITUTE(SUBSTITUTE('Ingest Template'!I583,"https:",""),"www.",""),"/",""),"?hl=en",""),"instagram.com",""))</f>
        <v/>
      </c>
      <c r="V583" s="10" t="str">
        <f>'Ingest Template'!J583</f>
        <v/>
      </c>
      <c r="W583" s="10" t="str">
        <f>'Ingest Template'!K583</f>
        <v/>
      </c>
      <c r="X583" s="5"/>
      <c r="Y583" s="5" t="str">
        <f>SUBSTITUTE(SUBSTITUTE(SUBSTITUTE('Ingest Template'!L583,"http:",""),"https:",""),"/","")</f>
        <v/>
      </c>
      <c r="Z583" s="5" t="str">
        <f t="array" ref="Z583">IF('Ingest Template'!A583="Standard",(IF(ISBLANK('Ingest Template'!M583),"", 'Ingest Template'!M583&amp;"|DAR")),(IF(ISBLANK('Ingest Template'!M583),"", 'Ingest Template'!M583&amp;"|Operations - Core Title")))</f>
        <v/>
      </c>
      <c r="AA583" s="5"/>
      <c r="AB583" s="5" t="str">
        <f>'Ingest Template'!F583</f>
        <v/>
      </c>
      <c r="AC583" s="5"/>
      <c r="AD583" s="5"/>
      <c r="AE583" s="5"/>
      <c r="AF583" s="8"/>
      <c r="AG583" s="5" t="str">
        <f t="array" ref="AG583">IF('Ingest Template'!A583="Standard",(CONCATENATE(IF(ISBLANK('Ingest Template'!N583),"", 'Ingest Template'!N583&amp;"|DAR"),CHAR(10), IF(ISBLANK('Ingest Template'!O583),"", 'Ingest Template'!O583&amp;"|DAR"),CHAR(10), IF(ISBLANK('Ingest Template'!P583),"", 'Ingest Template'!P583&amp;"|DAR"))),(CONCATENATE(IF(ISBLANK('Ingest Template'!N583),"", 'Ingest Template'!N583&amp;"|Operations - Core Title"),CHAR(10), IF(ISBLANK('Ingest Template'!O583),"", 'Ingest Template'!O583&amp;"|Operations - Core Title"),CHAR(10), IF(ISBLANK('Ingest Template'!P583),"", 'Ingest Template'!P583&amp;"|Operations - Core Title"))))</f>
        <v>#|Operations - Core Title
</v>
      </c>
      <c r="AH583" s="5"/>
      <c r="AI583" s="5"/>
      <c r="AJ583" s="5"/>
      <c r="AK583" s="5"/>
      <c r="AL583" s="5"/>
    </row>
    <row r="584">
      <c r="A584" s="5"/>
      <c r="B584" s="5" t="str">
        <f>'Ingest Template'!B584&amp;IF('Ingest Template'!A584 = "Standard", " - DAR","")</f>
        <v/>
      </c>
      <c r="C584" s="6" t="str">
        <f>'Ingest Template'!C584</f>
        <v/>
      </c>
      <c r="D584" s="7" t="str">
        <f>'Ingest Template'!E584</f>
        <v/>
      </c>
      <c r="E584" s="5"/>
      <c r="F584" s="5"/>
      <c r="G584" s="5"/>
      <c r="H584" s="7"/>
      <c r="I584" s="5"/>
      <c r="J584" s="7" t="str">
        <f>'Ingest Template'!Q584</f>
        <v/>
      </c>
      <c r="K584" s="5" t="str">
        <f>'Ingest Template'!R584</f>
        <v/>
      </c>
      <c r="L584" s="8" t="s">
        <v>38</v>
      </c>
      <c r="M584" s="9"/>
      <c r="N584" s="5"/>
      <c r="O584" s="5"/>
      <c r="P584" s="5"/>
      <c r="Q584" s="5"/>
      <c r="R584" s="5" t="str">
        <f>'Ingest Template'!D584</f>
        <v/>
      </c>
      <c r="S584" s="5" t="str">
        <f>'Ingest Template'!G584</f>
        <v/>
      </c>
      <c r="T584" s="5" t="str">
        <f>'Ingest Template'!H584</f>
        <v/>
      </c>
      <c r="U584" s="5" t="str">
        <f>LOWER(SUBSTITUTE(SUBSTITUTE(SUBSTITUTE(SUBSTITUTE(SUBSTITUTE('Ingest Template'!I584,"https:",""),"www.",""),"/",""),"?hl=en",""),"instagram.com",""))</f>
        <v/>
      </c>
      <c r="V584" s="10" t="str">
        <f>'Ingest Template'!J584</f>
        <v/>
      </c>
      <c r="W584" s="10" t="str">
        <f>'Ingest Template'!K584</f>
        <v/>
      </c>
      <c r="X584" s="5"/>
      <c r="Y584" s="5" t="str">
        <f>SUBSTITUTE(SUBSTITUTE(SUBSTITUTE('Ingest Template'!L584,"http:",""),"https:",""),"/","")</f>
        <v/>
      </c>
      <c r="Z584" s="5" t="str">
        <f t="array" ref="Z584">IF('Ingest Template'!A584="Standard",(IF(ISBLANK('Ingest Template'!M584),"", 'Ingest Template'!M584&amp;"|DAR")),(IF(ISBLANK('Ingest Template'!M584),"", 'Ingest Template'!M584&amp;"|Operations - Core Title")))</f>
        <v/>
      </c>
      <c r="AA584" s="5"/>
      <c r="AB584" s="5" t="str">
        <f>'Ingest Template'!F584</f>
        <v/>
      </c>
      <c r="AC584" s="5"/>
      <c r="AD584" s="5"/>
      <c r="AE584" s="5"/>
      <c r="AF584" s="8"/>
      <c r="AG584" s="5" t="str">
        <f t="array" ref="AG584">IF('Ingest Template'!A584="Standard",(CONCATENATE(IF(ISBLANK('Ingest Template'!N584),"", 'Ingest Template'!N584&amp;"|DAR"),CHAR(10), IF(ISBLANK('Ingest Template'!O584),"", 'Ingest Template'!O584&amp;"|DAR"),CHAR(10), IF(ISBLANK('Ingest Template'!P584),"", 'Ingest Template'!P584&amp;"|DAR"))),(CONCATENATE(IF(ISBLANK('Ingest Template'!N584),"", 'Ingest Template'!N584&amp;"|Operations - Core Title"),CHAR(10), IF(ISBLANK('Ingest Template'!O584),"", 'Ingest Template'!O584&amp;"|Operations - Core Title"),CHAR(10), IF(ISBLANK('Ingest Template'!P584),"", 'Ingest Template'!P584&amp;"|Operations - Core Title"))))</f>
        <v>#|Operations - Core Title
</v>
      </c>
      <c r="AH584" s="5"/>
      <c r="AI584" s="5"/>
      <c r="AJ584" s="5"/>
      <c r="AK584" s="5"/>
      <c r="AL584" s="5"/>
    </row>
    <row r="585">
      <c r="A585" s="5"/>
      <c r="B585" s="5" t="str">
        <f>'Ingest Template'!B585&amp;IF('Ingest Template'!A585 = "Standard", " - DAR","")</f>
        <v/>
      </c>
      <c r="C585" s="6" t="str">
        <f>'Ingest Template'!C585</f>
        <v/>
      </c>
      <c r="D585" s="7" t="str">
        <f>'Ingest Template'!E585</f>
        <v/>
      </c>
      <c r="E585" s="5"/>
      <c r="F585" s="5"/>
      <c r="G585" s="5"/>
      <c r="H585" s="7"/>
      <c r="I585" s="5"/>
      <c r="J585" s="7" t="str">
        <f>'Ingest Template'!Q585</f>
        <v/>
      </c>
      <c r="K585" s="5" t="str">
        <f>'Ingest Template'!R585</f>
        <v/>
      </c>
      <c r="L585" s="8" t="s">
        <v>38</v>
      </c>
      <c r="M585" s="9"/>
      <c r="N585" s="5"/>
      <c r="O585" s="5"/>
      <c r="P585" s="5"/>
      <c r="Q585" s="5"/>
      <c r="R585" s="5" t="str">
        <f>'Ingest Template'!D585</f>
        <v/>
      </c>
      <c r="S585" s="5" t="str">
        <f>'Ingest Template'!G585</f>
        <v/>
      </c>
      <c r="T585" s="5" t="str">
        <f>'Ingest Template'!H585</f>
        <v/>
      </c>
      <c r="U585" s="5" t="str">
        <f>LOWER(SUBSTITUTE(SUBSTITUTE(SUBSTITUTE(SUBSTITUTE(SUBSTITUTE('Ingest Template'!I585,"https:",""),"www.",""),"/",""),"?hl=en",""),"instagram.com",""))</f>
        <v/>
      </c>
      <c r="V585" s="10" t="str">
        <f>'Ingest Template'!J585</f>
        <v/>
      </c>
      <c r="W585" s="10" t="str">
        <f>'Ingest Template'!K585</f>
        <v/>
      </c>
      <c r="X585" s="5"/>
      <c r="Y585" s="5" t="str">
        <f>SUBSTITUTE(SUBSTITUTE(SUBSTITUTE('Ingest Template'!L585,"http:",""),"https:",""),"/","")</f>
        <v/>
      </c>
      <c r="Z585" s="5" t="str">
        <f t="array" ref="Z585">IF('Ingest Template'!A585="Standard",(IF(ISBLANK('Ingest Template'!M585),"", 'Ingest Template'!M585&amp;"|DAR")),(IF(ISBLANK('Ingest Template'!M585),"", 'Ingest Template'!M585&amp;"|Operations - Core Title")))</f>
        <v/>
      </c>
      <c r="AA585" s="5"/>
      <c r="AB585" s="5" t="str">
        <f>'Ingest Template'!F585</f>
        <v/>
      </c>
      <c r="AC585" s="5"/>
      <c r="AD585" s="5"/>
      <c r="AE585" s="5"/>
      <c r="AF585" s="8"/>
      <c r="AG585" s="5" t="str">
        <f t="array" ref="AG585">IF('Ingest Template'!A585="Standard",(CONCATENATE(IF(ISBLANK('Ingest Template'!N585),"", 'Ingest Template'!N585&amp;"|DAR"),CHAR(10), IF(ISBLANK('Ingest Template'!O585),"", 'Ingest Template'!O585&amp;"|DAR"),CHAR(10), IF(ISBLANK('Ingest Template'!P585),"", 'Ingest Template'!P585&amp;"|DAR"))),(CONCATENATE(IF(ISBLANK('Ingest Template'!N585),"", 'Ingest Template'!N585&amp;"|Operations - Core Title"),CHAR(10), IF(ISBLANK('Ingest Template'!O585),"", 'Ingest Template'!O585&amp;"|Operations - Core Title"),CHAR(10), IF(ISBLANK('Ingest Template'!P585),"", 'Ingest Template'!P585&amp;"|Operations - Core Title"))))</f>
        <v>#|Operations - Core Title
</v>
      </c>
      <c r="AH585" s="5"/>
      <c r="AI585" s="5"/>
      <c r="AJ585" s="5"/>
      <c r="AK585" s="5"/>
      <c r="AL585" s="5"/>
    </row>
    <row r="586">
      <c r="A586" s="5"/>
      <c r="B586" s="5" t="str">
        <f>'Ingest Template'!B586&amp;IF('Ingest Template'!A586 = "Standard", " - DAR","")</f>
        <v/>
      </c>
      <c r="C586" s="6" t="str">
        <f>'Ingest Template'!C586</f>
        <v/>
      </c>
      <c r="D586" s="7" t="str">
        <f>'Ingest Template'!E586</f>
        <v/>
      </c>
      <c r="E586" s="5"/>
      <c r="F586" s="5"/>
      <c r="G586" s="5"/>
      <c r="H586" s="7"/>
      <c r="I586" s="5"/>
      <c r="J586" s="7" t="str">
        <f>'Ingest Template'!Q586</f>
        <v/>
      </c>
      <c r="K586" s="5" t="str">
        <f>'Ingest Template'!R586</f>
        <v/>
      </c>
      <c r="L586" s="8" t="s">
        <v>38</v>
      </c>
      <c r="M586" s="9"/>
      <c r="N586" s="5"/>
      <c r="O586" s="5"/>
      <c r="P586" s="5"/>
      <c r="Q586" s="5"/>
      <c r="R586" s="5" t="str">
        <f>'Ingest Template'!D586</f>
        <v/>
      </c>
      <c r="S586" s="5" t="str">
        <f>'Ingest Template'!G586</f>
        <v/>
      </c>
      <c r="T586" s="5" t="str">
        <f>'Ingest Template'!H586</f>
        <v/>
      </c>
      <c r="U586" s="5" t="str">
        <f>LOWER(SUBSTITUTE(SUBSTITUTE(SUBSTITUTE(SUBSTITUTE(SUBSTITUTE('Ingest Template'!I586,"https:",""),"www.",""),"/",""),"?hl=en",""),"instagram.com",""))</f>
        <v/>
      </c>
      <c r="V586" s="10" t="str">
        <f>'Ingest Template'!J586</f>
        <v/>
      </c>
      <c r="W586" s="10" t="str">
        <f>'Ingest Template'!K586</f>
        <v/>
      </c>
      <c r="X586" s="5"/>
      <c r="Y586" s="5" t="str">
        <f>SUBSTITUTE(SUBSTITUTE(SUBSTITUTE('Ingest Template'!L586,"http:",""),"https:",""),"/","")</f>
        <v/>
      </c>
      <c r="Z586" s="5" t="str">
        <f t="array" ref="Z586">IF('Ingest Template'!A586="Standard",(IF(ISBLANK('Ingest Template'!M586),"", 'Ingest Template'!M586&amp;"|DAR")),(IF(ISBLANK('Ingest Template'!M586),"", 'Ingest Template'!M586&amp;"|Operations - Core Title")))</f>
        <v/>
      </c>
      <c r="AA586" s="5"/>
      <c r="AB586" s="5" t="str">
        <f>'Ingest Template'!F586</f>
        <v/>
      </c>
      <c r="AC586" s="5"/>
      <c r="AD586" s="5"/>
      <c r="AE586" s="5"/>
      <c r="AF586" s="8"/>
      <c r="AG586" s="5" t="str">
        <f t="array" ref="AG586">IF('Ingest Template'!A586="Standard",(CONCATENATE(IF(ISBLANK('Ingest Template'!N586),"", 'Ingest Template'!N586&amp;"|DAR"),CHAR(10), IF(ISBLANK('Ingest Template'!O586),"", 'Ingest Template'!O586&amp;"|DAR"),CHAR(10), IF(ISBLANK('Ingest Template'!P586),"", 'Ingest Template'!P586&amp;"|DAR"))),(CONCATENATE(IF(ISBLANK('Ingest Template'!N586),"", 'Ingest Template'!N586&amp;"|Operations - Core Title"),CHAR(10), IF(ISBLANK('Ingest Template'!O586),"", 'Ingest Template'!O586&amp;"|Operations - Core Title"),CHAR(10), IF(ISBLANK('Ingest Template'!P586),"", 'Ingest Template'!P586&amp;"|Operations - Core Title"))))</f>
        <v>#|Operations - Core Title
</v>
      </c>
      <c r="AH586" s="5"/>
      <c r="AI586" s="5"/>
      <c r="AJ586" s="5"/>
      <c r="AK586" s="5"/>
      <c r="AL586" s="5"/>
    </row>
    <row r="587">
      <c r="A587" s="5"/>
      <c r="B587" s="5" t="str">
        <f>'Ingest Template'!B587&amp;IF('Ingest Template'!A587 = "Standard", " - DAR","")</f>
        <v/>
      </c>
      <c r="C587" s="6" t="str">
        <f>'Ingest Template'!C587</f>
        <v/>
      </c>
      <c r="D587" s="7" t="str">
        <f>'Ingest Template'!E587</f>
        <v/>
      </c>
      <c r="E587" s="5"/>
      <c r="F587" s="5"/>
      <c r="G587" s="5"/>
      <c r="H587" s="7"/>
      <c r="I587" s="5"/>
      <c r="J587" s="7" t="str">
        <f>'Ingest Template'!Q587</f>
        <v/>
      </c>
      <c r="K587" s="5" t="str">
        <f>'Ingest Template'!R587</f>
        <v/>
      </c>
      <c r="L587" s="8" t="s">
        <v>38</v>
      </c>
      <c r="M587" s="9"/>
      <c r="N587" s="5"/>
      <c r="O587" s="5"/>
      <c r="P587" s="5"/>
      <c r="Q587" s="5"/>
      <c r="R587" s="5" t="str">
        <f>'Ingest Template'!D587</f>
        <v/>
      </c>
      <c r="S587" s="5" t="str">
        <f>'Ingest Template'!G587</f>
        <v/>
      </c>
      <c r="T587" s="5" t="str">
        <f>'Ingest Template'!H587</f>
        <v/>
      </c>
      <c r="U587" s="5" t="str">
        <f>LOWER(SUBSTITUTE(SUBSTITUTE(SUBSTITUTE(SUBSTITUTE(SUBSTITUTE('Ingest Template'!I587,"https:",""),"www.",""),"/",""),"?hl=en",""),"instagram.com",""))</f>
        <v/>
      </c>
      <c r="V587" s="10" t="str">
        <f>'Ingest Template'!J587</f>
        <v/>
      </c>
      <c r="W587" s="10" t="str">
        <f>'Ingest Template'!K587</f>
        <v/>
      </c>
      <c r="X587" s="5"/>
      <c r="Y587" s="5" t="str">
        <f>SUBSTITUTE(SUBSTITUTE(SUBSTITUTE('Ingest Template'!L587,"http:",""),"https:",""),"/","")</f>
        <v/>
      </c>
      <c r="Z587" s="5" t="str">
        <f t="array" ref="Z587">IF('Ingest Template'!A587="Standard",(IF(ISBLANK('Ingest Template'!M587),"", 'Ingest Template'!M587&amp;"|DAR")),(IF(ISBLANK('Ingest Template'!M587),"", 'Ingest Template'!M587&amp;"|Operations - Core Title")))</f>
        <v/>
      </c>
      <c r="AA587" s="5"/>
      <c r="AB587" s="5" t="str">
        <f>'Ingest Template'!F587</f>
        <v/>
      </c>
      <c r="AC587" s="5"/>
      <c r="AD587" s="5"/>
      <c r="AE587" s="5"/>
      <c r="AF587" s="8"/>
      <c r="AG587" s="5" t="str">
        <f t="array" ref="AG587">IF('Ingest Template'!A587="Standard",(CONCATENATE(IF(ISBLANK('Ingest Template'!N587),"", 'Ingest Template'!N587&amp;"|DAR"),CHAR(10), IF(ISBLANK('Ingest Template'!O587),"", 'Ingest Template'!O587&amp;"|DAR"),CHAR(10), IF(ISBLANK('Ingest Template'!P587),"", 'Ingest Template'!P587&amp;"|DAR"))),(CONCATENATE(IF(ISBLANK('Ingest Template'!N587),"", 'Ingest Template'!N587&amp;"|Operations - Core Title"),CHAR(10), IF(ISBLANK('Ingest Template'!O587),"", 'Ingest Template'!O587&amp;"|Operations - Core Title"),CHAR(10), IF(ISBLANK('Ingest Template'!P587),"", 'Ingest Template'!P587&amp;"|Operations - Core Title"))))</f>
        <v>#|Operations - Core Title
</v>
      </c>
      <c r="AH587" s="5"/>
      <c r="AI587" s="5"/>
      <c r="AJ587" s="5"/>
      <c r="AK587" s="5"/>
      <c r="AL587" s="5"/>
    </row>
    <row r="588">
      <c r="A588" s="5"/>
      <c r="B588" s="5" t="str">
        <f>'Ingest Template'!B588&amp;IF('Ingest Template'!A588 = "Standard", " - DAR","")</f>
        <v/>
      </c>
      <c r="C588" s="6" t="str">
        <f>'Ingest Template'!C588</f>
        <v/>
      </c>
      <c r="D588" s="7" t="str">
        <f>'Ingest Template'!E588</f>
        <v/>
      </c>
      <c r="E588" s="5"/>
      <c r="F588" s="5"/>
      <c r="G588" s="5"/>
      <c r="H588" s="7"/>
      <c r="I588" s="5"/>
      <c r="J588" s="7" t="str">
        <f>'Ingest Template'!Q588</f>
        <v/>
      </c>
      <c r="K588" s="5" t="str">
        <f>'Ingest Template'!R588</f>
        <v/>
      </c>
      <c r="L588" s="8" t="s">
        <v>38</v>
      </c>
      <c r="M588" s="9"/>
      <c r="N588" s="5"/>
      <c r="O588" s="5"/>
      <c r="P588" s="5"/>
      <c r="Q588" s="5"/>
      <c r="R588" s="5" t="str">
        <f>'Ingest Template'!D588</f>
        <v/>
      </c>
      <c r="S588" s="5" t="str">
        <f>'Ingest Template'!G588</f>
        <v/>
      </c>
      <c r="T588" s="5" t="str">
        <f>'Ingest Template'!H588</f>
        <v/>
      </c>
      <c r="U588" s="5" t="str">
        <f>LOWER(SUBSTITUTE(SUBSTITUTE(SUBSTITUTE(SUBSTITUTE(SUBSTITUTE('Ingest Template'!I588,"https:",""),"www.",""),"/",""),"?hl=en",""),"instagram.com",""))</f>
        <v/>
      </c>
      <c r="V588" s="10" t="str">
        <f>'Ingest Template'!J588</f>
        <v/>
      </c>
      <c r="W588" s="10" t="str">
        <f>'Ingest Template'!K588</f>
        <v/>
      </c>
      <c r="X588" s="5"/>
      <c r="Y588" s="5" t="str">
        <f>SUBSTITUTE(SUBSTITUTE(SUBSTITUTE('Ingest Template'!L588,"http:",""),"https:",""),"/","")</f>
        <v/>
      </c>
      <c r="Z588" s="5" t="str">
        <f t="array" ref="Z588">IF('Ingest Template'!A588="Standard",(IF(ISBLANK('Ingest Template'!M588),"", 'Ingest Template'!M588&amp;"|DAR")),(IF(ISBLANK('Ingest Template'!M588),"", 'Ingest Template'!M588&amp;"|Operations - Core Title")))</f>
        <v/>
      </c>
      <c r="AA588" s="5"/>
      <c r="AB588" s="5" t="str">
        <f>'Ingest Template'!F588</f>
        <v/>
      </c>
      <c r="AC588" s="5"/>
      <c r="AD588" s="5"/>
      <c r="AE588" s="5"/>
      <c r="AF588" s="8"/>
      <c r="AG588" s="5" t="str">
        <f t="array" ref="AG588">IF('Ingest Template'!A588="Standard",(CONCATENATE(IF(ISBLANK('Ingest Template'!N588),"", 'Ingest Template'!N588&amp;"|DAR"),CHAR(10), IF(ISBLANK('Ingest Template'!O588),"", 'Ingest Template'!O588&amp;"|DAR"),CHAR(10), IF(ISBLANK('Ingest Template'!P588),"", 'Ingest Template'!P588&amp;"|DAR"))),(CONCATENATE(IF(ISBLANK('Ingest Template'!N588),"", 'Ingest Template'!N588&amp;"|Operations - Core Title"),CHAR(10), IF(ISBLANK('Ingest Template'!O588),"", 'Ingest Template'!O588&amp;"|Operations - Core Title"),CHAR(10), IF(ISBLANK('Ingest Template'!P588),"", 'Ingest Template'!P588&amp;"|Operations - Core Title"))))</f>
        <v>#|Operations - Core Title
</v>
      </c>
      <c r="AH588" s="5"/>
      <c r="AI588" s="5"/>
      <c r="AJ588" s="5"/>
      <c r="AK588" s="5"/>
      <c r="AL588" s="5"/>
    </row>
    <row r="589">
      <c r="A589" s="5"/>
      <c r="B589" s="5" t="str">
        <f>'Ingest Template'!B589&amp;IF('Ingest Template'!A589 = "Standard", " - DAR","")</f>
        <v/>
      </c>
      <c r="C589" s="6" t="str">
        <f>'Ingest Template'!C589</f>
        <v/>
      </c>
      <c r="D589" s="7" t="str">
        <f>'Ingest Template'!E589</f>
        <v/>
      </c>
      <c r="E589" s="5"/>
      <c r="F589" s="5"/>
      <c r="G589" s="5"/>
      <c r="H589" s="7"/>
      <c r="I589" s="5"/>
      <c r="J589" s="7" t="str">
        <f>'Ingest Template'!Q589</f>
        <v/>
      </c>
      <c r="K589" s="5" t="str">
        <f>'Ingest Template'!R589</f>
        <v/>
      </c>
      <c r="L589" s="8" t="s">
        <v>38</v>
      </c>
      <c r="M589" s="9"/>
      <c r="N589" s="5"/>
      <c r="O589" s="5"/>
      <c r="P589" s="5"/>
      <c r="Q589" s="5"/>
      <c r="R589" s="5" t="str">
        <f>'Ingest Template'!D589</f>
        <v/>
      </c>
      <c r="S589" s="5" t="str">
        <f>'Ingest Template'!G589</f>
        <v/>
      </c>
      <c r="T589" s="5" t="str">
        <f>'Ingest Template'!H589</f>
        <v/>
      </c>
      <c r="U589" s="5" t="str">
        <f>LOWER(SUBSTITUTE(SUBSTITUTE(SUBSTITUTE(SUBSTITUTE(SUBSTITUTE('Ingest Template'!I589,"https:",""),"www.",""),"/",""),"?hl=en",""),"instagram.com",""))</f>
        <v/>
      </c>
      <c r="V589" s="10" t="str">
        <f>'Ingest Template'!J589</f>
        <v/>
      </c>
      <c r="W589" s="10" t="str">
        <f>'Ingest Template'!K589</f>
        <v/>
      </c>
      <c r="X589" s="5"/>
      <c r="Y589" s="5" t="str">
        <f>SUBSTITUTE(SUBSTITUTE(SUBSTITUTE('Ingest Template'!L589,"http:",""),"https:",""),"/","")</f>
        <v/>
      </c>
      <c r="Z589" s="5" t="str">
        <f t="array" ref="Z589">IF('Ingest Template'!A589="Standard",(IF(ISBLANK('Ingest Template'!M589),"", 'Ingest Template'!M589&amp;"|DAR")),(IF(ISBLANK('Ingest Template'!M589),"", 'Ingest Template'!M589&amp;"|Operations - Core Title")))</f>
        <v/>
      </c>
      <c r="AA589" s="5"/>
      <c r="AB589" s="5" t="str">
        <f>'Ingest Template'!F589</f>
        <v/>
      </c>
      <c r="AC589" s="5"/>
      <c r="AD589" s="5"/>
      <c r="AE589" s="5"/>
      <c r="AF589" s="8"/>
      <c r="AG589" s="5" t="str">
        <f t="array" ref="AG589">IF('Ingest Template'!A589="Standard",(CONCATENATE(IF(ISBLANK('Ingest Template'!N589),"", 'Ingest Template'!N589&amp;"|DAR"),CHAR(10), IF(ISBLANK('Ingest Template'!O589),"", 'Ingest Template'!O589&amp;"|DAR"),CHAR(10), IF(ISBLANK('Ingest Template'!P589),"", 'Ingest Template'!P589&amp;"|DAR"))),(CONCATENATE(IF(ISBLANK('Ingest Template'!N589),"", 'Ingest Template'!N589&amp;"|Operations - Core Title"),CHAR(10), IF(ISBLANK('Ingest Template'!O589),"", 'Ingest Template'!O589&amp;"|Operations - Core Title"),CHAR(10), IF(ISBLANK('Ingest Template'!P589),"", 'Ingest Template'!P589&amp;"|Operations - Core Title"))))</f>
        <v>#|Operations - Core Title
</v>
      </c>
      <c r="AH589" s="5"/>
      <c r="AI589" s="5"/>
      <c r="AJ589" s="5"/>
      <c r="AK589" s="5"/>
      <c r="AL589" s="5"/>
    </row>
    <row r="590">
      <c r="A590" s="5"/>
      <c r="B590" s="5" t="str">
        <f>'Ingest Template'!B590&amp;IF('Ingest Template'!A590 = "Standard", " - DAR","")</f>
        <v/>
      </c>
      <c r="C590" s="6" t="str">
        <f>'Ingest Template'!C590</f>
        <v/>
      </c>
      <c r="D590" s="7" t="str">
        <f>'Ingest Template'!E590</f>
        <v/>
      </c>
      <c r="E590" s="5"/>
      <c r="F590" s="5"/>
      <c r="G590" s="5"/>
      <c r="H590" s="7"/>
      <c r="I590" s="5"/>
      <c r="J590" s="7" t="str">
        <f>'Ingest Template'!Q590</f>
        <v/>
      </c>
      <c r="K590" s="5" t="str">
        <f>'Ingest Template'!R590</f>
        <v/>
      </c>
      <c r="L590" s="8" t="s">
        <v>38</v>
      </c>
      <c r="M590" s="9"/>
      <c r="N590" s="5"/>
      <c r="O590" s="5"/>
      <c r="P590" s="5"/>
      <c r="Q590" s="5"/>
      <c r="R590" s="5" t="str">
        <f>'Ingest Template'!D590</f>
        <v/>
      </c>
      <c r="S590" s="5" t="str">
        <f>'Ingest Template'!G590</f>
        <v/>
      </c>
      <c r="T590" s="5" t="str">
        <f>'Ingest Template'!H590</f>
        <v/>
      </c>
      <c r="U590" s="5" t="str">
        <f>LOWER(SUBSTITUTE(SUBSTITUTE(SUBSTITUTE(SUBSTITUTE(SUBSTITUTE('Ingest Template'!I590,"https:",""),"www.",""),"/",""),"?hl=en",""),"instagram.com",""))</f>
        <v/>
      </c>
      <c r="V590" s="10" t="str">
        <f>'Ingest Template'!J590</f>
        <v/>
      </c>
      <c r="W590" s="10" t="str">
        <f>'Ingest Template'!K590</f>
        <v/>
      </c>
      <c r="X590" s="5"/>
      <c r="Y590" s="5" t="str">
        <f>SUBSTITUTE(SUBSTITUTE(SUBSTITUTE('Ingest Template'!L590,"http:",""),"https:",""),"/","")</f>
        <v/>
      </c>
      <c r="Z590" s="5" t="str">
        <f t="array" ref="Z590">IF('Ingest Template'!A590="Standard",(IF(ISBLANK('Ingest Template'!M590),"", 'Ingest Template'!M590&amp;"|DAR")),(IF(ISBLANK('Ingest Template'!M590),"", 'Ingest Template'!M590&amp;"|Operations - Core Title")))</f>
        <v/>
      </c>
      <c r="AA590" s="5"/>
      <c r="AB590" s="5" t="str">
        <f>'Ingest Template'!F590</f>
        <v/>
      </c>
      <c r="AC590" s="5"/>
      <c r="AD590" s="5"/>
      <c r="AE590" s="5"/>
      <c r="AF590" s="8"/>
      <c r="AG590" s="5" t="str">
        <f t="array" ref="AG590">IF('Ingest Template'!A590="Standard",(CONCATENATE(IF(ISBLANK('Ingest Template'!N590),"", 'Ingest Template'!N590&amp;"|DAR"),CHAR(10), IF(ISBLANK('Ingest Template'!O590),"", 'Ingest Template'!O590&amp;"|DAR"),CHAR(10), IF(ISBLANK('Ingest Template'!P590),"", 'Ingest Template'!P590&amp;"|DAR"))),(CONCATENATE(IF(ISBLANK('Ingest Template'!N590),"", 'Ingest Template'!N590&amp;"|Operations - Core Title"),CHAR(10), IF(ISBLANK('Ingest Template'!O590),"", 'Ingest Template'!O590&amp;"|Operations - Core Title"),CHAR(10), IF(ISBLANK('Ingest Template'!P590),"", 'Ingest Template'!P590&amp;"|Operations - Core Title"))))</f>
        <v>#|Operations - Core Title
</v>
      </c>
      <c r="AH590" s="5"/>
      <c r="AI590" s="5"/>
      <c r="AJ590" s="5"/>
      <c r="AK590" s="5"/>
      <c r="AL590" s="5"/>
    </row>
    <row r="591">
      <c r="A591" s="5"/>
      <c r="B591" s="5" t="str">
        <f>'Ingest Template'!B591&amp;IF('Ingest Template'!A591 = "Standard", " - DAR","")</f>
        <v/>
      </c>
      <c r="C591" s="6" t="str">
        <f>'Ingest Template'!C591</f>
        <v/>
      </c>
      <c r="D591" s="7" t="str">
        <f>'Ingest Template'!E591</f>
        <v/>
      </c>
      <c r="E591" s="5"/>
      <c r="F591" s="5"/>
      <c r="G591" s="5"/>
      <c r="H591" s="7"/>
      <c r="I591" s="5"/>
      <c r="J591" s="7" t="str">
        <f>'Ingest Template'!Q591</f>
        <v/>
      </c>
      <c r="K591" s="5" t="str">
        <f>'Ingest Template'!R591</f>
        <v/>
      </c>
      <c r="L591" s="8" t="s">
        <v>38</v>
      </c>
      <c r="M591" s="9"/>
      <c r="N591" s="5"/>
      <c r="O591" s="5"/>
      <c r="P591" s="5"/>
      <c r="Q591" s="5"/>
      <c r="R591" s="5" t="str">
        <f>'Ingest Template'!D591</f>
        <v/>
      </c>
      <c r="S591" s="5" t="str">
        <f>'Ingest Template'!G591</f>
        <v/>
      </c>
      <c r="T591" s="5" t="str">
        <f>'Ingest Template'!H591</f>
        <v/>
      </c>
      <c r="U591" s="5" t="str">
        <f>LOWER(SUBSTITUTE(SUBSTITUTE(SUBSTITUTE(SUBSTITUTE(SUBSTITUTE('Ingest Template'!I591,"https:",""),"www.",""),"/",""),"?hl=en",""),"instagram.com",""))</f>
        <v/>
      </c>
      <c r="V591" s="10" t="str">
        <f>'Ingest Template'!J591</f>
        <v/>
      </c>
      <c r="W591" s="10" t="str">
        <f>'Ingest Template'!K591</f>
        <v/>
      </c>
      <c r="X591" s="5"/>
      <c r="Y591" s="5" t="str">
        <f>SUBSTITUTE(SUBSTITUTE(SUBSTITUTE('Ingest Template'!L591,"http:",""),"https:",""),"/","")</f>
        <v/>
      </c>
      <c r="Z591" s="5" t="str">
        <f t="array" ref="Z591">IF('Ingest Template'!A591="Standard",(IF(ISBLANK('Ingest Template'!M591),"", 'Ingest Template'!M591&amp;"|DAR")),(IF(ISBLANK('Ingest Template'!M591),"", 'Ingest Template'!M591&amp;"|Operations - Core Title")))</f>
        <v/>
      </c>
      <c r="AA591" s="5"/>
      <c r="AB591" s="5" t="str">
        <f>'Ingest Template'!F591</f>
        <v/>
      </c>
      <c r="AC591" s="5"/>
      <c r="AD591" s="5"/>
      <c r="AE591" s="5"/>
      <c r="AF591" s="8"/>
      <c r="AG591" s="5" t="str">
        <f t="array" ref="AG591">IF('Ingest Template'!A591="Standard",(CONCATENATE(IF(ISBLANK('Ingest Template'!N591),"", 'Ingest Template'!N591&amp;"|DAR"),CHAR(10), IF(ISBLANK('Ingest Template'!O591),"", 'Ingest Template'!O591&amp;"|DAR"),CHAR(10), IF(ISBLANK('Ingest Template'!P591),"", 'Ingest Template'!P591&amp;"|DAR"))),(CONCATENATE(IF(ISBLANK('Ingest Template'!N591),"", 'Ingest Template'!N591&amp;"|Operations - Core Title"),CHAR(10), IF(ISBLANK('Ingest Template'!O591),"", 'Ingest Template'!O591&amp;"|Operations - Core Title"),CHAR(10), IF(ISBLANK('Ingest Template'!P591),"", 'Ingest Template'!P591&amp;"|Operations - Core Title"))))</f>
        <v>#|Operations - Core Title
</v>
      </c>
      <c r="AH591" s="5"/>
      <c r="AI591" s="5"/>
      <c r="AJ591" s="5"/>
      <c r="AK591" s="5"/>
      <c r="AL591" s="5"/>
    </row>
    <row r="592">
      <c r="A592" s="5"/>
      <c r="B592" s="5" t="str">
        <f>'Ingest Template'!B592&amp;IF('Ingest Template'!A592 = "Standard", " - DAR","")</f>
        <v/>
      </c>
      <c r="C592" s="6" t="str">
        <f>'Ingest Template'!C592</f>
        <v/>
      </c>
      <c r="D592" s="7" t="str">
        <f>'Ingest Template'!E592</f>
        <v/>
      </c>
      <c r="E592" s="5"/>
      <c r="F592" s="5"/>
      <c r="G592" s="5"/>
      <c r="H592" s="7"/>
      <c r="I592" s="5"/>
      <c r="J592" s="7" t="str">
        <f>'Ingest Template'!Q592</f>
        <v/>
      </c>
      <c r="K592" s="5" t="str">
        <f>'Ingest Template'!R592</f>
        <v/>
      </c>
      <c r="L592" s="8" t="s">
        <v>38</v>
      </c>
      <c r="M592" s="9"/>
      <c r="N592" s="5"/>
      <c r="O592" s="5"/>
      <c r="P592" s="5"/>
      <c r="Q592" s="5"/>
      <c r="R592" s="5" t="str">
        <f>'Ingest Template'!D592</f>
        <v/>
      </c>
      <c r="S592" s="5" t="str">
        <f>'Ingest Template'!G592</f>
        <v/>
      </c>
      <c r="T592" s="5" t="str">
        <f>'Ingest Template'!H592</f>
        <v/>
      </c>
      <c r="U592" s="5" t="str">
        <f>LOWER(SUBSTITUTE(SUBSTITUTE(SUBSTITUTE(SUBSTITUTE(SUBSTITUTE('Ingest Template'!I592,"https:",""),"www.",""),"/",""),"?hl=en",""),"instagram.com",""))</f>
        <v/>
      </c>
      <c r="V592" s="10" t="str">
        <f>'Ingest Template'!J592</f>
        <v/>
      </c>
      <c r="W592" s="10" t="str">
        <f>'Ingest Template'!K592</f>
        <v/>
      </c>
      <c r="X592" s="5"/>
      <c r="Y592" s="5" t="str">
        <f>SUBSTITUTE(SUBSTITUTE(SUBSTITUTE('Ingest Template'!L592,"http:",""),"https:",""),"/","")</f>
        <v/>
      </c>
      <c r="Z592" s="5" t="str">
        <f t="array" ref="Z592">IF('Ingest Template'!A592="Standard",(IF(ISBLANK('Ingest Template'!M592),"", 'Ingest Template'!M592&amp;"|DAR")),(IF(ISBLANK('Ingest Template'!M592),"", 'Ingest Template'!M592&amp;"|Operations - Core Title")))</f>
        <v/>
      </c>
      <c r="AA592" s="5"/>
      <c r="AB592" s="5" t="str">
        <f>'Ingest Template'!F592</f>
        <v/>
      </c>
      <c r="AC592" s="5"/>
      <c r="AD592" s="5"/>
      <c r="AE592" s="5"/>
      <c r="AF592" s="8"/>
      <c r="AG592" s="5" t="str">
        <f t="array" ref="AG592">IF('Ingest Template'!A592="Standard",(CONCATENATE(IF(ISBLANK('Ingest Template'!N592),"", 'Ingest Template'!N592&amp;"|DAR"),CHAR(10), IF(ISBLANK('Ingest Template'!O592),"", 'Ingest Template'!O592&amp;"|DAR"),CHAR(10), IF(ISBLANK('Ingest Template'!P592),"", 'Ingest Template'!P592&amp;"|DAR"))),(CONCATENATE(IF(ISBLANK('Ingest Template'!N592),"", 'Ingest Template'!N592&amp;"|Operations - Core Title"),CHAR(10), IF(ISBLANK('Ingest Template'!O592),"", 'Ingest Template'!O592&amp;"|Operations - Core Title"),CHAR(10), IF(ISBLANK('Ingest Template'!P592),"", 'Ingest Template'!P592&amp;"|Operations - Core Title"))))</f>
        <v>#|Operations - Core Title
</v>
      </c>
      <c r="AH592" s="5"/>
      <c r="AI592" s="5"/>
      <c r="AJ592" s="5"/>
      <c r="AK592" s="5"/>
      <c r="AL592" s="5"/>
    </row>
    <row r="593">
      <c r="A593" s="5"/>
      <c r="B593" s="5" t="str">
        <f>'Ingest Template'!B593&amp;IF('Ingest Template'!A593 = "Standard", " - DAR","")</f>
        <v/>
      </c>
      <c r="C593" s="6" t="str">
        <f>'Ingest Template'!C593</f>
        <v/>
      </c>
      <c r="D593" s="7" t="str">
        <f>'Ingest Template'!E593</f>
        <v/>
      </c>
      <c r="E593" s="5"/>
      <c r="F593" s="5"/>
      <c r="G593" s="5"/>
      <c r="H593" s="7"/>
      <c r="I593" s="5"/>
      <c r="J593" s="7" t="str">
        <f>'Ingest Template'!Q593</f>
        <v/>
      </c>
      <c r="K593" s="5" t="str">
        <f>'Ingest Template'!R593</f>
        <v/>
      </c>
      <c r="L593" s="8" t="s">
        <v>38</v>
      </c>
      <c r="M593" s="9"/>
      <c r="N593" s="5"/>
      <c r="O593" s="5"/>
      <c r="P593" s="5"/>
      <c r="Q593" s="5"/>
      <c r="R593" s="5" t="str">
        <f>'Ingest Template'!D593</f>
        <v/>
      </c>
      <c r="S593" s="5" t="str">
        <f>'Ingest Template'!G593</f>
        <v/>
      </c>
      <c r="T593" s="5" t="str">
        <f>'Ingest Template'!H593</f>
        <v/>
      </c>
      <c r="U593" s="5" t="str">
        <f>LOWER(SUBSTITUTE(SUBSTITUTE(SUBSTITUTE(SUBSTITUTE(SUBSTITUTE('Ingest Template'!I593,"https:",""),"www.",""),"/",""),"?hl=en",""),"instagram.com",""))</f>
        <v/>
      </c>
      <c r="V593" s="10" t="str">
        <f>'Ingest Template'!J593</f>
        <v/>
      </c>
      <c r="W593" s="10" t="str">
        <f>'Ingest Template'!K593</f>
        <v/>
      </c>
      <c r="X593" s="5"/>
      <c r="Y593" s="5" t="str">
        <f>SUBSTITUTE(SUBSTITUTE(SUBSTITUTE('Ingest Template'!L593,"http:",""),"https:",""),"/","")</f>
        <v/>
      </c>
      <c r="Z593" s="5" t="str">
        <f t="array" ref="Z593">IF('Ingest Template'!A593="Standard",(IF(ISBLANK('Ingest Template'!M593),"", 'Ingest Template'!M593&amp;"|DAR")),(IF(ISBLANK('Ingest Template'!M593),"", 'Ingest Template'!M593&amp;"|Operations - Core Title")))</f>
        <v/>
      </c>
      <c r="AA593" s="5"/>
      <c r="AB593" s="5" t="str">
        <f>'Ingest Template'!F593</f>
        <v/>
      </c>
      <c r="AC593" s="5"/>
      <c r="AD593" s="5"/>
      <c r="AE593" s="5"/>
      <c r="AF593" s="8"/>
      <c r="AG593" s="5" t="str">
        <f t="array" ref="AG593">IF('Ingest Template'!A593="Standard",(CONCATENATE(IF(ISBLANK('Ingest Template'!N593),"", 'Ingest Template'!N593&amp;"|DAR"),CHAR(10), IF(ISBLANK('Ingest Template'!O593),"", 'Ingest Template'!O593&amp;"|DAR"),CHAR(10), IF(ISBLANK('Ingest Template'!P593),"", 'Ingest Template'!P593&amp;"|DAR"))),(CONCATENATE(IF(ISBLANK('Ingest Template'!N593),"", 'Ingest Template'!N593&amp;"|Operations - Core Title"),CHAR(10), IF(ISBLANK('Ingest Template'!O593),"", 'Ingest Template'!O593&amp;"|Operations - Core Title"),CHAR(10), IF(ISBLANK('Ingest Template'!P593),"", 'Ingest Template'!P593&amp;"|Operations - Core Title"))))</f>
        <v>#|Operations - Core Title
</v>
      </c>
      <c r="AH593" s="5"/>
      <c r="AI593" s="5"/>
      <c r="AJ593" s="5"/>
      <c r="AK593" s="5"/>
      <c r="AL593" s="5"/>
    </row>
    <row r="594">
      <c r="A594" s="5"/>
      <c r="B594" s="5" t="str">
        <f>'Ingest Template'!B594&amp;IF('Ingest Template'!A594 = "Standard", " - DAR","")</f>
        <v/>
      </c>
      <c r="C594" s="6" t="str">
        <f>'Ingest Template'!C594</f>
        <v/>
      </c>
      <c r="D594" s="7" t="str">
        <f>'Ingest Template'!E594</f>
        <v/>
      </c>
      <c r="E594" s="5"/>
      <c r="F594" s="5"/>
      <c r="G594" s="5"/>
      <c r="H594" s="7"/>
      <c r="I594" s="5"/>
      <c r="J594" s="7" t="str">
        <f>'Ingest Template'!Q594</f>
        <v/>
      </c>
      <c r="K594" s="5" t="str">
        <f>'Ingest Template'!R594</f>
        <v/>
      </c>
      <c r="L594" s="8" t="s">
        <v>38</v>
      </c>
      <c r="M594" s="9"/>
      <c r="N594" s="5"/>
      <c r="O594" s="5"/>
      <c r="P594" s="5"/>
      <c r="Q594" s="5"/>
      <c r="R594" s="5" t="str">
        <f>'Ingest Template'!D594</f>
        <v/>
      </c>
      <c r="S594" s="5" t="str">
        <f>'Ingest Template'!G594</f>
        <v/>
      </c>
      <c r="T594" s="5" t="str">
        <f>'Ingest Template'!H594</f>
        <v/>
      </c>
      <c r="U594" s="5" t="str">
        <f>LOWER(SUBSTITUTE(SUBSTITUTE(SUBSTITUTE(SUBSTITUTE(SUBSTITUTE('Ingest Template'!I594,"https:",""),"www.",""),"/",""),"?hl=en",""),"instagram.com",""))</f>
        <v/>
      </c>
      <c r="V594" s="10" t="str">
        <f>'Ingest Template'!J594</f>
        <v/>
      </c>
      <c r="W594" s="10" t="str">
        <f>'Ingest Template'!K594</f>
        <v/>
      </c>
      <c r="X594" s="5"/>
      <c r="Y594" s="5" t="str">
        <f>SUBSTITUTE(SUBSTITUTE(SUBSTITUTE('Ingest Template'!L594,"http:",""),"https:",""),"/","")</f>
        <v/>
      </c>
      <c r="Z594" s="5" t="str">
        <f t="array" ref="Z594">IF('Ingest Template'!A594="Standard",(IF(ISBLANK('Ingest Template'!M594),"", 'Ingest Template'!M594&amp;"|DAR")),(IF(ISBLANK('Ingest Template'!M594),"", 'Ingest Template'!M594&amp;"|Operations - Core Title")))</f>
        <v/>
      </c>
      <c r="AA594" s="5"/>
      <c r="AB594" s="5" t="str">
        <f>'Ingest Template'!F594</f>
        <v/>
      </c>
      <c r="AC594" s="5"/>
      <c r="AD594" s="5"/>
      <c r="AE594" s="5"/>
      <c r="AF594" s="8"/>
      <c r="AG594" s="5" t="str">
        <f t="array" ref="AG594">IF('Ingest Template'!A594="Standard",(CONCATENATE(IF(ISBLANK('Ingest Template'!N594),"", 'Ingest Template'!N594&amp;"|DAR"),CHAR(10), IF(ISBLANK('Ingest Template'!O594),"", 'Ingest Template'!O594&amp;"|DAR"),CHAR(10), IF(ISBLANK('Ingest Template'!P594),"", 'Ingest Template'!P594&amp;"|DAR"))),(CONCATENATE(IF(ISBLANK('Ingest Template'!N594),"", 'Ingest Template'!N594&amp;"|Operations - Core Title"),CHAR(10), IF(ISBLANK('Ingest Template'!O594),"", 'Ingest Template'!O594&amp;"|Operations - Core Title"),CHAR(10), IF(ISBLANK('Ingest Template'!P594),"", 'Ingest Template'!P594&amp;"|Operations - Core Title"))))</f>
        <v>#|Operations - Core Title
</v>
      </c>
      <c r="AH594" s="5"/>
      <c r="AI594" s="5"/>
      <c r="AJ594" s="5"/>
      <c r="AK594" s="5"/>
      <c r="AL594" s="5"/>
    </row>
    <row r="595">
      <c r="A595" s="5"/>
      <c r="B595" s="5" t="str">
        <f>'Ingest Template'!B595&amp;IF('Ingest Template'!A595 = "Standard", " - DAR","")</f>
        <v/>
      </c>
      <c r="C595" s="6" t="str">
        <f>'Ingest Template'!C595</f>
        <v/>
      </c>
      <c r="D595" s="7" t="str">
        <f>'Ingest Template'!E595</f>
        <v/>
      </c>
      <c r="E595" s="5"/>
      <c r="F595" s="5"/>
      <c r="G595" s="5"/>
      <c r="H595" s="7"/>
      <c r="I595" s="5"/>
      <c r="J595" s="7" t="str">
        <f>'Ingest Template'!Q595</f>
        <v/>
      </c>
      <c r="K595" s="5" t="str">
        <f>'Ingest Template'!R595</f>
        <v/>
      </c>
      <c r="L595" s="8" t="s">
        <v>38</v>
      </c>
      <c r="M595" s="9"/>
      <c r="N595" s="5"/>
      <c r="O595" s="5"/>
      <c r="P595" s="5"/>
      <c r="Q595" s="5"/>
      <c r="R595" s="5" t="str">
        <f>'Ingest Template'!D595</f>
        <v/>
      </c>
      <c r="S595" s="5" t="str">
        <f>'Ingest Template'!G595</f>
        <v/>
      </c>
      <c r="T595" s="5" t="str">
        <f>'Ingest Template'!H595</f>
        <v/>
      </c>
      <c r="U595" s="5" t="str">
        <f>LOWER(SUBSTITUTE(SUBSTITUTE(SUBSTITUTE(SUBSTITUTE(SUBSTITUTE('Ingest Template'!I595,"https:",""),"www.",""),"/",""),"?hl=en",""),"instagram.com",""))</f>
        <v/>
      </c>
      <c r="V595" s="10" t="str">
        <f>'Ingest Template'!J595</f>
        <v/>
      </c>
      <c r="W595" s="10" t="str">
        <f>'Ingest Template'!K595</f>
        <v/>
      </c>
      <c r="X595" s="5"/>
      <c r="Y595" s="5" t="str">
        <f>SUBSTITUTE(SUBSTITUTE(SUBSTITUTE('Ingest Template'!L595,"http:",""),"https:",""),"/","")</f>
        <v/>
      </c>
      <c r="Z595" s="5" t="str">
        <f t="array" ref="Z595">IF('Ingest Template'!A595="Standard",(IF(ISBLANK('Ingest Template'!M595),"", 'Ingest Template'!M595&amp;"|DAR")),(IF(ISBLANK('Ingest Template'!M595),"", 'Ingest Template'!M595&amp;"|Operations - Core Title")))</f>
        <v/>
      </c>
      <c r="AA595" s="5"/>
      <c r="AB595" s="5" t="str">
        <f>'Ingest Template'!F595</f>
        <v/>
      </c>
      <c r="AC595" s="5"/>
      <c r="AD595" s="5"/>
      <c r="AE595" s="5"/>
      <c r="AF595" s="8"/>
      <c r="AG595" s="5" t="str">
        <f t="array" ref="AG595">IF('Ingest Template'!A595="Standard",(CONCATENATE(IF(ISBLANK('Ingest Template'!N595),"", 'Ingest Template'!N595&amp;"|DAR"),CHAR(10), IF(ISBLANK('Ingest Template'!O595),"", 'Ingest Template'!O595&amp;"|DAR"),CHAR(10), IF(ISBLANK('Ingest Template'!P595),"", 'Ingest Template'!P595&amp;"|DAR"))),(CONCATENATE(IF(ISBLANK('Ingest Template'!N595),"", 'Ingest Template'!N595&amp;"|Operations - Core Title"),CHAR(10), IF(ISBLANK('Ingest Template'!O595),"", 'Ingest Template'!O595&amp;"|Operations - Core Title"),CHAR(10), IF(ISBLANK('Ingest Template'!P595),"", 'Ingest Template'!P595&amp;"|Operations - Core Title"))))</f>
        <v>#|Operations - Core Title
</v>
      </c>
      <c r="AH595" s="5"/>
      <c r="AI595" s="5"/>
      <c r="AJ595" s="5"/>
      <c r="AK595" s="5"/>
      <c r="AL595" s="5"/>
    </row>
    <row r="596">
      <c r="A596" s="5"/>
      <c r="B596" s="5" t="str">
        <f>'Ingest Template'!B596&amp;IF('Ingest Template'!A596 = "Standard", " - DAR","")</f>
        <v/>
      </c>
      <c r="C596" s="6" t="str">
        <f>'Ingest Template'!C596</f>
        <v/>
      </c>
      <c r="D596" s="7" t="str">
        <f>'Ingest Template'!E596</f>
        <v/>
      </c>
      <c r="E596" s="5"/>
      <c r="F596" s="5"/>
      <c r="G596" s="5"/>
      <c r="H596" s="7"/>
      <c r="I596" s="5"/>
      <c r="J596" s="7" t="str">
        <f>'Ingest Template'!Q596</f>
        <v/>
      </c>
      <c r="K596" s="5" t="str">
        <f>'Ingest Template'!R596</f>
        <v/>
      </c>
      <c r="L596" s="8" t="s">
        <v>38</v>
      </c>
      <c r="M596" s="9"/>
      <c r="N596" s="5"/>
      <c r="O596" s="5"/>
      <c r="P596" s="5"/>
      <c r="Q596" s="5"/>
      <c r="R596" s="5" t="str">
        <f>'Ingest Template'!D596</f>
        <v/>
      </c>
      <c r="S596" s="5" t="str">
        <f>'Ingest Template'!G596</f>
        <v/>
      </c>
      <c r="T596" s="5" t="str">
        <f>'Ingest Template'!H596</f>
        <v/>
      </c>
      <c r="U596" s="5" t="str">
        <f>LOWER(SUBSTITUTE(SUBSTITUTE(SUBSTITUTE(SUBSTITUTE(SUBSTITUTE('Ingest Template'!I596,"https:",""),"www.",""),"/",""),"?hl=en",""),"instagram.com",""))</f>
        <v/>
      </c>
      <c r="V596" s="10" t="str">
        <f>'Ingest Template'!J596</f>
        <v/>
      </c>
      <c r="W596" s="10" t="str">
        <f>'Ingest Template'!K596</f>
        <v/>
      </c>
      <c r="X596" s="5"/>
      <c r="Y596" s="5" t="str">
        <f>SUBSTITUTE(SUBSTITUTE(SUBSTITUTE('Ingest Template'!L596,"http:",""),"https:",""),"/","")</f>
        <v/>
      </c>
      <c r="Z596" s="5" t="str">
        <f t="array" ref="Z596">IF('Ingest Template'!A596="Standard",(IF(ISBLANK('Ingest Template'!M596),"", 'Ingest Template'!M596&amp;"|DAR")),(IF(ISBLANK('Ingest Template'!M596),"", 'Ingest Template'!M596&amp;"|Operations - Core Title")))</f>
        <v/>
      </c>
      <c r="AA596" s="5"/>
      <c r="AB596" s="5" t="str">
        <f>'Ingest Template'!F596</f>
        <v/>
      </c>
      <c r="AC596" s="5"/>
      <c r="AD596" s="5"/>
      <c r="AE596" s="5"/>
      <c r="AF596" s="8"/>
      <c r="AG596" s="5" t="str">
        <f t="array" ref="AG596">IF('Ingest Template'!A596="Standard",(CONCATENATE(IF(ISBLANK('Ingest Template'!N596),"", 'Ingest Template'!N596&amp;"|DAR"),CHAR(10), IF(ISBLANK('Ingest Template'!O596),"", 'Ingest Template'!O596&amp;"|DAR"),CHAR(10), IF(ISBLANK('Ingest Template'!P596),"", 'Ingest Template'!P596&amp;"|DAR"))),(CONCATENATE(IF(ISBLANK('Ingest Template'!N596),"", 'Ingest Template'!N596&amp;"|Operations - Core Title"),CHAR(10), IF(ISBLANK('Ingest Template'!O596),"", 'Ingest Template'!O596&amp;"|Operations - Core Title"),CHAR(10), IF(ISBLANK('Ingest Template'!P596),"", 'Ingest Template'!P596&amp;"|Operations - Core Title"))))</f>
        <v>#|Operations - Core Title
</v>
      </c>
      <c r="AH596" s="5"/>
      <c r="AI596" s="5"/>
      <c r="AJ596" s="5"/>
      <c r="AK596" s="5"/>
      <c r="AL596" s="5"/>
    </row>
    <row r="597">
      <c r="A597" s="5"/>
      <c r="B597" s="5" t="str">
        <f>'Ingest Template'!B597&amp;IF('Ingest Template'!A597 = "Standard", " - DAR","")</f>
        <v/>
      </c>
      <c r="C597" s="6" t="str">
        <f>'Ingest Template'!C597</f>
        <v/>
      </c>
      <c r="D597" s="7" t="str">
        <f>'Ingest Template'!E597</f>
        <v/>
      </c>
      <c r="E597" s="5"/>
      <c r="F597" s="5"/>
      <c r="G597" s="5"/>
      <c r="H597" s="7"/>
      <c r="I597" s="5"/>
      <c r="J597" s="7" t="str">
        <f>'Ingest Template'!Q597</f>
        <v/>
      </c>
      <c r="K597" s="5" t="str">
        <f>'Ingest Template'!R597</f>
        <v/>
      </c>
      <c r="L597" s="8" t="s">
        <v>38</v>
      </c>
      <c r="M597" s="9"/>
      <c r="N597" s="5"/>
      <c r="O597" s="5"/>
      <c r="P597" s="5"/>
      <c r="Q597" s="5"/>
      <c r="R597" s="5" t="str">
        <f>'Ingest Template'!D597</f>
        <v/>
      </c>
      <c r="S597" s="5" t="str">
        <f>'Ingest Template'!G597</f>
        <v/>
      </c>
      <c r="T597" s="5" t="str">
        <f>'Ingest Template'!H597</f>
        <v/>
      </c>
      <c r="U597" s="5" t="str">
        <f>LOWER(SUBSTITUTE(SUBSTITUTE(SUBSTITUTE(SUBSTITUTE(SUBSTITUTE('Ingest Template'!I597,"https:",""),"www.",""),"/",""),"?hl=en",""),"instagram.com",""))</f>
        <v/>
      </c>
      <c r="V597" s="10" t="str">
        <f>'Ingest Template'!J597</f>
        <v/>
      </c>
      <c r="W597" s="10" t="str">
        <f>'Ingest Template'!K597</f>
        <v/>
      </c>
      <c r="X597" s="5"/>
      <c r="Y597" s="5" t="str">
        <f>SUBSTITUTE(SUBSTITUTE(SUBSTITUTE('Ingest Template'!L597,"http:",""),"https:",""),"/","")</f>
        <v/>
      </c>
      <c r="Z597" s="5" t="str">
        <f t="array" ref="Z597">IF('Ingest Template'!A597="Standard",(IF(ISBLANK('Ingest Template'!M597),"", 'Ingest Template'!M597&amp;"|DAR")),(IF(ISBLANK('Ingest Template'!M597),"", 'Ingest Template'!M597&amp;"|Operations - Core Title")))</f>
        <v/>
      </c>
      <c r="AA597" s="5"/>
      <c r="AB597" s="5" t="str">
        <f>'Ingest Template'!F597</f>
        <v/>
      </c>
      <c r="AC597" s="5"/>
      <c r="AD597" s="5"/>
      <c r="AE597" s="5"/>
      <c r="AF597" s="8"/>
      <c r="AG597" s="5" t="str">
        <f t="array" ref="AG597">IF('Ingest Template'!A597="Standard",(CONCATENATE(IF(ISBLANK('Ingest Template'!N597),"", 'Ingest Template'!N597&amp;"|DAR"),CHAR(10), IF(ISBLANK('Ingest Template'!O597),"", 'Ingest Template'!O597&amp;"|DAR"),CHAR(10), IF(ISBLANK('Ingest Template'!P597),"", 'Ingest Template'!P597&amp;"|DAR"))),(CONCATENATE(IF(ISBLANK('Ingest Template'!N597),"", 'Ingest Template'!N597&amp;"|Operations - Core Title"),CHAR(10), IF(ISBLANK('Ingest Template'!O597),"", 'Ingest Template'!O597&amp;"|Operations - Core Title"),CHAR(10), IF(ISBLANK('Ingest Template'!P597),"", 'Ingest Template'!P597&amp;"|Operations - Core Title"))))</f>
        <v>#|Operations - Core Title
</v>
      </c>
      <c r="AH597" s="5"/>
      <c r="AI597" s="5"/>
      <c r="AJ597" s="5"/>
      <c r="AK597" s="5"/>
      <c r="AL597" s="5"/>
    </row>
    <row r="598">
      <c r="A598" s="5"/>
      <c r="B598" s="5" t="str">
        <f>'Ingest Template'!B598&amp;IF('Ingest Template'!A598 = "Standard", " - DAR","")</f>
        <v/>
      </c>
      <c r="C598" s="6" t="str">
        <f>'Ingest Template'!C598</f>
        <v/>
      </c>
      <c r="D598" s="7" t="str">
        <f>'Ingest Template'!E598</f>
        <v/>
      </c>
      <c r="E598" s="5"/>
      <c r="F598" s="5"/>
      <c r="G598" s="5"/>
      <c r="H598" s="7"/>
      <c r="I598" s="5"/>
      <c r="J598" s="7" t="str">
        <f>'Ingest Template'!Q598</f>
        <v/>
      </c>
      <c r="K598" s="5" t="str">
        <f>'Ingest Template'!R598</f>
        <v/>
      </c>
      <c r="L598" s="8" t="s">
        <v>38</v>
      </c>
      <c r="M598" s="9"/>
      <c r="N598" s="5"/>
      <c r="O598" s="5"/>
      <c r="P598" s="5"/>
      <c r="Q598" s="5"/>
      <c r="R598" s="5" t="str">
        <f>'Ingest Template'!D598</f>
        <v/>
      </c>
      <c r="S598" s="5" t="str">
        <f>'Ingest Template'!G598</f>
        <v/>
      </c>
      <c r="T598" s="5" t="str">
        <f>'Ingest Template'!H598</f>
        <v/>
      </c>
      <c r="U598" s="5" t="str">
        <f>LOWER(SUBSTITUTE(SUBSTITUTE(SUBSTITUTE(SUBSTITUTE(SUBSTITUTE('Ingest Template'!I598,"https:",""),"www.",""),"/",""),"?hl=en",""),"instagram.com",""))</f>
        <v/>
      </c>
      <c r="V598" s="10" t="str">
        <f>'Ingest Template'!J598</f>
        <v/>
      </c>
      <c r="W598" s="10" t="str">
        <f>'Ingest Template'!K598</f>
        <v/>
      </c>
      <c r="X598" s="5"/>
      <c r="Y598" s="5" t="str">
        <f>SUBSTITUTE(SUBSTITUTE(SUBSTITUTE('Ingest Template'!L598,"http:",""),"https:",""),"/","")</f>
        <v/>
      </c>
      <c r="Z598" s="5" t="str">
        <f t="array" ref="Z598">IF('Ingest Template'!A598="Standard",(IF(ISBLANK('Ingest Template'!M598),"", 'Ingest Template'!M598&amp;"|DAR")),(IF(ISBLANK('Ingest Template'!M598),"", 'Ingest Template'!M598&amp;"|Operations - Core Title")))</f>
        <v/>
      </c>
      <c r="AA598" s="5"/>
      <c r="AB598" s="5" t="str">
        <f>'Ingest Template'!F598</f>
        <v/>
      </c>
      <c r="AC598" s="5"/>
      <c r="AD598" s="5"/>
      <c r="AE598" s="5"/>
      <c r="AF598" s="8"/>
      <c r="AG598" s="5" t="str">
        <f t="array" ref="AG598">IF('Ingest Template'!A598="Standard",(CONCATENATE(IF(ISBLANK('Ingest Template'!N598),"", 'Ingest Template'!N598&amp;"|DAR"),CHAR(10), IF(ISBLANK('Ingest Template'!O598),"", 'Ingest Template'!O598&amp;"|DAR"),CHAR(10), IF(ISBLANK('Ingest Template'!P598),"", 'Ingest Template'!P598&amp;"|DAR"))),(CONCATENATE(IF(ISBLANK('Ingest Template'!N598),"", 'Ingest Template'!N598&amp;"|Operations - Core Title"),CHAR(10), IF(ISBLANK('Ingest Template'!O598),"", 'Ingest Template'!O598&amp;"|Operations - Core Title"),CHAR(10), IF(ISBLANK('Ingest Template'!P598),"", 'Ingest Template'!P598&amp;"|Operations - Core Title"))))</f>
        <v>#|Operations - Core Title
</v>
      </c>
      <c r="AH598" s="5"/>
      <c r="AI598" s="5"/>
      <c r="AJ598" s="5"/>
      <c r="AK598" s="5"/>
      <c r="AL598" s="5"/>
    </row>
    <row r="599">
      <c r="A599" s="5"/>
      <c r="B599" s="5" t="str">
        <f>'Ingest Template'!B599&amp;IF('Ingest Template'!A599 = "Standard", " - DAR","")</f>
        <v/>
      </c>
      <c r="C599" s="6" t="str">
        <f>'Ingest Template'!C599</f>
        <v/>
      </c>
      <c r="D599" s="7" t="str">
        <f>'Ingest Template'!E599</f>
        <v/>
      </c>
      <c r="E599" s="5"/>
      <c r="F599" s="5"/>
      <c r="G599" s="5"/>
      <c r="H599" s="7"/>
      <c r="I599" s="5"/>
      <c r="J599" s="7" t="str">
        <f>'Ingest Template'!Q599</f>
        <v/>
      </c>
      <c r="K599" s="5" t="str">
        <f>'Ingest Template'!R599</f>
        <v/>
      </c>
      <c r="L599" s="8" t="s">
        <v>38</v>
      </c>
      <c r="M599" s="9"/>
      <c r="N599" s="5"/>
      <c r="O599" s="5"/>
      <c r="P599" s="5"/>
      <c r="Q599" s="5"/>
      <c r="R599" s="5" t="str">
        <f>'Ingest Template'!D599</f>
        <v/>
      </c>
      <c r="S599" s="5" t="str">
        <f>'Ingest Template'!G599</f>
        <v/>
      </c>
      <c r="T599" s="5" t="str">
        <f>'Ingest Template'!H599</f>
        <v/>
      </c>
      <c r="U599" s="5" t="str">
        <f>LOWER(SUBSTITUTE(SUBSTITUTE(SUBSTITUTE(SUBSTITUTE(SUBSTITUTE('Ingest Template'!I599,"https:",""),"www.",""),"/",""),"?hl=en",""),"instagram.com",""))</f>
        <v/>
      </c>
      <c r="V599" s="10" t="str">
        <f>'Ingest Template'!J599</f>
        <v/>
      </c>
      <c r="W599" s="10" t="str">
        <f>'Ingest Template'!K599</f>
        <v/>
      </c>
      <c r="X599" s="5"/>
      <c r="Y599" s="5" t="str">
        <f>SUBSTITUTE(SUBSTITUTE(SUBSTITUTE('Ingest Template'!L599,"http:",""),"https:",""),"/","")</f>
        <v/>
      </c>
      <c r="Z599" s="5" t="str">
        <f t="array" ref="Z599">IF('Ingest Template'!A599="Standard",(IF(ISBLANK('Ingest Template'!M599),"", 'Ingest Template'!M599&amp;"|DAR")),(IF(ISBLANK('Ingest Template'!M599),"", 'Ingest Template'!M599&amp;"|Operations - Core Title")))</f>
        <v/>
      </c>
      <c r="AA599" s="5"/>
      <c r="AB599" s="5" t="str">
        <f>'Ingest Template'!F599</f>
        <v/>
      </c>
      <c r="AC599" s="5"/>
      <c r="AD599" s="5"/>
      <c r="AE599" s="5"/>
      <c r="AF599" s="8"/>
      <c r="AG599" s="5" t="str">
        <f t="array" ref="AG599">IF('Ingest Template'!A599="Standard",(CONCATENATE(IF(ISBLANK('Ingest Template'!N599),"", 'Ingest Template'!N599&amp;"|DAR"),CHAR(10), IF(ISBLANK('Ingest Template'!O599),"", 'Ingest Template'!O599&amp;"|DAR"),CHAR(10), IF(ISBLANK('Ingest Template'!P599),"", 'Ingest Template'!P599&amp;"|DAR"))),(CONCATENATE(IF(ISBLANK('Ingest Template'!N599),"", 'Ingest Template'!N599&amp;"|Operations - Core Title"),CHAR(10), IF(ISBLANK('Ingest Template'!O599),"", 'Ingest Template'!O599&amp;"|Operations - Core Title"),CHAR(10), IF(ISBLANK('Ingest Template'!P599),"", 'Ingest Template'!P599&amp;"|Operations - Core Title"))))</f>
        <v>#|Operations - Core Title
</v>
      </c>
      <c r="AH599" s="5"/>
      <c r="AI599" s="5"/>
      <c r="AJ599" s="5"/>
      <c r="AK599" s="5"/>
      <c r="AL599" s="5"/>
    </row>
    <row r="600">
      <c r="A600" s="5"/>
      <c r="B600" s="5" t="str">
        <f>'Ingest Template'!B600&amp;IF('Ingest Template'!A600 = "Standard", " - DAR","")</f>
        <v/>
      </c>
      <c r="C600" s="6" t="str">
        <f>'Ingest Template'!C600</f>
        <v/>
      </c>
      <c r="D600" s="7" t="str">
        <f>'Ingest Template'!E600</f>
        <v/>
      </c>
      <c r="E600" s="5"/>
      <c r="F600" s="5"/>
      <c r="G600" s="5"/>
      <c r="H600" s="7"/>
      <c r="I600" s="5"/>
      <c r="J600" s="7" t="str">
        <f>'Ingest Template'!Q600</f>
        <v/>
      </c>
      <c r="K600" s="5" t="str">
        <f>'Ingest Template'!R600</f>
        <v/>
      </c>
      <c r="L600" s="8" t="s">
        <v>38</v>
      </c>
      <c r="M600" s="9"/>
      <c r="N600" s="5"/>
      <c r="O600" s="5"/>
      <c r="P600" s="5"/>
      <c r="Q600" s="5"/>
      <c r="R600" s="5" t="str">
        <f>'Ingest Template'!D600</f>
        <v/>
      </c>
      <c r="S600" s="5" t="str">
        <f>'Ingest Template'!G600</f>
        <v/>
      </c>
      <c r="T600" s="5" t="str">
        <f>'Ingest Template'!H600</f>
        <v/>
      </c>
      <c r="U600" s="5" t="str">
        <f>LOWER(SUBSTITUTE(SUBSTITUTE(SUBSTITUTE(SUBSTITUTE(SUBSTITUTE('Ingest Template'!I600,"https:",""),"www.",""),"/",""),"?hl=en",""),"instagram.com",""))</f>
        <v/>
      </c>
      <c r="V600" s="10" t="str">
        <f>'Ingest Template'!J600</f>
        <v/>
      </c>
      <c r="W600" s="10" t="str">
        <f>'Ingest Template'!K600</f>
        <v/>
      </c>
      <c r="X600" s="5"/>
      <c r="Y600" s="5" t="str">
        <f>SUBSTITUTE(SUBSTITUTE(SUBSTITUTE('Ingest Template'!L600,"http:",""),"https:",""),"/","")</f>
        <v/>
      </c>
      <c r="Z600" s="5" t="str">
        <f t="array" ref="Z600">IF('Ingest Template'!A600="Standard",(IF(ISBLANK('Ingest Template'!M600),"", 'Ingest Template'!M600&amp;"|DAR")),(IF(ISBLANK('Ingest Template'!M600),"", 'Ingest Template'!M600&amp;"|Operations - Core Title")))</f>
        <v/>
      </c>
      <c r="AA600" s="5"/>
      <c r="AB600" s="5" t="str">
        <f>'Ingest Template'!F600</f>
        <v/>
      </c>
      <c r="AC600" s="5"/>
      <c r="AD600" s="5"/>
      <c r="AE600" s="5"/>
      <c r="AF600" s="8"/>
      <c r="AG600" s="5" t="str">
        <f t="array" ref="AG600">IF('Ingest Template'!A600="Standard",(CONCATENATE(IF(ISBLANK('Ingest Template'!N600),"", 'Ingest Template'!N600&amp;"|DAR"),CHAR(10), IF(ISBLANK('Ingest Template'!O600),"", 'Ingest Template'!O600&amp;"|DAR"),CHAR(10), IF(ISBLANK('Ingest Template'!P600),"", 'Ingest Template'!P600&amp;"|DAR"))),(CONCATENATE(IF(ISBLANK('Ingest Template'!N600),"", 'Ingest Template'!N600&amp;"|Operations - Core Title"),CHAR(10), IF(ISBLANK('Ingest Template'!O600),"", 'Ingest Template'!O600&amp;"|Operations - Core Title"),CHAR(10), IF(ISBLANK('Ingest Template'!P600),"", 'Ingest Template'!P600&amp;"|Operations - Core Title"))))</f>
        <v>#|Operations - Core Title
</v>
      </c>
      <c r="AH600" s="5"/>
      <c r="AI600" s="5"/>
      <c r="AJ600" s="5"/>
      <c r="AK600" s="5"/>
      <c r="AL600" s="5"/>
    </row>
    <row r="601">
      <c r="A601" s="5"/>
      <c r="B601" s="5" t="str">
        <f>'Ingest Template'!B601&amp;IF('Ingest Template'!A601 = "Standard", " - DAR","")</f>
        <v/>
      </c>
      <c r="C601" s="6" t="str">
        <f>'Ingest Template'!C601</f>
        <v/>
      </c>
      <c r="D601" s="7" t="str">
        <f>'Ingest Template'!E601</f>
        <v/>
      </c>
      <c r="E601" s="5"/>
      <c r="F601" s="5"/>
      <c r="G601" s="5"/>
      <c r="H601" s="7"/>
      <c r="I601" s="5"/>
      <c r="J601" s="7" t="str">
        <f>'Ingest Template'!Q601</f>
        <v/>
      </c>
      <c r="K601" s="5" t="str">
        <f>'Ingest Template'!R601</f>
        <v/>
      </c>
      <c r="L601" s="8" t="s">
        <v>38</v>
      </c>
      <c r="M601" s="9"/>
      <c r="N601" s="5"/>
      <c r="O601" s="5"/>
      <c r="P601" s="5"/>
      <c r="Q601" s="5"/>
      <c r="R601" s="5" t="str">
        <f>'Ingest Template'!D601</f>
        <v/>
      </c>
      <c r="S601" s="5" t="str">
        <f>'Ingest Template'!G601</f>
        <v/>
      </c>
      <c r="T601" s="5" t="str">
        <f>'Ingest Template'!H601</f>
        <v/>
      </c>
      <c r="U601" s="5" t="str">
        <f>LOWER(SUBSTITUTE(SUBSTITUTE(SUBSTITUTE(SUBSTITUTE(SUBSTITUTE('Ingest Template'!I601,"https:",""),"www.",""),"/",""),"?hl=en",""),"instagram.com",""))</f>
        <v/>
      </c>
      <c r="V601" s="10" t="str">
        <f>'Ingest Template'!J601</f>
        <v/>
      </c>
      <c r="W601" s="10" t="str">
        <f>'Ingest Template'!K601</f>
        <v/>
      </c>
      <c r="X601" s="5"/>
      <c r="Y601" s="5" t="str">
        <f>SUBSTITUTE(SUBSTITUTE(SUBSTITUTE('Ingest Template'!L601,"http:",""),"https:",""),"/","")</f>
        <v/>
      </c>
      <c r="Z601" s="5" t="str">
        <f t="array" ref="Z601">IF('Ingest Template'!A601="Standard",(IF(ISBLANK('Ingest Template'!M601),"", 'Ingest Template'!M601&amp;"|DAR")),(IF(ISBLANK('Ingest Template'!M601),"", 'Ingest Template'!M601&amp;"|Operations - Core Title")))</f>
        <v/>
      </c>
      <c r="AA601" s="5"/>
      <c r="AB601" s="5" t="str">
        <f>'Ingest Template'!F601</f>
        <v/>
      </c>
      <c r="AC601" s="5"/>
      <c r="AD601" s="5"/>
      <c r="AE601" s="5"/>
      <c r="AF601" s="8"/>
      <c r="AG601" s="5" t="str">
        <f t="array" ref="AG601">IF('Ingest Template'!A601="Standard",(CONCATENATE(IF(ISBLANK('Ingest Template'!N601),"", 'Ingest Template'!N601&amp;"|DAR"),CHAR(10), IF(ISBLANK('Ingest Template'!O601),"", 'Ingest Template'!O601&amp;"|DAR"),CHAR(10), IF(ISBLANK('Ingest Template'!P601),"", 'Ingest Template'!P601&amp;"|DAR"))),(CONCATENATE(IF(ISBLANK('Ingest Template'!N601),"", 'Ingest Template'!N601&amp;"|Operations - Core Title"),CHAR(10), IF(ISBLANK('Ingest Template'!O601),"", 'Ingest Template'!O601&amp;"|Operations - Core Title"),CHAR(10), IF(ISBLANK('Ingest Template'!P601),"", 'Ingest Template'!P601&amp;"|Operations - Core Title"))))</f>
        <v>#|Operations - Core Title
</v>
      </c>
      <c r="AH601" s="5"/>
      <c r="AI601" s="5"/>
      <c r="AJ601" s="5"/>
      <c r="AK601" s="5"/>
      <c r="AL601" s="5"/>
    </row>
    <row r="602">
      <c r="A602" s="5"/>
      <c r="B602" s="5" t="str">
        <f>'Ingest Template'!B602&amp;IF('Ingest Template'!A602 = "Standard", " - DAR","")</f>
        <v/>
      </c>
      <c r="C602" s="6" t="str">
        <f>'Ingest Template'!C602</f>
        <v/>
      </c>
      <c r="D602" s="7" t="str">
        <f>'Ingest Template'!E602</f>
        <v/>
      </c>
      <c r="E602" s="5"/>
      <c r="F602" s="5"/>
      <c r="G602" s="5"/>
      <c r="H602" s="7"/>
      <c r="I602" s="5"/>
      <c r="J602" s="7" t="str">
        <f>'Ingest Template'!Q602</f>
        <v/>
      </c>
      <c r="K602" s="5" t="str">
        <f>'Ingest Template'!R602</f>
        <v/>
      </c>
      <c r="L602" s="8" t="s">
        <v>38</v>
      </c>
      <c r="M602" s="9"/>
      <c r="N602" s="5"/>
      <c r="O602" s="5"/>
      <c r="P602" s="5"/>
      <c r="Q602" s="5"/>
      <c r="R602" s="5" t="str">
        <f>'Ingest Template'!D602</f>
        <v/>
      </c>
      <c r="S602" s="5" t="str">
        <f>'Ingest Template'!G602</f>
        <v/>
      </c>
      <c r="T602" s="5" t="str">
        <f>'Ingest Template'!H602</f>
        <v/>
      </c>
      <c r="U602" s="5" t="str">
        <f>LOWER(SUBSTITUTE(SUBSTITUTE(SUBSTITUTE(SUBSTITUTE(SUBSTITUTE('Ingest Template'!I602,"https:",""),"www.",""),"/",""),"?hl=en",""),"instagram.com",""))</f>
        <v/>
      </c>
      <c r="V602" s="10" t="str">
        <f>'Ingest Template'!J602</f>
        <v/>
      </c>
      <c r="W602" s="10" t="str">
        <f>'Ingest Template'!K602</f>
        <v/>
      </c>
      <c r="X602" s="5"/>
      <c r="Y602" s="5" t="str">
        <f>SUBSTITUTE(SUBSTITUTE(SUBSTITUTE('Ingest Template'!L602,"http:",""),"https:",""),"/","")</f>
        <v/>
      </c>
      <c r="Z602" s="5" t="str">
        <f t="array" ref="Z602">IF('Ingest Template'!A602="Standard",(IF(ISBLANK('Ingest Template'!M602),"", 'Ingest Template'!M602&amp;"|DAR")),(IF(ISBLANK('Ingest Template'!M602),"", 'Ingest Template'!M602&amp;"|Operations - Core Title")))</f>
        <v/>
      </c>
      <c r="AA602" s="5"/>
      <c r="AB602" s="5" t="str">
        <f>'Ingest Template'!F602</f>
        <v/>
      </c>
      <c r="AC602" s="5"/>
      <c r="AD602" s="5"/>
      <c r="AE602" s="5"/>
      <c r="AF602" s="8"/>
      <c r="AG602" s="5" t="str">
        <f t="array" ref="AG602">IF('Ingest Template'!A602="Standard",(CONCATENATE(IF(ISBLANK('Ingest Template'!N602),"", 'Ingest Template'!N602&amp;"|DAR"),CHAR(10), IF(ISBLANK('Ingest Template'!O602),"", 'Ingest Template'!O602&amp;"|DAR"),CHAR(10), IF(ISBLANK('Ingest Template'!P602),"", 'Ingest Template'!P602&amp;"|DAR"))),(CONCATENATE(IF(ISBLANK('Ingest Template'!N602),"", 'Ingest Template'!N602&amp;"|Operations - Core Title"),CHAR(10), IF(ISBLANK('Ingest Template'!O602),"", 'Ingest Template'!O602&amp;"|Operations - Core Title"),CHAR(10), IF(ISBLANK('Ingest Template'!P602),"", 'Ingest Template'!P602&amp;"|Operations - Core Title"))))</f>
        <v>#|Operations - Core Title
</v>
      </c>
      <c r="AH602" s="5"/>
      <c r="AI602" s="5"/>
      <c r="AJ602" s="5"/>
      <c r="AK602" s="5"/>
      <c r="AL602" s="5"/>
    </row>
    <row r="603">
      <c r="A603" s="5"/>
      <c r="B603" s="5" t="str">
        <f>'Ingest Template'!B603&amp;IF('Ingest Template'!A603 = "Standard", " - DAR","")</f>
        <v/>
      </c>
      <c r="C603" s="6" t="str">
        <f>'Ingest Template'!C603</f>
        <v/>
      </c>
      <c r="D603" s="7" t="str">
        <f>'Ingest Template'!E603</f>
        <v/>
      </c>
      <c r="E603" s="5"/>
      <c r="F603" s="5"/>
      <c r="G603" s="5"/>
      <c r="H603" s="7"/>
      <c r="I603" s="5"/>
      <c r="J603" s="7" t="str">
        <f>'Ingest Template'!Q603</f>
        <v/>
      </c>
      <c r="K603" s="5" t="str">
        <f>'Ingest Template'!R603</f>
        <v/>
      </c>
      <c r="L603" s="8" t="s">
        <v>38</v>
      </c>
      <c r="M603" s="9"/>
      <c r="N603" s="5"/>
      <c r="O603" s="5"/>
      <c r="P603" s="5"/>
      <c r="Q603" s="5"/>
      <c r="R603" s="5" t="str">
        <f>'Ingest Template'!D603</f>
        <v/>
      </c>
      <c r="S603" s="5" t="str">
        <f>'Ingest Template'!G603</f>
        <v/>
      </c>
      <c r="T603" s="5" t="str">
        <f>'Ingest Template'!H603</f>
        <v/>
      </c>
      <c r="U603" s="5" t="str">
        <f>LOWER(SUBSTITUTE(SUBSTITUTE(SUBSTITUTE(SUBSTITUTE(SUBSTITUTE('Ingest Template'!I603,"https:",""),"www.",""),"/",""),"?hl=en",""),"instagram.com",""))</f>
        <v/>
      </c>
      <c r="V603" s="10" t="str">
        <f>'Ingest Template'!J603</f>
        <v/>
      </c>
      <c r="W603" s="10" t="str">
        <f>'Ingest Template'!K603</f>
        <v/>
      </c>
      <c r="X603" s="5"/>
      <c r="Y603" s="5" t="str">
        <f>SUBSTITUTE(SUBSTITUTE(SUBSTITUTE('Ingest Template'!L603,"http:",""),"https:",""),"/","")</f>
        <v/>
      </c>
      <c r="Z603" s="5" t="str">
        <f t="array" ref="Z603">IF('Ingest Template'!A603="Standard",(IF(ISBLANK('Ingest Template'!M603),"", 'Ingest Template'!M603&amp;"|DAR")),(IF(ISBLANK('Ingest Template'!M603),"", 'Ingest Template'!M603&amp;"|Operations - Core Title")))</f>
        <v/>
      </c>
      <c r="AA603" s="5"/>
      <c r="AB603" s="5" t="str">
        <f>'Ingest Template'!F603</f>
        <v/>
      </c>
      <c r="AC603" s="5"/>
      <c r="AD603" s="5"/>
      <c r="AE603" s="5"/>
      <c r="AF603" s="8"/>
      <c r="AG603" s="5" t="str">
        <f t="array" ref="AG603">IF('Ingest Template'!A603="Standard",(CONCATENATE(IF(ISBLANK('Ingest Template'!N603),"", 'Ingest Template'!N603&amp;"|DAR"),CHAR(10), IF(ISBLANK('Ingest Template'!O603),"", 'Ingest Template'!O603&amp;"|DAR"),CHAR(10), IF(ISBLANK('Ingest Template'!P603),"", 'Ingest Template'!P603&amp;"|DAR"))),(CONCATENATE(IF(ISBLANK('Ingest Template'!N603),"", 'Ingest Template'!N603&amp;"|Operations - Core Title"),CHAR(10), IF(ISBLANK('Ingest Template'!O603),"", 'Ingest Template'!O603&amp;"|Operations - Core Title"),CHAR(10), IF(ISBLANK('Ingest Template'!P603),"", 'Ingest Template'!P603&amp;"|Operations - Core Title"))))</f>
        <v>#|Operations - Core Title
</v>
      </c>
      <c r="AH603" s="5"/>
      <c r="AI603" s="5"/>
      <c r="AJ603" s="5"/>
      <c r="AK603" s="5"/>
      <c r="AL603" s="5"/>
    </row>
    <row r="604">
      <c r="A604" s="5"/>
      <c r="B604" s="5" t="str">
        <f>'Ingest Template'!B604&amp;IF('Ingest Template'!A604 = "Standard", " - DAR","")</f>
        <v/>
      </c>
      <c r="C604" s="6" t="str">
        <f>'Ingest Template'!C604</f>
        <v/>
      </c>
      <c r="D604" s="7" t="str">
        <f>'Ingest Template'!E604</f>
        <v/>
      </c>
      <c r="E604" s="5"/>
      <c r="F604" s="5"/>
      <c r="G604" s="5"/>
      <c r="H604" s="7"/>
      <c r="I604" s="5"/>
      <c r="J604" s="7" t="str">
        <f>'Ingest Template'!Q604</f>
        <v/>
      </c>
      <c r="K604" s="5" t="str">
        <f>'Ingest Template'!R604</f>
        <v/>
      </c>
      <c r="L604" s="8" t="s">
        <v>38</v>
      </c>
      <c r="M604" s="9"/>
      <c r="N604" s="5"/>
      <c r="O604" s="5"/>
      <c r="P604" s="5"/>
      <c r="Q604" s="5"/>
      <c r="R604" s="5" t="str">
        <f>'Ingest Template'!D604</f>
        <v/>
      </c>
      <c r="S604" s="5" t="str">
        <f>'Ingest Template'!G604</f>
        <v/>
      </c>
      <c r="T604" s="5" t="str">
        <f>'Ingest Template'!H604</f>
        <v/>
      </c>
      <c r="U604" s="5" t="str">
        <f>LOWER(SUBSTITUTE(SUBSTITUTE(SUBSTITUTE(SUBSTITUTE(SUBSTITUTE('Ingest Template'!I604,"https:",""),"www.",""),"/",""),"?hl=en",""),"instagram.com",""))</f>
        <v/>
      </c>
      <c r="V604" s="10" t="str">
        <f>'Ingest Template'!J604</f>
        <v/>
      </c>
      <c r="W604" s="10" t="str">
        <f>'Ingest Template'!K604</f>
        <v/>
      </c>
      <c r="X604" s="5"/>
      <c r="Y604" s="5" t="str">
        <f>SUBSTITUTE(SUBSTITUTE(SUBSTITUTE('Ingest Template'!L604,"http:",""),"https:",""),"/","")</f>
        <v/>
      </c>
      <c r="Z604" s="5" t="str">
        <f t="array" ref="Z604">IF('Ingest Template'!A604="Standard",(IF(ISBLANK('Ingest Template'!M604),"", 'Ingest Template'!M604&amp;"|DAR")),(IF(ISBLANK('Ingest Template'!M604),"", 'Ingest Template'!M604&amp;"|Operations - Core Title")))</f>
        <v/>
      </c>
      <c r="AA604" s="5"/>
      <c r="AB604" s="5" t="str">
        <f>'Ingest Template'!F604</f>
        <v/>
      </c>
      <c r="AC604" s="5"/>
      <c r="AD604" s="5"/>
      <c r="AE604" s="5"/>
      <c r="AF604" s="8"/>
      <c r="AG604" s="5" t="str">
        <f t="array" ref="AG604">IF('Ingest Template'!A604="Standard",(CONCATENATE(IF(ISBLANK('Ingest Template'!N604),"", 'Ingest Template'!N604&amp;"|DAR"),CHAR(10), IF(ISBLANK('Ingest Template'!O604),"", 'Ingest Template'!O604&amp;"|DAR"),CHAR(10), IF(ISBLANK('Ingest Template'!P604),"", 'Ingest Template'!P604&amp;"|DAR"))),(CONCATENATE(IF(ISBLANK('Ingest Template'!N604),"", 'Ingest Template'!N604&amp;"|Operations - Core Title"),CHAR(10), IF(ISBLANK('Ingest Template'!O604),"", 'Ingest Template'!O604&amp;"|Operations - Core Title"),CHAR(10), IF(ISBLANK('Ingest Template'!P604),"", 'Ingest Template'!P604&amp;"|Operations - Core Title"))))</f>
        <v>#|Operations - Core Title
</v>
      </c>
      <c r="AH604" s="5"/>
      <c r="AI604" s="5"/>
      <c r="AJ604" s="5"/>
      <c r="AK604" s="5"/>
      <c r="AL604" s="5"/>
    </row>
    <row r="605">
      <c r="A605" s="5"/>
      <c r="B605" s="5" t="str">
        <f>'Ingest Template'!B605&amp;IF('Ingest Template'!A605 = "Standard", " - DAR","")</f>
        <v/>
      </c>
      <c r="C605" s="6" t="str">
        <f>'Ingest Template'!C605</f>
        <v/>
      </c>
      <c r="D605" s="7" t="str">
        <f>'Ingest Template'!E605</f>
        <v/>
      </c>
      <c r="E605" s="5"/>
      <c r="F605" s="5"/>
      <c r="G605" s="5"/>
      <c r="H605" s="7"/>
      <c r="I605" s="5"/>
      <c r="J605" s="7" t="str">
        <f>'Ingest Template'!Q605</f>
        <v/>
      </c>
      <c r="K605" s="5" t="str">
        <f>'Ingest Template'!R605</f>
        <v/>
      </c>
      <c r="L605" s="8" t="s">
        <v>38</v>
      </c>
      <c r="M605" s="9"/>
      <c r="N605" s="5"/>
      <c r="O605" s="5"/>
      <c r="P605" s="5"/>
      <c r="Q605" s="5"/>
      <c r="R605" s="5" t="str">
        <f>'Ingest Template'!D605</f>
        <v/>
      </c>
      <c r="S605" s="5" t="str">
        <f>'Ingest Template'!G605</f>
        <v/>
      </c>
      <c r="T605" s="5" t="str">
        <f>'Ingest Template'!H605</f>
        <v/>
      </c>
      <c r="U605" s="5" t="str">
        <f>LOWER(SUBSTITUTE(SUBSTITUTE(SUBSTITUTE(SUBSTITUTE(SUBSTITUTE('Ingest Template'!I605,"https:",""),"www.",""),"/",""),"?hl=en",""),"instagram.com",""))</f>
        <v/>
      </c>
      <c r="V605" s="10" t="str">
        <f>'Ingest Template'!J605</f>
        <v/>
      </c>
      <c r="W605" s="10" t="str">
        <f>'Ingest Template'!K605</f>
        <v/>
      </c>
      <c r="X605" s="5"/>
      <c r="Y605" s="5" t="str">
        <f>SUBSTITUTE(SUBSTITUTE(SUBSTITUTE('Ingest Template'!L605,"http:",""),"https:",""),"/","")</f>
        <v/>
      </c>
      <c r="Z605" s="5" t="str">
        <f t="array" ref="Z605">IF('Ingest Template'!A605="Standard",(IF(ISBLANK('Ingest Template'!M605),"", 'Ingest Template'!M605&amp;"|DAR")),(IF(ISBLANK('Ingest Template'!M605),"", 'Ingest Template'!M605&amp;"|Operations - Core Title")))</f>
        <v/>
      </c>
      <c r="AA605" s="5"/>
      <c r="AB605" s="5" t="str">
        <f>'Ingest Template'!F605</f>
        <v/>
      </c>
      <c r="AC605" s="5"/>
      <c r="AD605" s="5"/>
      <c r="AE605" s="5"/>
      <c r="AF605" s="8"/>
      <c r="AG605" s="5" t="str">
        <f t="array" ref="AG605">IF('Ingest Template'!A605="Standard",(CONCATENATE(IF(ISBLANK('Ingest Template'!N605),"", 'Ingest Template'!N605&amp;"|DAR"),CHAR(10), IF(ISBLANK('Ingest Template'!O605),"", 'Ingest Template'!O605&amp;"|DAR"),CHAR(10), IF(ISBLANK('Ingest Template'!P605),"", 'Ingest Template'!P605&amp;"|DAR"))),(CONCATENATE(IF(ISBLANK('Ingest Template'!N605),"", 'Ingest Template'!N605&amp;"|Operations - Core Title"),CHAR(10), IF(ISBLANK('Ingest Template'!O605),"", 'Ingest Template'!O605&amp;"|Operations - Core Title"),CHAR(10), IF(ISBLANK('Ingest Template'!P605),"", 'Ingest Template'!P605&amp;"|Operations - Core Title"))))</f>
        <v>#|Operations - Core Title
</v>
      </c>
      <c r="AH605" s="5"/>
      <c r="AI605" s="5"/>
      <c r="AJ605" s="5"/>
      <c r="AK605" s="5"/>
      <c r="AL605" s="5"/>
    </row>
    <row r="606">
      <c r="A606" s="5"/>
      <c r="B606" s="5" t="str">
        <f>'Ingest Template'!B606&amp;IF('Ingest Template'!A606 = "Standard", " - DAR","")</f>
        <v/>
      </c>
      <c r="C606" s="6" t="str">
        <f>'Ingest Template'!C606</f>
        <v/>
      </c>
      <c r="D606" s="7" t="str">
        <f>'Ingest Template'!E606</f>
        <v/>
      </c>
      <c r="E606" s="5"/>
      <c r="F606" s="5"/>
      <c r="G606" s="5"/>
      <c r="H606" s="7"/>
      <c r="I606" s="5"/>
      <c r="J606" s="7" t="str">
        <f>'Ingest Template'!Q606</f>
        <v/>
      </c>
      <c r="K606" s="5" t="str">
        <f>'Ingest Template'!R606</f>
        <v/>
      </c>
      <c r="L606" s="8" t="s">
        <v>38</v>
      </c>
      <c r="M606" s="9"/>
      <c r="N606" s="5"/>
      <c r="O606" s="5"/>
      <c r="P606" s="5"/>
      <c r="Q606" s="5"/>
      <c r="R606" s="5" t="str">
        <f>'Ingest Template'!D606</f>
        <v/>
      </c>
      <c r="S606" s="5" t="str">
        <f>'Ingest Template'!G606</f>
        <v/>
      </c>
      <c r="T606" s="5" t="str">
        <f>'Ingest Template'!H606</f>
        <v/>
      </c>
      <c r="U606" s="5" t="str">
        <f>LOWER(SUBSTITUTE(SUBSTITUTE(SUBSTITUTE(SUBSTITUTE(SUBSTITUTE('Ingest Template'!I606,"https:",""),"www.",""),"/",""),"?hl=en",""),"instagram.com",""))</f>
        <v/>
      </c>
      <c r="V606" s="10" t="str">
        <f>'Ingest Template'!J606</f>
        <v/>
      </c>
      <c r="W606" s="10" t="str">
        <f>'Ingest Template'!K606</f>
        <v/>
      </c>
      <c r="X606" s="5"/>
      <c r="Y606" s="5" t="str">
        <f>SUBSTITUTE(SUBSTITUTE(SUBSTITUTE('Ingest Template'!L606,"http:",""),"https:",""),"/","")</f>
        <v/>
      </c>
      <c r="Z606" s="5" t="str">
        <f t="array" ref="Z606">IF('Ingest Template'!A606="Standard",(IF(ISBLANK('Ingest Template'!M606),"", 'Ingest Template'!M606&amp;"|DAR")),(IF(ISBLANK('Ingest Template'!M606),"", 'Ingest Template'!M606&amp;"|Operations - Core Title")))</f>
        <v/>
      </c>
      <c r="AA606" s="5"/>
      <c r="AB606" s="5" t="str">
        <f>'Ingest Template'!F606</f>
        <v/>
      </c>
      <c r="AC606" s="5"/>
      <c r="AD606" s="5"/>
      <c r="AE606" s="5"/>
      <c r="AF606" s="8"/>
      <c r="AG606" s="5" t="str">
        <f t="array" ref="AG606">IF('Ingest Template'!A606="Standard",(CONCATENATE(IF(ISBLANK('Ingest Template'!N606),"", 'Ingest Template'!N606&amp;"|DAR"),CHAR(10), IF(ISBLANK('Ingest Template'!O606),"", 'Ingest Template'!O606&amp;"|DAR"),CHAR(10), IF(ISBLANK('Ingest Template'!P606),"", 'Ingest Template'!P606&amp;"|DAR"))),(CONCATENATE(IF(ISBLANK('Ingest Template'!N606),"", 'Ingest Template'!N606&amp;"|Operations - Core Title"),CHAR(10), IF(ISBLANK('Ingest Template'!O606),"", 'Ingest Template'!O606&amp;"|Operations - Core Title"),CHAR(10), IF(ISBLANK('Ingest Template'!P606),"", 'Ingest Template'!P606&amp;"|Operations - Core Title"))))</f>
        <v>#|Operations - Core Title
</v>
      </c>
      <c r="AH606" s="5"/>
      <c r="AI606" s="5"/>
      <c r="AJ606" s="5"/>
      <c r="AK606" s="5"/>
      <c r="AL606" s="5"/>
    </row>
    <row r="607">
      <c r="A607" s="5"/>
      <c r="B607" s="5" t="str">
        <f>'Ingest Template'!B607&amp;IF('Ingest Template'!A607 = "Standard", " - DAR","")</f>
        <v/>
      </c>
      <c r="C607" s="6" t="str">
        <f>'Ingest Template'!C607</f>
        <v/>
      </c>
      <c r="D607" s="7" t="str">
        <f>'Ingest Template'!E607</f>
        <v/>
      </c>
      <c r="E607" s="5"/>
      <c r="F607" s="5"/>
      <c r="G607" s="5"/>
      <c r="H607" s="7"/>
      <c r="I607" s="5"/>
      <c r="J607" s="7" t="str">
        <f>'Ingest Template'!Q607</f>
        <v/>
      </c>
      <c r="K607" s="5" t="str">
        <f>'Ingest Template'!R607</f>
        <v/>
      </c>
      <c r="L607" s="8" t="s">
        <v>38</v>
      </c>
      <c r="M607" s="9"/>
      <c r="N607" s="5"/>
      <c r="O607" s="5"/>
      <c r="P607" s="5"/>
      <c r="Q607" s="5"/>
      <c r="R607" s="5" t="str">
        <f>'Ingest Template'!D607</f>
        <v/>
      </c>
      <c r="S607" s="5" t="str">
        <f>'Ingest Template'!G607</f>
        <v/>
      </c>
      <c r="T607" s="5" t="str">
        <f>'Ingest Template'!H607</f>
        <v/>
      </c>
      <c r="U607" s="5" t="str">
        <f>LOWER(SUBSTITUTE(SUBSTITUTE(SUBSTITUTE(SUBSTITUTE(SUBSTITUTE('Ingest Template'!I607,"https:",""),"www.",""),"/",""),"?hl=en",""),"instagram.com",""))</f>
        <v/>
      </c>
      <c r="V607" s="10" t="str">
        <f>'Ingest Template'!J607</f>
        <v/>
      </c>
      <c r="W607" s="10" t="str">
        <f>'Ingest Template'!K607</f>
        <v/>
      </c>
      <c r="X607" s="5"/>
      <c r="Y607" s="5" t="str">
        <f>SUBSTITUTE(SUBSTITUTE(SUBSTITUTE('Ingest Template'!L607,"http:",""),"https:",""),"/","")</f>
        <v/>
      </c>
      <c r="Z607" s="5" t="str">
        <f t="array" ref="Z607">IF('Ingest Template'!A607="Standard",(IF(ISBLANK('Ingest Template'!M607),"", 'Ingest Template'!M607&amp;"|DAR")),(IF(ISBLANK('Ingest Template'!M607),"", 'Ingest Template'!M607&amp;"|Operations - Core Title")))</f>
        <v/>
      </c>
      <c r="AA607" s="5"/>
      <c r="AB607" s="5" t="str">
        <f>'Ingest Template'!F607</f>
        <v/>
      </c>
      <c r="AC607" s="5"/>
      <c r="AD607" s="5"/>
      <c r="AE607" s="5"/>
      <c r="AF607" s="8"/>
      <c r="AG607" s="5" t="str">
        <f t="array" ref="AG607">IF('Ingest Template'!A607="Standard",(CONCATENATE(IF(ISBLANK('Ingest Template'!N607),"", 'Ingest Template'!N607&amp;"|DAR"),CHAR(10), IF(ISBLANK('Ingest Template'!O607),"", 'Ingest Template'!O607&amp;"|DAR"),CHAR(10), IF(ISBLANK('Ingest Template'!P607),"", 'Ingest Template'!P607&amp;"|DAR"))),(CONCATENATE(IF(ISBLANK('Ingest Template'!N607),"", 'Ingest Template'!N607&amp;"|Operations - Core Title"),CHAR(10), IF(ISBLANK('Ingest Template'!O607),"", 'Ingest Template'!O607&amp;"|Operations - Core Title"),CHAR(10), IF(ISBLANK('Ingest Template'!P607),"", 'Ingest Template'!P607&amp;"|Operations - Core Title"))))</f>
        <v>#|Operations - Core Title
</v>
      </c>
      <c r="AH607" s="5"/>
      <c r="AI607" s="5"/>
      <c r="AJ607" s="5"/>
      <c r="AK607" s="5"/>
      <c r="AL607" s="5"/>
    </row>
    <row r="608">
      <c r="A608" s="5"/>
      <c r="B608" s="5" t="str">
        <f>'Ingest Template'!B608&amp;IF('Ingest Template'!A608 = "Standard", " - DAR","")</f>
        <v/>
      </c>
      <c r="C608" s="6" t="str">
        <f>'Ingest Template'!C608</f>
        <v/>
      </c>
      <c r="D608" s="7" t="str">
        <f>'Ingest Template'!E608</f>
        <v/>
      </c>
      <c r="E608" s="5"/>
      <c r="F608" s="5"/>
      <c r="G608" s="5"/>
      <c r="H608" s="7"/>
      <c r="I608" s="5"/>
      <c r="J608" s="7" t="str">
        <f>'Ingest Template'!Q608</f>
        <v/>
      </c>
      <c r="K608" s="5" t="str">
        <f>'Ingest Template'!R608</f>
        <v/>
      </c>
      <c r="L608" s="8" t="s">
        <v>38</v>
      </c>
      <c r="M608" s="9"/>
      <c r="N608" s="5"/>
      <c r="O608" s="5"/>
      <c r="P608" s="5"/>
      <c r="Q608" s="5"/>
      <c r="R608" s="5" t="str">
        <f>'Ingest Template'!D608</f>
        <v/>
      </c>
      <c r="S608" s="5" t="str">
        <f>'Ingest Template'!G608</f>
        <v/>
      </c>
      <c r="T608" s="5" t="str">
        <f>'Ingest Template'!H608</f>
        <v/>
      </c>
      <c r="U608" s="5" t="str">
        <f>LOWER(SUBSTITUTE(SUBSTITUTE(SUBSTITUTE(SUBSTITUTE(SUBSTITUTE('Ingest Template'!I608,"https:",""),"www.",""),"/",""),"?hl=en",""),"instagram.com",""))</f>
        <v/>
      </c>
      <c r="V608" s="10" t="str">
        <f>'Ingest Template'!J608</f>
        <v/>
      </c>
      <c r="W608" s="10" t="str">
        <f>'Ingest Template'!K608</f>
        <v/>
      </c>
      <c r="X608" s="5"/>
      <c r="Y608" s="5" t="str">
        <f>SUBSTITUTE(SUBSTITUTE(SUBSTITUTE('Ingest Template'!L608,"http:",""),"https:",""),"/","")</f>
        <v/>
      </c>
      <c r="Z608" s="5" t="str">
        <f t="array" ref="Z608">IF('Ingest Template'!A608="Standard",(IF(ISBLANK('Ingest Template'!M608),"", 'Ingest Template'!M608&amp;"|DAR")),(IF(ISBLANK('Ingest Template'!M608),"", 'Ingest Template'!M608&amp;"|Operations - Core Title")))</f>
        <v/>
      </c>
      <c r="AA608" s="5"/>
      <c r="AB608" s="5" t="str">
        <f>'Ingest Template'!F608</f>
        <v/>
      </c>
      <c r="AC608" s="5"/>
      <c r="AD608" s="5"/>
      <c r="AE608" s="5"/>
      <c r="AF608" s="8"/>
      <c r="AG608" s="5" t="str">
        <f t="array" ref="AG608">IF('Ingest Template'!A608="Standard",(CONCATENATE(IF(ISBLANK('Ingest Template'!N608),"", 'Ingest Template'!N608&amp;"|DAR"),CHAR(10), IF(ISBLANK('Ingest Template'!O608),"", 'Ingest Template'!O608&amp;"|DAR"),CHAR(10), IF(ISBLANK('Ingest Template'!P608),"", 'Ingest Template'!P608&amp;"|DAR"))),(CONCATENATE(IF(ISBLANK('Ingest Template'!N608),"", 'Ingest Template'!N608&amp;"|Operations - Core Title"),CHAR(10), IF(ISBLANK('Ingest Template'!O608),"", 'Ingest Template'!O608&amp;"|Operations - Core Title"),CHAR(10), IF(ISBLANK('Ingest Template'!P608),"", 'Ingest Template'!P608&amp;"|Operations - Core Title"))))</f>
        <v>#|Operations - Core Title
</v>
      </c>
      <c r="AH608" s="5"/>
      <c r="AI608" s="5"/>
      <c r="AJ608" s="5"/>
      <c r="AK608" s="5"/>
      <c r="AL608" s="5"/>
    </row>
    <row r="609">
      <c r="A609" s="5"/>
      <c r="B609" s="5" t="str">
        <f>'Ingest Template'!B609&amp;IF('Ingest Template'!A609 = "Standard", " - DAR","")</f>
        <v/>
      </c>
      <c r="C609" s="6" t="str">
        <f>'Ingest Template'!C609</f>
        <v/>
      </c>
      <c r="D609" s="7" t="str">
        <f>'Ingest Template'!E609</f>
        <v/>
      </c>
      <c r="E609" s="5"/>
      <c r="F609" s="5"/>
      <c r="G609" s="5"/>
      <c r="H609" s="7"/>
      <c r="I609" s="5"/>
      <c r="J609" s="7" t="str">
        <f>'Ingest Template'!Q609</f>
        <v/>
      </c>
      <c r="K609" s="5" t="str">
        <f>'Ingest Template'!R609</f>
        <v/>
      </c>
      <c r="L609" s="8" t="s">
        <v>38</v>
      </c>
      <c r="M609" s="9"/>
      <c r="N609" s="5"/>
      <c r="O609" s="5"/>
      <c r="P609" s="5"/>
      <c r="Q609" s="5"/>
      <c r="R609" s="5" t="str">
        <f>'Ingest Template'!D609</f>
        <v/>
      </c>
      <c r="S609" s="5" t="str">
        <f>'Ingest Template'!G609</f>
        <v/>
      </c>
      <c r="T609" s="5" t="str">
        <f>'Ingest Template'!H609</f>
        <v/>
      </c>
      <c r="U609" s="5" t="str">
        <f>LOWER(SUBSTITUTE(SUBSTITUTE(SUBSTITUTE(SUBSTITUTE(SUBSTITUTE('Ingest Template'!I609,"https:",""),"www.",""),"/",""),"?hl=en",""),"instagram.com",""))</f>
        <v/>
      </c>
      <c r="V609" s="10" t="str">
        <f>'Ingest Template'!J609</f>
        <v/>
      </c>
      <c r="W609" s="10" t="str">
        <f>'Ingest Template'!K609</f>
        <v/>
      </c>
      <c r="X609" s="5"/>
      <c r="Y609" s="5" t="str">
        <f>SUBSTITUTE(SUBSTITUTE(SUBSTITUTE('Ingest Template'!L609,"http:",""),"https:",""),"/","")</f>
        <v/>
      </c>
      <c r="Z609" s="5" t="str">
        <f t="array" ref="Z609">IF('Ingest Template'!A609="Standard",(IF(ISBLANK('Ingest Template'!M609),"", 'Ingest Template'!M609&amp;"|DAR")),(IF(ISBLANK('Ingest Template'!M609),"", 'Ingest Template'!M609&amp;"|Operations - Core Title")))</f>
        <v/>
      </c>
      <c r="AA609" s="5"/>
      <c r="AB609" s="5" t="str">
        <f>'Ingest Template'!F609</f>
        <v/>
      </c>
      <c r="AC609" s="5"/>
      <c r="AD609" s="5"/>
      <c r="AE609" s="5"/>
      <c r="AF609" s="8"/>
      <c r="AG609" s="5" t="str">
        <f t="array" ref="AG609">IF('Ingest Template'!A609="Standard",(CONCATENATE(IF(ISBLANK('Ingest Template'!N609),"", 'Ingest Template'!N609&amp;"|DAR"),CHAR(10), IF(ISBLANK('Ingest Template'!O609),"", 'Ingest Template'!O609&amp;"|DAR"),CHAR(10), IF(ISBLANK('Ingest Template'!P609),"", 'Ingest Template'!P609&amp;"|DAR"))),(CONCATENATE(IF(ISBLANK('Ingest Template'!N609),"", 'Ingest Template'!N609&amp;"|Operations - Core Title"),CHAR(10), IF(ISBLANK('Ingest Template'!O609),"", 'Ingest Template'!O609&amp;"|Operations - Core Title"),CHAR(10), IF(ISBLANK('Ingest Template'!P609),"", 'Ingest Template'!P609&amp;"|Operations - Core Title"))))</f>
        <v>#|Operations - Core Title
</v>
      </c>
      <c r="AH609" s="5"/>
      <c r="AI609" s="5"/>
      <c r="AJ609" s="5"/>
      <c r="AK609" s="5"/>
      <c r="AL609" s="5"/>
    </row>
    <row r="610">
      <c r="A610" s="5"/>
      <c r="B610" s="5" t="str">
        <f>'Ingest Template'!B610&amp;IF('Ingest Template'!A610 = "Standard", " - DAR","")</f>
        <v/>
      </c>
      <c r="C610" s="6" t="str">
        <f>'Ingest Template'!C610</f>
        <v/>
      </c>
      <c r="D610" s="7" t="str">
        <f>'Ingest Template'!E610</f>
        <v/>
      </c>
      <c r="E610" s="5"/>
      <c r="F610" s="5"/>
      <c r="G610" s="5"/>
      <c r="H610" s="7"/>
      <c r="I610" s="5"/>
      <c r="J610" s="7" t="str">
        <f>'Ingest Template'!Q610</f>
        <v/>
      </c>
      <c r="K610" s="5" t="str">
        <f>'Ingest Template'!R610</f>
        <v/>
      </c>
      <c r="L610" s="8" t="s">
        <v>38</v>
      </c>
      <c r="M610" s="9"/>
      <c r="N610" s="5"/>
      <c r="O610" s="5"/>
      <c r="P610" s="5"/>
      <c r="Q610" s="5"/>
      <c r="R610" s="5" t="str">
        <f>'Ingest Template'!D610</f>
        <v/>
      </c>
      <c r="S610" s="5" t="str">
        <f>'Ingest Template'!G610</f>
        <v/>
      </c>
      <c r="T610" s="5" t="str">
        <f>'Ingest Template'!H610</f>
        <v/>
      </c>
      <c r="U610" s="5" t="str">
        <f>LOWER(SUBSTITUTE(SUBSTITUTE(SUBSTITUTE(SUBSTITUTE(SUBSTITUTE('Ingest Template'!I610,"https:",""),"www.",""),"/",""),"?hl=en",""),"instagram.com",""))</f>
        <v/>
      </c>
      <c r="V610" s="10" t="str">
        <f>'Ingest Template'!J610</f>
        <v/>
      </c>
      <c r="W610" s="10" t="str">
        <f>'Ingest Template'!K610</f>
        <v/>
      </c>
      <c r="X610" s="5"/>
      <c r="Y610" s="5" t="str">
        <f>SUBSTITUTE(SUBSTITUTE(SUBSTITUTE('Ingest Template'!L610,"http:",""),"https:",""),"/","")</f>
        <v/>
      </c>
      <c r="Z610" s="5" t="str">
        <f t="array" ref="Z610">IF('Ingest Template'!A610="Standard",(IF(ISBLANK('Ingest Template'!M610),"", 'Ingest Template'!M610&amp;"|DAR")),(IF(ISBLANK('Ingest Template'!M610),"", 'Ingest Template'!M610&amp;"|Operations - Core Title")))</f>
        <v/>
      </c>
      <c r="AA610" s="5"/>
      <c r="AB610" s="5" t="str">
        <f>'Ingest Template'!F610</f>
        <v/>
      </c>
      <c r="AC610" s="5"/>
      <c r="AD610" s="5"/>
      <c r="AE610" s="5"/>
      <c r="AF610" s="8"/>
      <c r="AG610" s="5" t="str">
        <f t="array" ref="AG610">IF('Ingest Template'!A610="Standard",(CONCATENATE(IF(ISBLANK('Ingest Template'!N610),"", 'Ingest Template'!N610&amp;"|DAR"),CHAR(10), IF(ISBLANK('Ingest Template'!O610),"", 'Ingest Template'!O610&amp;"|DAR"),CHAR(10), IF(ISBLANK('Ingest Template'!P610),"", 'Ingest Template'!P610&amp;"|DAR"))),(CONCATENATE(IF(ISBLANK('Ingest Template'!N610),"", 'Ingest Template'!N610&amp;"|Operations - Core Title"),CHAR(10), IF(ISBLANK('Ingest Template'!O610),"", 'Ingest Template'!O610&amp;"|Operations - Core Title"),CHAR(10), IF(ISBLANK('Ingest Template'!P610),"", 'Ingest Template'!P610&amp;"|Operations - Core Title"))))</f>
        <v>#|Operations - Core Title
</v>
      </c>
      <c r="AH610" s="5"/>
      <c r="AI610" s="5"/>
      <c r="AJ610" s="5"/>
      <c r="AK610" s="5"/>
      <c r="AL610" s="5"/>
    </row>
    <row r="611">
      <c r="A611" s="5"/>
      <c r="B611" s="5" t="str">
        <f>'Ingest Template'!B611&amp;IF('Ingest Template'!A611 = "Standard", " - DAR","")</f>
        <v/>
      </c>
      <c r="C611" s="6" t="str">
        <f>'Ingest Template'!C611</f>
        <v/>
      </c>
      <c r="D611" s="7" t="str">
        <f>'Ingest Template'!E611</f>
        <v/>
      </c>
      <c r="E611" s="5"/>
      <c r="F611" s="5"/>
      <c r="G611" s="5"/>
      <c r="H611" s="7"/>
      <c r="I611" s="5"/>
      <c r="J611" s="7" t="str">
        <f>'Ingest Template'!Q611</f>
        <v/>
      </c>
      <c r="K611" s="5" t="str">
        <f>'Ingest Template'!R611</f>
        <v/>
      </c>
      <c r="L611" s="8" t="s">
        <v>38</v>
      </c>
      <c r="M611" s="9"/>
      <c r="N611" s="5"/>
      <c r="O611" s="5"/>
      <c r="P611" s="5"/>
      <c r="Q611" s="5"/>
      <c r="R611" s="5" t="str">
        <f>'Ingest Template'!D611</f>
        <v/>
      </c>
      <c r="S611" s="5" t="str">
        <f>'Ingest Template'!G611</f>
        <v/>
      </c>
      <c r="T611" s="5" t="str">
        <f>'Ingest Template'!H611</f>
        <v/>
      </c>
      <c r="U611" s="5" t="str">
        <f>LOWER(SUBSTITUTE(SUBSTITUTE(SUBSTITUTE(SUBSTITUTE(SUBSTITUTE('Ingest Template'!I611,"https:",""),"www.",""),"/",""),"?hl=en",""),"instagram.com",""))</f>
        <v/>
      </c>
      <c r="V611" s="10" t="str">
        <f>'Ingest Template'!J611</f>
        <v/>
      </c>
      <c r="W611" s="10" t="str">
        <f>'Ingest Template'!K611</f>
        <v/>
      </c>
      <c r="X611" s="5"/>
      <c r="Y611" s="5" t="str">
        <f>SUBSTITUTE(SUBSTITUTE(SUBSTITUTE('Ingest Template'!L611,"http:",""),"https:",""),"/","")</f>
        <v/>
      </c>
      <c r="Z611" s="5" t="str">
        <f t="array" ref="Z611">IF('Ingest Template'!A611="Standard",(IF(ISBLANK('Ingest Template'!M611),"", 'Ingest Template'!M611&amp;"|DAR")),(IF(ISBLANK('Ingest Template'!M611),"", 'Ingest Template'!M611&amp;"|Operations - Core Title")))</f>
        <v/>
      </c>
      <c r="AA611" s="5"/>
      <c r="AB611" s="5" t="str">
        <f>'Ingest Template'!F611</f>
        <v/>
      </c>
      <c r="AC611" s="5"/>
      <c r="AD611" s="5"/>
      <c r="AE611" s="5"/>
      <c r="AF611" s="8"/>
      <c r="AG611" s="5" t="str">
        <f t="array" ref="AG611">IF('Ingest Template'!A611="Standard",(CONCATENATE(IF(ISBLANK('Ingest Template'!N611),"", 'Ingest Template'!N611&amp;"|DAR"),CHAR(10), IF(ISBLANK('Ingest Template'!O611),"", 'Ingest Template'!O611&amp;"|DAR"),CHAR(10), IF(ISBLANK('Ingest Template'!P611),"", 'Ingest Template'!P611&amp;"|DAR"))),(CONCATENATE(IF(ISBLANK('Ingest Template'!N611),"", 'Ingest Template'!N611&amp;"|Operations - Core Title"),CHAR(10), IF(ISBLANK('Ingest Template'!O611),"", 'Ingest Template'!O611&amp;"|Operations - Core Title"),CHAR(10), IF(ISBLANK('Ingest Template'!P611),"", 'Ingest Template'!P611&amp;"|Operations - Core Title"))))</f>
        <v>#|Operations - Core Title
</v>
      </c>
      <c r="AH611" s="5"/>
      <c r="AI611" s="5"/>
      <c r="AJ611" s="5"/>
      <c r="AK611" s="5"/>
      <c r="AL611" s="5"/>
    </row>
    <row r="612">
      <c r="A612" s="5"/>
      <c r="B612" s="5" t="str">
        <f>'Ingest Template'!B612&amp;IF('Ingest Template'!A612 = "Standard", " - DAR","")</f>
        <v/>
      </c>
      <c r="C612" s="6" t="str">
        <f>'Ingest Template'!C612</f>
        <v/>
      </c>
      <c r="D612" s="7" t="str">
        <f>'Ingest Template'!E612</f>
        <v/>
      </c>
      <c r="E612" s="5"/>
      <c r="F612" s="5"/>
      <c r="G612" s="5"/>
      <c r="H612" s="7"/>
      <c r="I612" s="5"/>
      <c r="J612" s="7" t="str">
        <f>'Ingest Template'!Q612</f>
        <v/>
      </c>
      <c r="K612" s="5" t="str">
        <f>'Ingest Template'!R612</f>
        <v/>
      </c>
      <c r="L612" s="8" t="s">
        <v>38</v>
      </c>
      <c r="M612" s="9"/>
      <c r="N612" s="5"/>
      <c r="O612" s="5"/>
      <c r="P612" s="5"/>
      <c r="Q612" s="5"/>
      <c r="R612" s="5" t="str">
        <f>'Ingest Template'!D612</f>
        <v/>
      </c>
      <c r="S612" s="5" t="str">
        <f>'Ingest Template'!G612</f>
        <v/>
      </c>
      <c r="T612" s="5" t="str">
        <f>'Ingest Template'!H612</f>
        <v/>
      </c>
      <c r="U612" s="5" t="str">
        <f>LOWER(SUBSTITUTE(SUBSTITUTE(SUBSTITUTE(SUBSTITUTE(SUBSTITUTE('Ingest Template'!I612,"https:",""),"www.",""),"/",""),"?hl=en",""),"instagram.com",""))</f>
        <v/>
      </c>
      <c r="V612" s="10" t="str">
        <f>'Ingest Template'!J612</f>
        <v/>
      </c>
      <c r="W612" s="10" t="str">
        <f>'Ingest Template'!K612</f>
        <v/>
      </c>
      <c r="X612" s="5"/>
      <c r="Y612" s="5" t="str">
        <f>SUBSTITUTE(SUBSTITUTE(SUBSTITUTE('Ingest Template'!L612,"http:",""),"https:",""),"/","")</f>
        <v/>
      </c>
      <c r="Z612" s="5" t="str">
        <f t="array" ref="Z612">IF('Ingest Template'!A612="Standard",(IF(ISBLANK('Ingest Template'!M612),"", 'Ingest Template'!M612&amp;"|DAR")),(IF(ISBLANK('Ingest Template'!M612),"", 'Ingest Template'!M612&amp;"|Operations - Core Title")))</f>
        <v/>
      </c>
      <c r="AA612" s="5"/>
      <c r="AB612" s="5" t="str">
        <f>'Ingest Template'!F612</f>
        <v/>
      </c>
      <c r="AC612" s="5"/>
      <c r="AD612" s="5"/>
      <c r="AE612" s="5"/>
      <c r="AF612" s="8"/>
      <c r="AG612" s="5" t="str">
        <f t="array" ref="AG612">IF('Ingest Template'!A612="Standard",(CONCATENATE(IF(ISBLANK('Ingest Template'!N612),"", 'Ingest Template'!N612&amp;"|DAR"),CHAR(10), IF(ISBLANK('Ingest Template'!O612),"", 'Ingest Template'!O612&amp;"|DAR"),CHAR(10), IF(ISBLANK('Ingest Template'!P612),"", 'Ingest Template'!P612&amp;"|DAR"))),(CONCATENATE(IF(ISBLANK('Ingest Template'!N612),"", 'Ingest Template'!N612&amp;"|Operations - Core Title"),CHAR(10), IF(ISBLANK('Ingest Template'!O612),"", 'Ingest Template'!O612&amp;"|Operations - Core Title"),CHAR(10), IF(ISBLANK('Ingest Template'!P612),"", 'Ingest Template'!P612&amp;"|Operations - Core Title"))))</f>
        <v>#|Operations - Core Title
</v>
      </c>
      <c r="AH612" s="5"/>
      <c r="AI612" s="5"/>
      <c r="AJ612" s="5"/>
      <c r="AK612" s="5"/>
      <c r="AL612" s="5"/>
    </row>
    <row r="613">
      <c r="A613" s="5"/>
      <c r="B613" s="5" t="str">
        <f>'Ingest Template'!B613&amp;IF('Ingest Template'!A613 = "Standard", " - DAR","")</f>
        <v/>
      </c>
      <c r="C613" s="6" t="str">
        <f>'Ingest Template'!C613</f>
        <v/>
      </c>
      <c r="D613" s="7" t="str">
        <f>'Ingest Template'!E613</f>
        <v/>
      </c>
      <c r="E613" s="5"/>
      <c r="F613" s="5"/>
      <c r="G613" s="5"/>
      <c r="H613" s="7"/>
      <c r="I613" s="5"/>
      <c r="J613" s="7" t="str">
        <f>'Ingest Template'!Q613</f>
        <v/>
      </c>
      <c r="K613" s="5" t="str">
        <f>'Ingest Template'!R613</f>
        <v/>
      </c>
      <c r="L613" s="8" t="s">
        <v>38</v>
      </c>
      <c r="M613" s="9"/>
      <c r="N613" s="5"/>
      <c r="O613" s="5"/>
      <c r="P613" s="5"/>
      <c r="Q613" s="5"/>
      <c r="R613" s="5" t="str">
        <f>'Ingest Template'!D613</f>
        <v/>
      </c>
      <c r="S613" s="5" t="str">
        <f>'Ingest Template'!G613</f>
        <v/>
      </c>
      <c r="T613" s="5" t="str">
        <f>'Ingest Template'!H613</f>
        <v/>
      </c>
      <c r="U613" s="5" t="str">
        <f>LOWER(SUBSTITUTE(SUBSTITUTE(SUBSTITUTE(SUBSTITUTE(SUBSTITUTE('Ingest Template'!I613,"https:",""),"www.",""),"/",""),"?hl=en",""),"instagram.com",""))</f>
        <v/>
      </c>
      <c r="V613" s="10" t="str">
        <f>'Ingest Template'!J613</f>
        <v/>
      </c>
      <c r="W613" s="10" t="str">
        <f>'Ingest Template'!K613</f>
        <v/>
      </c>
      <c r="X613" s="5"/>
      <c r="Y613" s="5" t="str">
        <f>SUBSTITUTE(SUBSTITUTE(SUBSTITUTE('Ingest Template'!L613,"http:",""),"https:",""),"/","")</f>
        <v/>
      </c>
      <c r="Z613" s="5" t="str">
        <f t="array" ref="Z613">IF('Ingest Template'!A613="Standard",(IF(ISBLANK('Ingest Template'!M613),"", 'Ingest Template'!M613&amp;"|DAR")),(IF(ISBLANK('Ingest Template'!M613),"", 'Ingest Template'!M613&amp;"|Operations - Core Title")))</f>
        <v/>
      </c>
      <c r="AA613" s="5"/>
      <c r="AB613" s="5" t="str">
        <f>'Ingest Template'!F613</f>
        <v/>
      </c>
      <c r="AC613" s="5"/>
      <c r="AD613" s="5"/>
      <c r="AE613" s="5"/>
      <c r="AF613" s="8"/>
      <c r="AG613" s="5" t="str">
        <f t="array" ref="AG613">IF('Ingest Template'!A613="Standard",(CONCATENATE(IF(ISBLANK('Ingest Template'!N613),"", 'Ingest Template'!N613&amp;"|DAR"),CHAR(10), IF(ISBLANK('Ingest Template'!O613),"", 'Ingest Template'!O613&amp;"|DAR"),CHAR(10), IF(ISBLANK('Ingest Template'!P613),"", 'Ingest Template'!P613&amp;"|DAR"))),(CONCATENATE(IF(ISBLANK('Ingest Template'!N613),"", 'Ingest Template'!N613&amp;"|Operations - Core Title"),CHAR(10), IF(ISBLANK('Ingest Template'!O613),"", 'Ingest Template'!O613&amp;"|Operations - Core Title"),CHAR(10), IF(ISBLANK('Ingest Template'!P613),"", 'Ingest Template'!P613&amp;"|Operations - Core Title"))))</f>
        <v>#|Operations - Core Title
</v>
      </c>
      <c r="AH613" s="5"/>
      <c r="AI613" s="5"/>
      <c r="AJ613" s="5"/>
      <c r="AK613" s="5"/>
      <c r="AL613" s="5"/>
    </row>
    <row r="614">
      <c r="A614" s="5"/>
      <c r="B614" s="5" t="str">
        <f>'Ingest Template'!B614&amp;IF('Ingest Template'!A614 = "Standard", " - DAR","")</f>
        <v/>
      </c>
      <c r="C614" s="6" t="str">
        <f>'Ingest Template'!C614</f>
        <v/>
      </c>
      <c r="D614" s="7" t="str">
        <f>'Ingest Template'!E614</f>
        <v/>
      </c>
      <c r="E614" s="5"/>
      <c r="F614" s="5"/>
      <c r="G614" s="5"/>
      <c r="H614" s="7"/>
      <c r="I614" s="5"/>
      <c r="J614" s="7" t="str">
        <f>'Ingest Template'!Q614</f>
        <v/>
      </c>
      <c r="K614" s="5" t="str">
        <f>'Ingest Template'!R614</f>
        <v/>
      </c>
      <c r="L614" s="8" t="s">
        <v>38</v>
      </c>
      <c r="M614" s="9"/>
      <c r="N614" s="5"/>
      <c r="O614" s="5"/>
      <c r="P614" s="5"/>
      <c r="Q614" s="5"/>
      <c r="R614" s="5" t="str">
        <f>'Ingest Template'!D614</f>
        <v/>
      </c>
      <c r="S614" s="5" t="str">
        <f>'Ingest Template'!G614</f>
        <v/>
      </c>
      <c r="T614" s="5" t="str">
        <f>'Ingest Template'!H614</f>
        <v/>
      </c>
      <c r="U614" s="5" t="str">
        <f>LOWER(SUBSTITUTE(SUBSTITUTE(SUBSTITUTE(SUBSTITUTE(SUBSTITUTE('Ingest Template'!I614,"https:",""),"www.",""),"/",""),"?hl=en",""),"instagram.com",""))</f>
        <v/>
      </c>
      <c r="V614" s="10" t="str">
        <f>'Ingest Template'!J614</f>
        <v/>
      </c>
      <c r="W614" s="10" t="str">
        <f>'Ingest Template'!K614</f>
        <v/>
      </c>
      <c r="X614" s="5"/>
      <c r="Y614" s="5" t="str">
        <f>SUBSTITUTE(SUBSTITUTE(SUBSTITUTE('Ingest Template'!L614,"http:",""),"https:",""),"/","")</f>
        <v/>
      </c>
      <c r="Z614" s="5" t="str">
        <f t="array" ref="Z614">IF('Ingest Template'!A614="Standard",(IF(ISBLANK('Ingest Template'!M614),"", 'Ingest Template'!M614&amp;"|DAR")),(IF(ISBLANK('Ingest Template'!M614),"", 'Ingest Template'!M614&amp;"|Operations - Core Title")))</f>
        <v/>
      </c>
      <c r="AA614" s="5"/>
      <c r="AB614" s="5" t="str">
        <f>'Ingest Template'!F614</f>
        <v/>
      </c>
      <c r="AC614" s="5"/>
      <c r="AD614" s="5"/>
      <c r="AE614" s="5"/>
      <c r="AF614" s="8"/>
      <c r="AG614" s="5" t="str">
        <f t="array" ref="AG614">IF('Ingest Template'!A614="Standard",(CONCATENATE(IF(ISBLANK('Ingest Template'!N614),"", 'Ingest Template'!N614&amp;"|DAR"),CHAR(10), IF(ISBLANK('Ingest Template'!O614),"", 'Ingest Template'!O614&amp;"|DAR"),CHAR(10), IF(ISBLANK('Ingest Template'!P614),"", 'Ingest Template'!P614&amp;"|DAR"))),(CONCATENATE(IF(ISBLANK('Ingest Template'!N614),"", 'Ingest Template'!N614&amp;"|Operations - Core Title"),CHAR(10), IF(ISBLANK('Ingest Template'!O614),"", 'Ingest Template'!O614&amp;"|Operations - Core Title"),CHAR(10), IF(ISBLANK('Ingest Template'!P614),"", 'Ingest Template'!P614&amp;"|Operations - Core Title"))))</f>
        <v>#|Operations - Core Title
</v>
      </c>
      <c r="AH614" s="5"/>
      <c r="AI614" s="5"/>
      <c r="AJ614" s="5"/>
      <c r="AK614" s="5"/>
      <c r="AL614" s="5"/>
    </row>
    <row r="615">
      <c r="A615" s="5"/>
      <c r="B615" s="5" t="str">
        <f>'Ingest Template'!B615&amp;IF('Ingest Template'!A615 = "Standard", " - DAR","")</f>
        <v/>
      </c>
      <c r="C615" s="6" t="str">
        <f>'Ingest Template'!C615</f>
        <v/>
      </c>
      <c r="D615" s="7" t="str">
        <f>'Ingest Template'!E615</f>
        <v/>
      </c>
      <c r="E615" s="5"/>
      <c r="F615" s="5"/>
      <c r="G615" s="5"/>
      <c r="H615" s="7"/>
      <c r="I615" s="5"/>
      <c r="J615" s="7" t="str">
        <f>'Ingest Template'!Q615</f>
        <v/>
      </c>
      <c r="K615" s="5" t="str">
        <f>'Ingest Template'!R615</f>
        <v/>
      </c>
      <c r="L615" s="8" t="s">
        <v>38</v>
      </c>
      <c r="M615" s="9"/>
      <c r="N615" s="5"/>
      <c r="O615" s="5"/>
      <c r="P615" s="5"/>
      <c r="Q615" s="5"/>
      <c r="R615" s="5" t="str">
        <f>'Ingest Template'!D615</f>
        <v/>
      </c>
      <c r="S615" s="5" t="str">
        <f>'Ingest Template'!G615</f>
        <v/>
      </c>
      <c r="T615" s="5" t="str">
        <f>'Ingest Template'!H615</f>
        <v/>
      </c>
      <c r="U615" s="5" t="str">
        <f>LOWER(SUBSTITUTE(SUBSTITUTE(SUBSTITUTE(SUBSTITUTE(SUBSTITUTE('Ingest Template'!I615,"https:",""),"www.",""),"/",""),"?hl=en",""),"instagram.com",""))</f>
        <v/>
      </c>
      <c r="V615" s="10" t="str">
        <f>'Ingest Template'!J615</f>
        <v/>
      </c>
      <c r="W615" s="10" t="str">
        <f>'Ingest Template'!K615</f>
        <v/>
      </c>
      <c r="X615" s="5"/>
      <c r="Y615" s="5" t="str">
        <f>SUBSTITUTE(SUBSTITUTE(SUBSTITUTE('Ingest Template'!L615,"http:",""),"https:",""),"/","")</f>
        <v/>
      </c>
      <c r="Z615" s="5" t="str">
        <f t="array" ref="Z615">IF('Ingest Template'!A615="Standard",(IF(ISBLANK('Ingest Template'!M615),"", 'Ingest Template'!M615&amp;"|DAR")),(IF(ISBLANK('Ingest Template'!M615),"", 'Ingest Template'!M615&amp;"|Operations - Core Title")))</f>
        <v/>
      </c>
      <c r="AA615" s="5"/>
      <c r="AB615" s="5" t="str">
        <f>'Ingest Template'!F615</f>
        <v/>
      </c>
      <c r="AC615" s="5"/>
      <c r="AD615" s="5"/>
      <c r="AE615" s="5"/>
      <c r="AF615" s="8"/>
      <c r="AG615" s="5" t="str">
        <f t="array" ref="AG615">IF('Ingest Template'!A615="Standard",(CONCATENATE(IF(ISBLANK('Ingest Template'!N615),"", 'Ingest Template'!N615&amp;"|DAR"),CHAR(10), IF(ISBLANK('Ingest Template'!O615),"", 'Ingest Template'!O615&amp;"|DAR"),CHAR(10), IF(ISBLANK('Ingest Template'!P615),"", 'Ingest Template'!P615&amp;"|DAR"))),(CONCATENATE(IF(ISBLANK('Ingest Template'!N615),"", 'Ingest Template'!N615&amp;"|Operations - Core Title"),CHAR(10), IF(ISBLANK('Ingest Template'!O615),"", 'Ingest Template'!O615&amp;"|Operations - Core Title"),CHAR(10), IF(ISBLANK('Ingest Template'!P615),"", 'Ingest Template'!P615&amp;"|Operations - Core Title"))))</f>
        <v>#|Operations - Core Title
</v>
      </c>
      <c r="AH615" s="5"/>
      <c r="AI615" s="5"/>
      <c r="AJ615" s="5"/>
      <c r="AK615" s="5"/>
      <c r="AL615" s="5"/>
    </row>
    <row r="616">
      <c r="A616" s="5"/>
      <c r="B616" s="5" t="str">
        <f>'Ingest Template'!B616&amp;IF('Ingest Template'!A616 = "Standard", " - DAR","")</f>
        <v/>
      </c>
      <c r="C616" s="6" t="str">
        <f>'Ingest Template'!C616</f>
        <v/>
      </c>
      <c r="D616" s="7" t="str">
        <f>'Ingest Template'!E616</f>
        <v/>
      </c>
      <c r="E616" s="5"/>
      <c r="F616" s="5"/>
      <c r="G616" s="5"/>
      <c r="H616" s="7"/>
      <c r="I616" s="5"/>
      <c r="J616" s="7" t="str">
        <f>'Ingest Template'!Q616</f>
        <v/>
      </c>
      <c r="K616" s="5" t="str">
        <f>'Ingest Template'!R616</f>
        <v/>
      </c>
      <c r="L616" s="8" t="s">
        <v>38</v>
      </c>
      <c r="M616" s="9"/>
      <c r="N616" s="5"/>
      <c r="O616" s="5"/>
      <c r="P616" s="5"/>
      <c r="Q616" s="5"/>
      <c r="R616" s="5" t="str">
        <f>'Ingest Template'!D616</f>
        <v/>
      </c>
      <c r="S616" s="5" t="str">
        <f>'Ingest Template'!G616</f>
        <v/>
      </c>
      <c r="T616" s="5" t="str">
        <f>'Ingest Template'!H616</f>
        <v/>
      </c>
      <c r="U616" s="5" t="str">
        <f>LOWER(SUBSTITUTE(SUBSTITUTE(SUBSTITUTE(SUBSTITUTE(SUBSTITUTE('Ingest Template'!I616,"https:",""),"www.",""),"/",""),"?hl=en",""),"instagram.com",""))</f>
        <v/>
      </c>
      <c r="V616" s="10" t="str">
        <f>'Ingest Template'!J616</f>
        <v/>
      </c>
      <c r="W616" s="10" t="str">
        <f>'Ingest Template'!K616</f>
        <v/>
      </c>
      <c r="X616" s="5"/>
      <c r="Y616" s="5" t="str">
        <f>SUBSTITUTE(SUBSTITUTE(SUBSTITUTE('Ingest Template'!L616,"http:",""),"https:",""),"/","")</f>
        <v/>
      </c>
      <c r="Z616" s="5" t="str">
        <f t="array" ref="Z616">IF('Ingest Template'!A616="Standard",(IF(ISBLANK('Ingest Template'!M616),"", 'Ingest Template'!M616&amp;"|DAR")),(IF(ISBLANK('Ingest Template'!M616),"", 'Ingest Template'!M616&amp;"|Operations - Core Title")))</f>
        <v/>
      </c>
      <c r="AA616" s="5"/>
      <c r="AB616" s="5" t="str">
        <f>'Ingest Template'!F616</f>
        <v/>
      </c>
      <c r="AC616" s="5"/>
      <c r="AD616" s="5"/>
      <c r="AE616" s="5"/>
      <c r="AF616" s="8"/>
      <c r="AG616" s="5" t="str">
        <f t="array" ref="AG616">IF('Ingest Template'!A616="Standard",(CONCATENATE(IF(ISBLANK('Ingest Template'!N616),"", 'Ingest Template'!N616&amp;"|DAR"),CHAR(10), IF(ISBLANK('Ingest Template'!O616),"", 'Ingest Template'!O616&amp;"|DAR"),CHAR(10), IF(ISBLANK('Ingest Template'!P616),"", 'Ingest Template'!P616&amp;"|DAR"))),(CONCATENATE(IF(ISBLANK('Ingest Template'!N616),"", 'Ingest Template'!N616&amp;"|Operations - Core Title"),CHAR(10), IF(ISBLANK('Ingest Template'!O616),"", 'Ingest Template'!O616&amp;"|Operations - Core Title"),CHAR(10), IF(ISBLANK('Ingest Template'!P616),"", 'Ingest Template'!P616&amp;"|Operations - Core Title"))))</f>
        <v>#|Operations - Core Title
</v>
      </c>
      <c r="AH616" s="5"/>
      <c r="AI616" s="5"/>
      <c r="AJ616" s="5"/>
      <c r="AK616" s="5"/>
      <c r="AL616" s="5"/>
    </row>
    <row r="617">
      <c r="A617" s="5"/>
      <c r="B617" s="5" t="str">
        <f>'Ingest Template'!B617&amp;IF('Ingest Template'!A617 = "Standard", " - DAR","")</f>
        <v/>
      </c>
      <c r="C617" s="6" t="str">
        <f>'Ingest Template'!C617</f>
        <v/>
      </c>
      <c r="D617" s="7" t="str">
        <f>'Ingest Template'!E617</f>
        <v/>
      </c>
      <c r="E617" s="5"/>
      <c r="F617" s="5"/>
      <c r="G617" s="5"/>
      <c r="H617" s="7"/>
      <c r="I617" s="5"/>
      <c r="J617" s="7" t="str">
        <f>'Ingest Template'!Q617</f>
        <v/>
      </c>
      <c r="K617" s="5" t="str">
        <f>'Ingest Template'!R617</f>
        <v/>
      </c>
      <c r="L617" s="8" t="s">
        <v>38</v>
      </c>
      <c r="M617" s="9"/>
      <c r="N617" s="5"/>
      <c r="O617" s="5"/>
      <c r="P617" s="5"/>
      <c r="Q617" s="5"/>
      <c r="R617" s="5" t="str">
        <f>'Ingest Template'!D617</f>
        <v/>
      </c>
      <c r="S617" s="5" t="str">
        <f>'Ingest Template'!G617</f>
        <v/>
      </c>
      <c r="T617" s="5" t="str">
        <f>'Ingest Template'!H617</f>
        <v/>
      </c>
      <c r="U617" s="5" t="str">
        <f>LOWER(SUBSTITUTE(SUBSTITUTE(SUBSTITUTE(SUBSTITUTE(SUBSTITUTE('Ingest Template'!I617,"https:",""),"www.",""),"/",""),"?hl=en",""),"instagram.com",""))</f>
        <v/>
      </c>
      <c r="V617" s="10" t="str">
        <f>'Ingest Template'!J617</f>
        <v/>
      </c>
      <c r="W617" s="10" t="str">
        <f>'Ingest Template'!K617</f>
        <v/>
      </c>
      <c r="X617" s="5"/>
      <c r="Y617" s="5" t="str">
        <f>SUBSTITUTE(SUBSTITUTE(SUBSTITUTE('Ingest Template'!L617,"http:",""),"https:",""),"/","")</f>
        <v/>
      </c>
      <c r="Z617" s="5" t="str">
        <f t="array" ref="Z617">IF('Ingest Template'!A617="Standard",(IF(ISBLANK('Ingest Template'!M617),"", 'Ingest Template'!M617&amp;"|DAR")),(IF(ISBLANK('Ingest Template'!M617),"", 'Ingest Template'!M617&amp;"|Operations - Core Title")))</f>
        <v/>
      </c>
      <c r="AA617" s="5"/>
      <c r="AB617" s="5" t="str">
        <f>'Ingest Template'!F617</f>
        <v/>
      </c>
      <c r="AC617" s="5"/>
      <c r="AD617" s="5"/>
      <c r="AE617" s="5"/>
      <c r="AF617" s="8"/>
      <c r="AG617" s="5" t="str">
        <f t="array" ref="AG617">IF('Ingest Template'!A617="Standard",(CONCATENATE(IF(ISBLANK('Ingest Template'!N617),"", 'Ingest Template'!N617&amp;"|DAR"),CHAR(10), IF(ISBLANK('Ingest Template'!O617),"", 'Ingest Template'!O617&amp;"|DAR"),CHAR(10), IF(ISBLANK('Ingest Template'!P617),"", 'Ingest Template'!P617&amp;"|DAR"))),(CONCATENATE(IF(ISBLANK('Ingest Template'!N617),"", 'Ingest Template'!N617&amp;"|Operations - Core Title"),CHAR(10), IF(ISBLANK('Ingest Template'!O617),"", 'Ingest Template'!O617&amp;"|Operations - Core Title"),CHAR(10), IF(ISBLANK('Ingest Template'!P617),"", 'Ingest Template'!P617&amp;"|Operations - Core Title"))))</f>
        <v>#|Operations - Core Title
</v>
      </c>
      <c r="AH617" s="5"/>
      <c r="AI617" s="5"/>
      <c r="AJ617" s="5"/>
      <c r="AK617" s="5"/>
      <c r="AL617" s="5"/>
    </row>
    <row r="618">
      <c r="A618" s="5"/>
      <c r="B618" s="5" t="str">
        <f>'Ingest Template'!B618&amp;IF('Ingest Template'!A618 = "Standard", " - DAR","")</f>
        <v/>
      </c>
      <c r="C618" s="6" t="str">
        <f>'Ingest Template'!C618</f>
        <v/>
      </c>
      <c r="D618" s="7" t="str">
        <f>'Ingest Template'!E618</f>
        <v/>
      </c>
      <c r="E618" s="5"/>
      <c r="F618" s="5"/>
      <c r="G618" s="5"/>
      <c r="H618" s="7"/>
      <c r="I618" s="5"/>
      <c r="J618" s="7" t="str">
        <f>'Ingest Template'!Q618</f>
        <v/>
      </c>
      <c r="K618" s="5" t="str">
        <f>'Ingest Template'!R618</f>
        <v/>
      </c>
      <c r="L618" s="8" t="s">
        <v>38</v>
      </c>
      <c r="M618" s="9"/>
      <c r="N618" s="5"/>
      <c r="O618" s="5"/>
      <c r="P618" s="5"/>
      <c r="Q618" s="5"/>
      <c r="R618" s="5" t="str">
        <f>'Ingest Template'!D618</f>
        <v/>
      </c>
      <c r="S618" s="5" t="str">
        <f>'Ingest Template'!G618</f>
        <v/>
      </c>
      <c r="T618" s="5" t="str">
        <f>'Ingest Template'!H618</f>
        <v/>
      </c>
      <c r="U618" s="5" t="str">
        <f>LOWER(SUBSTITUTE(SUBSTITUTE(SUBSTITUTE(SUBSTITUTE(SUBSTITUTE('Ingest Template'!I618,"https:",""),"www.",""),"/",""),"?hl=en",""),"instagram.com",""))</f>
        <v/>
      </c>
      <c r="V618" s="10" t="str">
        <f>'Ingest Template'!J618</f>
        <v/>
      </c>
      <c r="W618" s="10" t="str">
        <f>'Ingest Template'!K618</f>
        <v/>
      </c>
      <c r="X618" s="5"/>
      <c r="Y618" s="5" t="str">
        <f>SUBSTITUTE(SUBSTITUTE(SUBSTITUTE('Ingest Template'!L618,"http:",""),"https:",""),"/","")</f>
        <v/>
      </c>
      <c r="Z618" s="5" t="str">
        <f t="array" ref="Z618">IF('Ingest Template'!A618="Standard",(IF(ISBLANK('Ingest Template'!M618),"", 'Ingest Template'!M618&amp;"|DAR")),(IF(ISBLANK('Ingest Template'!M618),"", 'Ingest Template'!M618&amp;"|Operations - Core Title")))</f>
        <v/>
      </c>
      <c r="AA618" s="5"/>
      <c r="AB618" s="5" t="str">
        <f>'Ingest Template'!F618</f>
        <v/>
      </c>
      <c r="AC618" s="5"/>
      <c r="AD618" s="5"/>
      <c r="AE618" s="5"/>
      <c r="AF618" s="8"/>
      <c r="AG618" s="5" t="str">
        <f t="array" ref="AG618">IF('Ingest Template'!A618="Standard",(CONCATENATE(IF(ISBLANK('Ingest Template'!N618),"", 'Ingest Template'!N618&amp;"|DAR"),CHAR(10), IF(ISBLANK('Ingest Template'!O618),"", 'Ingest Template'!O618&amp;"|DAR"),CHAR(10), IF(ISBLANK('Ingest Template'!P618),"", 'Ingest Template'!P618&amp;"|DAR"))),(CONCATENATE(IF(ISBLANK('Ingest Template'!N618),"", 'Ingest Template'!N618&amp;"|Operations - Core Title"),CHAR(10), IF(ISBLANK('Ingest Template'!O618),"", 'Ingest Template'!O618&amp;"|Operations - Core Title"),CHAR(10), IF(ISBLANK('Ingest Template'!P618),"", 'Ingest Template'!P618&amp;"|Operations - Core Title"))))</f>
        <v>#|Operations - Core Title
</v>
      </c>
      <c r="AH618" s="5"/>
      <c r="AI618" s="5"/>
      <c r="AJ618" s="5"/>
      <c r="AK618" s="5"/>
      <c r="AL618" s="5"/>
    </row>
    <row r="619">
      <c r="A619" s="5"/>
      <c r="B619" s="5" t="str">
        <f>'Ingest Template'!B619&amp;IF('Ingest Template'!A619 = "Standard", " - DAR","")</f>
        <v/>
      </c>
      <c r="C619" s="6" t="str">
        <f>'Ingest Template'!C619</f>
        <v/>
      </c>
      <c r="D619" s="7" t="str">
        <f>'Ingest Template'!E619</f>
        <v/>
      </c>
      <c r="E619" s="5"/>
      <c r="F619" s="5"/>
      <c r="G619" s="5"/>
      <c r="H619" s="7"/>
      <c r="I619" s="5"/>
      <c r="J619" s="7" t="str">
        <f>'Ingest Template'!Q619</f>
        <v/>
      </c>
      <c r="K619" s="5" t="str">
        <f>'Ingest Template'!R619</f>
        <v/>
      </c>
      <c r="L619" s="8" t="s">
        <v>38</v>
      </c>
      <c r="M619" s="9"/>
      <c r="N619" s="5"/>
      <c r="O619" s="5"/>
      <c r="P619" s="5"/>
      <c r="Q619" s="5"/>
      <c r="R619" s="5" t="str">
        <f>'Ingest Template'!D619</f>
        <v/>
      </c>
      <c r="S619" s="5" t="str">
        <f>'Ingest Template'!G619</f>
        <v/>
      </c>
      <c r="T619" s="5" t="str">
        <f>'Ingest Template'!H619</f>
        <v/>
      </c>
      <c r="U619" s="5" t="str">
        <f>LOWER(SUBSTITUTE(SUBSTITUTE(SUBSTITUTE(SUBSTITUTE(SUBSTITUTE('Ingest Template'!I619,"https:",""),"www.",""),"/",""),"?hl=en",""),"instagram.com",""))</f>
        <v/>
      </c>
      <c r="V619" s="10" t="str">
        <f>'Ingest Template'!J619</f>
        <v/>
      </c>
      <c r="W619" s="10" t="str">
        <f>'Ingest Template'!K619</f>
        <v/>
      </c>
      <c r="X619" s="5"/>
      <c r="Y619" s="5" t="str">
        <f>SUBSTITUTE(SUBSTITUTE(SUBSTITUTE('Ingest Template'!L619,"http:",""),"https:",""),"/","")</f>
        <v/>
      </c>
      <c r="Z619" s="5" t="str">
        <f t="array" ref="Z619">IF('Ingest Template'!A619="Standard",(IF(ISBLANK('Ingest Template'!M619),"", 'Ingest Template'!M619&amp;"|DAR")),(IF(ISBLANK('Ingest Template'!M619),"", 'Ingest Template'!M619&amp;"|Operations - Core Title")))</f>
        <v/>
      </c>
      <c r="AA619" s="5"/>
      <c r="AB619" s="5" t="str">
        <f>'Ingest Template'!F619</f>
        <v/>
      </c>
      <c r="AC619" s="5"/>
      <c r="AD619" s="5"/>
      <c r="AE619" s="5"/>
      <c r="AF619" s="8"/>
      <c r="AG619" s="5" t="str">
        <f t="array" ref="AG619">IF('Ingest Template'!A619="Standard",(CONCATENATE(IF(ISBLANK('Ingest Template'!N619),"", 'Ingest Template'!N619&amp;"|DAR"),CHAR(10), IF(ISBLANK('Ingest Template'!O619),"", 'Ingest Template'!O619&amp;"|DAR"),CHAR(10), IF(ISBLANK('Ingest Template'!P619),"", 'Ingest Template'!P619&amp;"|DAR"))),(CONCATENATE(IF(ISBLANK('Ingest Template'!N619),"", 'Ingest Template'!N619&amp;"|Operations - Core Title"),CHAR(10), IF(ISBLANK('Ingest Template'!O619),"", 'Ingest Template'!O619&amp;"|Operations - Core Title"),CHAR(10), IF(ISBLANK('Ingest Template'!P619),"", 'Ingest Template'!P619&amp;"|Operations - Core Title"))))</f>
        <v>#|Operations - Core Title
</v>
      </c>
      <c r="AH619" s="5"/>
      <c r="AI619" s="5"/>
      <c r="AJ619" s="5"/>
      <c r="AK619" s="5"/>
      <c r="AL619" s="5"/>
    </row>
    <row r="620">
      <c r="A620" s="5"/>
      <c r="B620" s="5" t="str">
        <f>'Ingest Template'!B620&amp;IF('Ingest Template'!A620 = "Standard", " - DAR","")</f>
        <v/>
      </c>
      <c r="C620" s="6" t="str">
        <f>'Ingest Template'!C620</f>
        <v/>
      </c>
      <c r="D620" s="7" t="str">
        <f>'Ingest Template'!E620</f>
        <v/>
      </c>
      <c r="E620" s="5"/>
      <c r="F620" s="5"/>
      <c r="G620" s="5"/>
      <c r="H620" s="7"/>
      <c r="I620" s="5"/>
      <c r="J620" s="7" t="str">
        <f>'Ingest Template'!Q620</f>
        <v/>
      </c>
      <c r="K620" s="5" t="str">
        <f>'Ingest Template'!R620</f>
        <v/>
      </c>
      <c r="L620" s="8" t="s">
        <v>38</v>
      </c>
      <c r="M620" s="9"/>
      <c r="N620" s="5"/>
      <c r="O620" s="5"/>
      <c r="P620" s="5"/>
      <c r="Q620" s="5"/>
      <c r="R620" s="5" t="str">
        <f>'Ingest Template'!D620</f>
        <v/>
      </c>
      <c r="S620" s="5" t="str">
        <f>'Ingest Template'!G620</f>
        <v/>
      </c>
      <c r="T620" s="5" t="str">
        <f>'Ingest Template'!H620</f>
        <v/>
      </c>
      <c r="U620" s="5" t="str">
        <f>LOWER(SUBSTITUTE(SUBSTITUTE(SUBSTITUTE(SUBSTITUTE(SUBSTITUTE('Ingest Template'!I620,"https:",""),"www.",""),"/",""),"?hl=en",""),"instagram.com",""))</f>
        <v/>
      </c>
      <c r="V620" s="10" t="str">
        <f>'Ingest Template'!J620</f>
        <v/>
      </c>
      <c r="W620" s="10" t="str">
        <f>'Ingest Template'!K620</f>
        <v/>
      </c>
      <c r="X620" s="5"/>
      <c r="Y620" s="5" t="str">
        <f>SUBSTITUTE(SUBSTITUTE(SUBSTITUTE('Ingest Template'!L620,"http:",""),"https:",""),"/","")</f>
        <v/>
      </c>
      <c r="Z620" s="5" t="str">
        <f t="array" ref="Z620">IF('Ingest Template'!A620="Standard",(IF(ISBLANK('Ingest Template'!M620),"", 'Ingest Template'!M620&amp;"|DAR")),(IF(ISBLANK('Ingest Template'!M620),"", 'Ingest Template'!M620&amp;"|Operations - Core Title")))</f>
        <v/>
      </c>
      <c r="AA620" s="5"/>
      <c r="AB620" s="5" t="str">
        <f>'Ingest Template'!F620</f>
        <v/>
      </c>
      <c r="AC620" s="5"/>
      <c r="AD620" s="5"/>
      <c r="AE620" s="5"/>
      <c r="AF620" s="8"/>
      <c r="AG620" s="5" t="str">
        <f t="array" ref="AG620">IF('Ingest Template'!A620="Standard",(CONCATENATE(IF(ISBLANK('Ingest Template'!N620),"", 'Ingest Template'!N620&amp;"|DAR"),CHAR(10), IF(ISBLANK('Ingest Template'!O620),"", 'Ingest Template'!O620&amp;"|DAR"),CHAR(10), IF(ISBLANK('Ingest Template'!P620),"", 'Ingest Template'!P620&amp;"|DAR"))),(CONCATENATE(IF(ISBLANK('Ingest Template'!N620),"", 'Ingest Template'!N620&amp;"|Operations - Core Title"),CHAR(10), IF(ISBLANK('Ingest Template'!O620),"", 'Ingest Template'!O620&amp;"|Operations - Core Title"),CHAR(10), IF(ISBLANK('Ingest Template'!P620),"", 'Ingest Template'!P620&amp;"|Operations - Core Title"))))</f>
        <v>#|Operations - Core Title
</v>
      </c>
      <c r="AH620" s="5"/>
      <c r="AI620" s="5"/>
      <c r="AJ620" s="5"/>
      <c r="AK620" s="5"/>
      <c r="AL620" s="5"/>
    </row>
    <row r="621">
      <c r="A621" s="5"/>
      <c r="B621" s="5" t="str">
        <f>'Ingest Template'!B621&amp;IF('Ingest Template'!A621 = "Standard", " - DAR","")</f>
        <v/>
      </c>
      <c r="C621" s="6" t="str">
        <f>'Ingest Template'!C621</f>
        <v/>
      </c>
      <c r="D621" s="7" t="str">
        <f>'Ingest Template'!E621</f>
        <v/>
      </c>
      <c r="E621" s="5"/>
      <c r="F621" s="5"/>
      <c r="G621" s="5"/>
      <c r="H621" s="7"/>
      <c r="I621" s="5"/>
      <c r="J621" s="7" t="str">
        <f>'Ingest Template'!Q621</f>
        <v/>
      </c>
      <c r="K621" s="5" t="str">
        <f>'Ingest Template'!R621</f>
        <v/>
      </c>
      <c r="L621" s="8" t="s">
        <v>38</v>
      </c>
      <c r="M621" s="9"/>
      <c r="N621" s="5"/>
      <c r="O621" s="5"/>
      <c r="P621" s="5"/>
      <c r="Q621" s="5"/>
      <c r="R621" s="5" t="str">
        <f>'Ingest Template'!D621</f>
        <v/>
      </c>
      <c r="S621" s="5" t="str">
        <f>'Ingest Template'!G621</f>
        <v/>
      </c>
      <c r="T621" s="5" t="str">
        <f>'Ingest Template'!H621</f>
        <v/>
      </c>
      <c r="U621" s="5" t="str">
        <f>LOWER(SUBSTITUTE(SUBSTITUTE(SUBSTITUTE(SUBSTITUTE(SUBSTITUTE('Ingest Template'!I621,"https:",""),"www.",""),"/",""),"?hl=en",""),"instagram.com",""))</f>
        <v/>
      </c>
      <c r="V621" s="10" t="str">
        <f>'Ingest Template'!J621</f>
        <v/>
      </c>
      <c r="W621" s="10" t="str">
        <f>'Ingest Template'!K621</f>
        <v/>
      </c>
      <c r="X621" s="5"/>
      <c r="Y621" s="5" t="str">
        <f>SUBSTITUTE(SUBSTITUTE(SUBSTITUTE('Ingest Template'!L621,"http:",""),"https:",""),"/","")</f>
        <v/>
      </c>
      <c r="Z621" s="5" t="str">
        <f t="array" ref="Z621">IF('Ingest Template'!A621="Standard",(IF(ISBLANK('Ingest Template'!M621),"", 'Ingest Template'!M621&amp;"|DAR")),(IF(ISBLANK('Ingest Template'!M621),"", 'Ingest Template'!M621&amp;"|Operations - Core Title")))</f>
        <v/>
      </c>
      <c r="AA621" s="5"/>
      <c r="AB621" s="5" t="str">
        <f>'Ingest Template'!F621</f>
        <v/>
      </c>
      <c r="AC621" s="5"/>
      <c r="AD621" s="5"/>
      <c r="AE621" s="5"/>
      <c r="AF621" s="8"/>
      <c r="AG621" s="5" t="str">
        <f t="array" ref="AG621">IF('Ingest Template'!A621="Standard",(CONCATENATE(IF(ISBLANK('Ingest Template'!N621),"", 'Ingest Template'!N621&amp;"|DAR"),CHAR(10), IF(ISBLANK('Ingest Template'!O621),"", 'Ingest Template'!O621&amp;"|DAR"),CHAR(10), IF(ISBLANK('Ingest Template'!P621),"", 'Ingest Template'!P621&amp;"|DAR"))),(CONCATENATE(IF(ISBLANK('Ingest Template'!N621),"", 'Ingest Template'!N621&amp;"|Operations - Core Title"),CHAR(10), IF(ISBLANK('Ingest Template'!O621),"", 'Ingest Template'!O621&amp;"|Operations - Core Title"),CHAR(10), IF(ISBLANK('Ingest Template'!P621),"", 'Ingest Template'!P621&amp;"|Operations - Core Title"))))</f>
        <v>#|Operations - Core Title
</v>
      </c>
      <c r="AH621" s="5"/>
      <c r="AI621" s="5"/>
      <c r="AJ621" s="5"/>
      <c r="AK621" s="5"/>
      <c r="AL621" s="5"/>
    </row>
    <row r="622">
      <c r="A622" s="5"/>
      <c r="B622" s="5" t="str">
        <f>'Ingest Template'!B622&amp;IF('Ingest Template'!A622 = "Standard", " - DAR","")</f>
        <v/>
      </c>
      <c r="C622" s="6" t="str">
        <f>'Ingest Template'!C622</f>
        <v/>
      </c>
      <c r="D622" s="7" t="str">
        <f>'Ingest Template'!E622</f>
        <v/>
      </c>
      <c r="E622" s="5"/>
      <c r="F622" s="5"/>
      <c r="G622" s="5"/>
      <c r="H622" s="7"/>
      <c r="I622" s="5"/>
      <c r="J622" s="7" t="str">
        <f>'Ingest Template'!Q622</f>
        <v/>
      </c>
      <c r="K622" s="5" t="str">
        <f>'Ingest Template'!R622</f>
        <v/>
      </c>
      <c r="L622" s="8" t="s">
        <v>38</v>
      </c>
      <c r="M622" s="9"/>
      <c r="N622" s="5"/>
      <c r="O622" s="5"/>
      <c r="P622" s="5"/>
      <c r="Q622" s="5"/>
      <c r="R622" s="5" t="str">
        <f>'Ingest Template'!D622</f>
        <v/>
      </c>
      <c r="S622" s="5" t="str">
        <f>'Ingest Template'!G622</f>
        <v/>
      </c>
      <c r="T622" s="5" t="str">
        <f>'Ingest Template'!H622</f>
        <v/>
      </c>
      <c r="U622" s="5" t="str">
        <f>LOWER(SUBSTITUTE(SUBSTITUTE(SUBSTITUTE(SUBSTITUTE(SUBSTITUTE('Ingest Template'!I622,"https:",""),"www.",""),"/",""),"?hl=en",""),"instagram.com",""))</f>
        <v/>
      </c>
      <c r="V622" s="10" t="str">
        <f>'Ingest Template'!J622</f>
        <v/>
      </c>
      <c r="W622" s="10" t="str">
        <f>'Ingest Template'!K622</f>
        <v/>
      </c>
      <c r="X622" s="5"/>
      <c r="Y622" s="5" t="str">
        <f>SUBSTITUTE(SUBSTITUTE(SUBSTITUTE('Ingest Template'!L622,"http:",""),"https:",""),"/","")</f>
        <v/>
      </c>
      <c r="Z622" s="5" t="str">
        <f t="array" ref="Z622">IF('Ingest Template'!A622="Standard",(IF(ISBLANK('Ingest Template'!M622),"", 'Ingest Template'!M622&amp;"|DAR")),(IF(ISBLANK('Ingest Template'!M622),"", 'Ingest Template'!M622&amp;"|Operations - Core Title")))</f>
        <v/>
      </c>
      <c r="AA622" s="5"/>
      <c r="AB622" s="5" t="str">
        <f>'Ingest Template'!F622</f>
        <v/>
      </c>
      <c r="AC622" s="5"/>
      <c r="AD622" s="5"/>
      <c r="AE622" s="5"/>
      <c r="AF622" s="8"/>
      <c r="AG622" s="5" t="str">
        <f t="array" ref="AG622">IF('Ingest Template'!A622="Standard",(CONCATENATE(IF(ISBLANK('Ingest Template'!N622),"", 'Ingest Template'!N622&amp;"|DAR"),CHAR(10), IF(ISBLANK('Ingest Template'!O622),"", 'Ingest Template'!O622&amp;"|DAR"),CHAR(10), IF(ISBLANK('Ingest Template'!P622),"", 'Ingest Template'!P622&amp;"|DAR"))),(CONCATENATE(IF(ISBLANK('Ingest Template'!N622),"", 'Ingest Template'!N622&amp;"|Operations - Core Title"),CHAR(10), IF(ISBLANK('Ingest Template'!O622),"", 'Ingest Template'!O622&amp;"|Operations - Core Title"),CHAR(10), IF(ISBLANK('Ingest Template'!P622),"", 'Ingest Template'!P622&amp;"|Operations - Core Title"))))</f>
        <v>#|Operations - Core Title
</v>
      </c>
      <c r="AH622" s="5"/>
      <c r="AI622" s="5"/>
      <c r="AJ622" s="5"/>
      <c r="AK622" s="5"/>
      <c r="AL622" s="5"/>
    </row>
    <row r="623">
      <c r="A623" s="5"/>
      <c r="B623" s="5" t="str">
        <f>'Ingest Template'!B623&amp;IF('Ingest Template'!A623 = "Standard", " - DAR","")</f>
        <v/>
      </c>
      <c r="C623" s="6" t="str">
        <f>'Ingest Template'!C623</f>
        <v/>
      </c>
      <c r="D623" s="7" t="str">
        <f>'Ingest Template'!E623</f>
        <v/>
      </c>
      <c r="E623" s="5"/>
      <c r="F623" s="5"/>
      <c r="G623" s="5"/>
      <c r="H623" s="7"/>
      <c r="I623" s="5"/>
      <c r="J623" s="7" t="str">
        <f>'Ingest Template'!Q623</f>
        <v/>
      </c>
      <c r="K623" s="5" t="str">
        <f>'Ingest Template'!R623</f>
        <v/>
      </c>
      <c r="L623" s="8" t="s">
        <v>38</v>
      </c>
      <c r="M623" s="9"/>
      <c r="N623" s="5"/>
      <c r="O623" s="5"/>
      <c r="P623" s="5"/>
      <c r="Q623" s="5"/>
      <c r="R623" s="5" t="str">
        <f>'Ingest Template'!D623</f>
        <v/>
      </c>
      <c r="S623" s="5" t="str">
        <f>'Ingest Template'!G623</f>
        <v/>
      </c>
      <c r="T623" s="5" t="str">
        <f>'Ingest Template'!H623</f>
        <v/>
      </c>
      <c r="U623" s="5" t="str">
        <f>LOWER(SUBSTITUTE(SUBSTITUTE(SUBSTITUTE(SUBSTITUTE(SUBSTITUTE('Ingest Template'!I623,"https:",""),"www.",""),"/",""),"?hl=en",""),"instagram.com",""))</f>
        <v/>
      </c>
      <c r="V623" s="10" t="str">
        <f>'Ingest Template'!J623</f>
        <v/>
      </c>
      <c r="W623" s="10" t="str">
        <f>'Ingest Template'!K623</f>
        <v/>
      </c>
      <c r="X623" s="5"/>
      <c r="Y623" s="5" t="str">
        <f>SUBSTITUTE(SUBSTITUTE(SUBSTITUTE('Ingest Template'!L623,"http:",""),"https:",""),"/","")</f>
        <v/>
      </c>
      <c r="Z623" s="5" t="str">
        <f t="array" ref="Z623">IF('Ingest Template'!A623="Standard",(IF(ISBLANK('Ingest Template'!M623),"", 'Ingest Template'!M623&amp;"|DAR")),(IF(ISBLANK('Ingest Template'!M623),"", 'Ingest Template'!M623&amp;"|Operations - Core Title")))</f>
        <v/>
      </c>
      <c r="AA623" s="5"/>
      <c r="AB623" s="5" t="str">
        <f>'Ingest Template'!F623</f>
        <v/>
      </c>
      <c r="AC623" s="5"/>
      <c r="AD623" s="5"/>
      <c r="AE623" s="5"/>
      <c r="AF623" s="8"/>
      <c r="AG623" s="5" t="str">
        <f t="array" ref="AG623">IF('Ingest Template'!A623="Standard",(CONCATENATE(IF(ISBLANK('Ingest Template'!N623),"", 'Ingest Template'!N623&amp;"|DAR"),CHAR(10), IF(ISBLANK('Ingest Template'!O623),"", 'Ingest Template'!O623&amp;"|DAR"),CHAR(10), IF(ISBLANK('Ingest Template'!P623),"", 'Ingest Template'!P623&amp;"|DAR"))),(CONCATENATE(IF(ISBLANK('Ingest Template'!N623),"", 'Ingest Template'!N623&amp;"|Operations - Core Title"),CHAR(10), IF(ISBLANK('Ingest Template'!O623),"", 'Ingest Template'!O623&amp;"|Operations - Core Title"),CHAR(10), IF(ISBLANK('Ingest Template'!P623),"", 'Ingest Template'!P623&amp;"|Operations - Core Title"))))</f>
        <v>#|Operations - Core Title
</v>
      </c>
      <c r="AH623" s="5"/>
      <c r="AI623" s="5"/>
      <c r="AJ623" s="5"/>
      <c r="AK623" s="5"/>
      <c r="AL623" s="5"/>
    </row>
    <row r="624">
      <c r="A624" s="5"/>
      <c r="B624" s="5" t="str">
        <f>'Ingest Template'!B624&amp;IF('Ingest Template'!A624 = "Standard", " - DAR","")</f>
        <v/>
      </c>
      <c r="C624" s="6" t="str">
        <f>'Ingest Template'!C624</f>
        <v/>
      </c>
      <c r="D624" s="7" t="str">
        <f>'Ingest Template'!E624</f>
        <v/>
      </c>
      <c r="E624" s="5"/>
      <c r="F624" s="5"/>
      <c r="G624" s="5"/>
      <c r="H624" s="7"/>
      <c r="I624" s="5"/>
      <c r="J624" s="7" t="str">
        <f>'Ingest Template'!Q624</f>
        <v/>
      </c>
      <c r="K624" s="5" t="str">
        <f>'Ingest Template'!R624</f>
        <v/>
      </c>
      <c r="L624" s="8" t="s">
        <v>38</v>
      </c>
      <c r="M624" s="9"/>
      <c r="N624" s="5"/>
      <c r="O624" s="5"/>
      <c r="P624" s="5"/>
      <c r="Q624" s="5"/>
      <c r="R624" s="5" t="str">
        <f>'Ingest Template'!D624</f>
        <v/>
      </c>
      <c r="S624" s="5" t="str">
        <f>'Ingest Template'!G624</f>
        <v/>
      </c>
      <c r="T624" s="5" t="str">
        <f>'Ingest Template'!H624</f>
        <v/>
      </c>
      <c r="U624" s="5" t="str">
        <f>LOWER(SUBSTITUTE(SUBSTITUTE(SUBSTITUTE(SUBSTITUTE(SUBSTITUTE('Ingest Template'!I624,"https:",""),"www.",""),"/",""),"?hl=en",""),"instagram.com",""))</f>
        <v/>
      </c>
      <c r="V624" s="10" t="str">
        <f>'Ingest Template'!J624</f>
        <v/>
      </c>
      <c r="W624" s="10" t="str">
        <f>'Ingest Template'!K624</f>
        <v/>
      </c>
      <c r="X624" s="5"/>
      <c r="Y624" s="5" t="str">
        <f>SUBSTITUTE(SUBSTITUTE(SUBSTITUTE('Ingest Template'!L624,"http:",""),"https:",""),"/","")</f>
        <v/>
      </c>
      <c r="Z624" s="5" t="str">
        <f t="array" ref="Z624">IF('Ingest Template'!A624="Standard",(IF(ISBLANK('Ingest Template'!M624),"", 'Ingest Template'!M624&amp;"|DAR")),(IF(ISBLANK('Ingest Template'!M624),"", 'Ingest Template'!M624&amp;"|Operations - Core Title")))</f>
        <v/>
      </c>
      <c r="AA624" s="5"/>
      <c r="AB624" s="5" t="str">
        <f>'Ingest Template'!F624</f>
        <v/>
      </c>
      <c r="AC624" s="5"/>
      <c r="AD624" s="5"/>
      <c r="AE624" s="5"/>
      <c r="AF624" s="8"/>
      <c r="AG624" s="5" t="str">
        <f t="array" ref="AG624">IF('Ingest Template'!A624="Standard",(CONCATENATE(IF(ISBLANK('Ingest Template'!N624),"", 'Ingest Template'!N624&amp;"|DAR"),CHAR(10), IF(ISBLANK('Ingest Template'!O624),"", 'Ingest Template'!O624&amp;"|DAR"),CHAR(10), IF(ISBLANK('Ingest Template'!P624),"", 'Ingest Template'!P624&amp;"|DAR"))),(CONCATENATE(IF(ISBLANK('Ingest Template'!N624),"", 'Ingest Template'!N624&amp;"|Operations - Core Title"),CHAR(10), IF(ISBLANK('Ingest Template'!O624),"", 'Ingest Template'!O624&amp;"|Operations - Core Title"),CHAR(10), IF(ISBLANK('Ingest Template'!P624),"", 'Ingest Template'!P624&amp;"|Operations - Core Title"))))</f>
        <v>#|Operations - Core Title
</v>
      </c>
      <c r="AH624" s="5"/>
      <c r="AI624" s="5"/>
      <c r="AJ624" s="5"/>
      <c r="AK624" s="5"/>
      <c r="AL624" s="5"/>
    </row>
    <row r="625">
      <c r="A625" s="5"/>
      <c r="B625" s="5" t="str">
        <f>'Ingest Template'!B625&amp;IF('Ingest Template'!A625 = "Standard", " - DAR","")</f>
        <v/>
      </c>
      <c r="C625" s="6" t="str">
        <f>'Ingest Template'!C625</f>
        <v/>
      </c>
      <c r="D625" s="7" t="str">
        <f>'Ingest Template'!E625</f>
        <v/>
      </c>
      <c r="E625" s="5"/>
      <c r="F625" s="5"/>
      <c r="G625" s="5"/>
      <c r="H625" s="7"/>
      <c r="I625" s="5"/>
      <c r="J625" s="7" t="str">
        <f>'Ingest Template'!Q625</f>
        <v/>
      </c>
      <c r="K625" s="5" t="str">
        <f>'Ingest Template'!R625</f>
        <v/>
      </c>
      <c r="L625" s="8" t="s">
        <v>38</v>
      </c>
      <c r="M625" s="9"/>
      <c r="N625" s="5"/>
      <c r="O625" s="5"/>
      <c r="P625" s="5"/>
      <c r="Q625" s="5"/>
      <c r="R625" s="5" t="str">
        <f>'Ingest Template'!D625</f>
        <v/>
      </c>
      <c r="S625" s="5" t="str">
        <f>'Ingest Template'!G625</f>
        <v/>
      </c>
      <c r="T625" s="5" t="str">
        <f>'Ingest Template'!H625</f>
        <v/>
      </c>
      <c r="U625" s="5" t="str">
        <f>LOWER(SUBSTITUTE(SUBSTITUTE(SUBSTITUTE(SUBSTITUTE(SUBSTITUTE('Ingest Template'!I625,"https:",""),"www.",""),"/",""),"?hl=en",""),"instagram.com",""))</f>
        <v/>
      </c>
      <c r="V625" s="10" t="str">
        <f>'Ingest Template'!J625</f>
        <v/>
      </c>
      <c r="W625" s="10" t="str">
        <f>'Ingest Template'!K625</f>
        <v/>
      </c>
      <c r="X625" s="5"/>
      <c r="Y625" s="5" t="str">
        <f>SUBSTITUTE(SUBSTITUTE(SUBSTITUTE('Ingest Template'!L625,"http:",""),"https:",""),"/","")</f>
        <v/>
      </c>
      <c r="Z625" s="5" t="str">
        <f t="array" ref="Z625">IF('Ingest Template'!A625="Standard",(IF(ISBLANK('Ingest Template'!M625),"", 'Ingest Template'!M625&amp;"|DAR")),(IF(ISBLANK('Ingest Template'!M625),"", 'Ingest Template'!M625&amp;"|Operations - Core Title")))</f>
        <v/>
      </c>
      <c r="AA625" s="5"/>
      <c r="AB625" s="5" t="str">
        <f>'Ingest Template'!F625</f>
        <v/>
      </c>
      <c r="AC625" s="5"/>
      <c r="AD625" s="5"/>
      <c r="AE625" s="5"/>
      <c r="AF625" s="8"/>
      <c r="AG625" s="5" t="str">
        <f t="array" ref="AG625">IF('Ingest Template'!A625="Standard",(CONCATENATE(IF(ISBLANK('Ingest Template'!N625),"", 'Ingest Template'!N625&amp;"|DAR"),CHAR(10), IF(ISBLANK('Ingest Template'!O625),"", 'Ingest Template'!O625&amp;"|DAR"),CHAR(10), IF(ISBLANK('Ingest Template'!P625),"", 'Ingest Template'!P625&amp;"|DAR"))),(CONCATENATE(IF(ISBLANK('Ingest Template'!N625),"", 'Ingest Template'!N625&amp;"|Operations - Core Title"),CHAR(10), IF(ISBLANK('Ingest Template'!O625),"", 'Ingest Template'!O625&amp;"|Operations - Core Title"),CHAR(10), IF(ISBLANK('Ingest Template'!P625),"", 'Ingest Template'!P625&amp;"|Operations - Core Title"))))</f>
        <v>#|Operations - Core Title
</v>
      </c>
      <c r="AH625" s="5"/>
      <c r="AI625" s="5"/>
      <c r="AJ625" s="5"/>
      <c r="AK625" s="5"/>
      <c r="AL625" s="5"/>
    </row>
    <row r="626">
      <c r="A626" s="5"/>
      <c r="B626" s="5" t="str">
        <f>'Ingest Template'!B626&amp;IF('Ingest Template'!A626 = "Standard", " - DAR","")</f>
        <v/>
      </c>
      <c r="C626" s="6" t="str">
        <f>'Ingest Template'!C626</f>
        <v/>
      </c>
      <c r="D626" s="7" t="str">
        <f>'Ingest Template'!E626</f>
        <v/>
      </c>
      <c r="E626" s="5"/>
      <c r="F626" s="5"/>
      <c r="G626" s="5"/>
      <c r="H626" s="7"/>
      <c r="I626" s="5"/>
      <c r="J626" s="7" t="str">
        <f>'Ingest Template'!Q626</f>
        <v/>
      </c>
      <c r="K626" s="5" t="str">
        <f>'Ingest Template'!R626</f>
        <v/>
      </c>
      <c r="L626" s="8" t="s">
        <v>38</v>
      </c>
      <c r="M626" s="9"/>
      <c r="N626" s="5"/>
      <c r="O626" s="5"/>
      <c r="P626" s="5"/>
      <c r="Q626" s="5"/>
      <c r="R626" s="5" t="str">
        <f>'Ingest Template'!D626</f>
        <v/>
      </c>
      <c r="S626" s="5" t="str">
        <f>'Ingest Template'!G626</f>
        <v/>
      </c>
      <c r="T626" s="5" t="str">
        <f>'Ingest Template'!H626</f>
        <v/>
      </c>
      <c r="U626" s="5" t="str">
        <f>LOWER(SUBSTITUTE(SUBSTITUTE(SUBSTITUTE(SUBSTITUTE(SUBSTITUTE('Ingest Template'!I626,"https:",""),"www.",""),"/",""),"?hl=en",""),"instagram.com",""))</f>
        <v/>
      </c>
      <c r="V626" s="10" t="str">
        <f>'Ingest Template'!J626</f>
        <v/>
      </c>
      <c r="W626" s="10" t="str">
        <f>'Ingest Template'!K626</f>
        <v/>
      </c>
      <c r="X626" s="5"/>
      <c r="Y626" s="5" t="str">
        <f>SUBSTITUTE(SUBSTITUTE(SUBSTITUTE('Ingest Template'!L626,"http:",""),"https:",""),"/","")</f>
        <v/>
      </c>
      <c r="Z626" s="5" t="str">
        <f t="array" ref="Z626">IF('Ingest Template'!A626="Standard",(IF(ISBLANK('Ingest Template'!M626),"", 'Ingest Template'!M626&amp;"|DAR")),(IF(ISBLANK('Ingest Template'!M626),"", 'Ingest Template'!M626&amp;"|Operations - Core Title")))</f>
        <v/>
      </c>
      <c r="AA626" s="5"/>
      <c r="AB626" s="5" t="str">
        <f>'Ingest Template'!F626</f>
        <v/>
      </c>
      <c r="AC626" s="5"/>
      <c r="AD626" s="5"/>
      <c r="AE626" s="5"/>
      <c r="AF626" s="8"/>
      <c r="AG626" s="5" t="str">
        <f t="array" ref="AG626">IF('Ingest Template'!A626="Standard",(CONCATENATE(IF(ISBLANK('Ingest Template'!N626),"", 'Ingest Template'!N626&amp;"|DAR"),CHAR(10), IF(ISBLANK('Ingest Template'!O626),"", 'Ingest Template'!O626&amp;"|DAR"),CHAR(10), IF(ISBLANK('Ingest Template'!P626),"", 'Ingest Template'!P626&amp;"|DAR"))),(CONCATENATE(IF(ISBLANK('Ingest Template'!N626),"", 'Ingest Template'!N626&amp;"|Operations - Core Title"),CHAR(10), IF(ISBLANK('Ingest Template'!O626),"", 'Ingest Template'!O626&amp;"|Operations - Core Title"),CHAR(10), IF(ISBLANK('Ingest Template'!P626),"", 'Ingest Template'!P626&amp;"|Operations - Core Title"))))</f>
        <v>#|Operations - Core Title
</v>
      </c>
      <c r="AH626" s="5"/>
      <c r="AI626" s="5"/>
      <c r="AJ626" s="5"/>
      <c r="AK626" s="5"/>
      <c r="AL626" s="5"/>
    </row>
    <row r="627">
      <c r="A627" s="5"/>
      <c r="B627" s="5" t="str">
        <f>'Ingest Template'!B627&amp;IF('Ingest Template'!A627 = "Standard", " - DAR","")</f>
        <v/>
      </c>
      <c r="C627" s="6" t="str">
        <f>'Ingest Template'!C627</f>
        <v/>
      </c>
      <c r="D627" s="7" t="str">
        <f>'Ingest Template'!E627</f>
        <v/>
      </c>
      <c r="E627" s="5"/>
      <c r="F627" s="5"/>
      <c r="G627" s="5"/>
      <c r="H627" s="7"/>
      <c r="I627" s="5"/>
      <c r="J627" s="7" t="str">
        <f>'Ingest Template'!Q627</f>
        <v/>
      </c>
      <c r="K627" s="5" t="str">
        <f>'Ingest Template'!R627</f>
        <v/>
      </c>
      <c r="L627" s="8" t="s">
        <v>38</v>
      </c>
      <c r="M627" s="9"/>
      <c r="N627" s="5"/>
      <c r="O627" s="5"/>
      <c r="P627" s="5"/>
      <c r="Q627" s="5"/>
      <c r="R627" s="5" t="str">
        <f>'Ingest Template'!D627</f>
        <v/>
      </c>
      <c r="S627" s="5" t="str">
        <f>'Ingest Template'!G627</f>
        <v/>
      </c>
      <c r="T627" s="5" t="str">
        <f>'Ingest Template'!H627</f>
        <v/>
      </c>
      <c r="U627" s="5" t="str">
        <f>LOWER(SUBSTITUTE(SUBSTITUTE(SUBSTITUTE(SUBSTITUTE(SUBSTITUTE('Ingest Template'!I627,"https:",""),"www.",""),"/",""),"?hl=en",""),"instagram.com",""))</f>
        <v/>
      </c>
      <c r="V627" s="10" t="str">
        <f>'Ingest Template'!J627</f>
        <v/>
      </c>
      <c r="W627" s="10" t="str">
        <f>'Ingest Template'!K627</f>
        <v/>
      </c>
      <c r="X627" s="5"/>
      <c r="Y627" s="5" t="str">
        <f>SUBSTITUTE(SUBSTITUTE(SUBSTITUTE('Ingest Template'!L627,"http:",""),"https:",""),"/","")</f>
        <v/>
      </c>
      <c r="Z627" s="5" t="str">
        <f t="array" ref="Z627">IF('Ingest Template'!A627="Standard",(IF(ISBLANK('Ingest Template'!M627),"", 'Ingest Template'!M627&amp;"|DAR")),(IF(ISBLANK('Ingest Template'!M627),"", 'Ingest Template'!M627&amp;"|Operations - Core Title")))</f>
        <v/>
      </c>
      <c r="AA627" s="5"/>
      <c r="AB627" s="5" t="str">
        <f>'Ingest Template'!F627</f>
        <v/>
      </c>
      <c r="AC627" s="5"/>
      <c r="AD627" s="5"/>
      <c r="AE627" s="5"/>
      <c r="AF627" s="8"/>
      <c r="AG627" s="5" t="str">
        <f t="array" ref="AG627">IF('Ingest Template'!A627="Standard",(CONCATENATE(IF(ISBLANK('Ingest Template'!N627),"", 'Ingest Template'!N627&amp;"|DAR"),CHAR(10), IF(ISBLANK('Ingest Template'!O627),"", 'Ingest Template'!O627&amp;"|DAR"),CHAR(10), IF(ISBLANK('Ingest Template'!P627),"", 'Ingest Template'!P627&amp;"|DAR"))),(CONCATENATE(IF(ISBLANK('Ingest Template'!N627),"", 'Ingest Template'!N627&amp;"|Operations - Core Title"),CHAR(10), IF(ISBLANK('Ingest Template'!O627),"", 'Ingest Template'!O627&amp;"|Operations - Core Title"),CHAR(10), IF(ISBLANK('Ingest Template'!P627),"", 'Ingest Template'!P627&amp;"|Operations - Core Title"))))</f>
        <v>#|Operations - Core Title
</v>
      </c>
      <c r="AH627" s="5"/>
      <c r="AI627" s="5"/>
      <c r="AJ627" s="5"/>
      <c r="AK627" s="5"/>
      <c r="AL627" s="5"/>
    </row>
    <row r="628">
      <c r="A628" s="5"/>
      <c r="B628" s="5" t="str">
        <f>'Ingest Template'!B628&amp;IF('Ingest Template'!A628 = "Standard", " - DAR","")</f>
        <v/>
      </c>
      <c r="C628" s="6" t="str">
        <f>'Ingest Template'!C628</f>
        <v/>
      </c>
      <c r="D628" s="7" t="str">
        <f>'Ingest Template'!E628</f>
        <v/>
      </c>
      <c r="E628" s="5"/>
      <c r="F628" s="5"/>
      <c r="G628" s="5"/>
      <c r="H628" s="7"/>
      <c r="I628" s="5"/>
      <c r="J628" s="7" t="str">
        <f>'Ingest Template'!Q628</f>
        <v/>
      </c>
      <c r="K628" s="5" t="str">
        <f>'Ingest Template'!R628</f>
        <v/>
      </c>
      <c r="L628" s="8" t="s">
        <v>38</v>
      </c>
      <c r="M628" s="9"/>
      <c r="N628" s="5"/>
      <c r="O628" s="5"/>
      <c r="P628" s="5"/>
      <c r="Q628" s="5"/>
      <c r="R628" s="5" t="str">
        <f>'Ingest Template'!D628</f>
        <v/>
      </c>
      <c r="S628" s="5" t="str">
        <f>'Ingest Template'!G628</f>
        <v/>
      </c>
      <c r="T628" s="5" t="str">
        <f>'Ingest Template'!H628</f>
        <v/>
      </c>
      <c r="U628" s="5" t="str">
        <f>LOWER(SUBSTITUTE(SUBSTITUTE(SUBSTITUTE(SUBSTITUTE(SUBSTITUTE('Ingest Template'!I628,"https:",""),"www.",""),"/",""),"?hl=en",""),"instagram.com",""))</f>
        <v/>
      </c>
      <c r="V628" s="10" t="str">
        <f>'Ingest Template'!J628</f>
        <v/>
      </c>
      <c r="W628" s="10" t="str">
        <f>'Ingest Template'!K628</f>
        <v/>
      </c>
      <c r="X628" s="5"/>
      <c r="Y628" s="5" t="str">
        <f>SUBSTITUTE(SUBSTITUTE(SUBSTITUTE('Ingest Template'!L628,"http:",""),"https:",""),"/","")</f>
        <v/>
      </c>
      <c r="Z628" s="5" t="str">
        <f t="array" ref="Z628">IF('Ingest Template'!A628="Standard",(IF(ISBLANK('Ingest Template'!M628),"", 'Ingest Template'!M628&amp;"|DAR")),(IF(ISBLANK('Ingest Template'!M628),"", 'Ingest Template'!M628&amp;"|Operations - Core Title")))</f>
        <v/>
      </c>
      <c r="AA628" s="5"/>
      <c r="AB628" s="5" t="str">
        <f>'Ingest Template'!F628</f>
        <v/>
      </c>
      <c r="AC628" s="5"/>
      <c r="AD628" s="5"/>
      <c r="AE628" s="5"/>
      <c r="AF628" s="8"/>
      <c r="AG628" s="5" t="str">
        <f t="array" ref="AG628">IF('Ingest Template'!A628="Standard",(CONCATENATE(IF(ISBLANK('Ingest Template'!N628),"", 'Ingest Template'!N628&amp;"|DAR"),CHAR(10), IF(ISBLANK('Ingest Template'!O628),"", 'Ingest Template'!O628&amp;"|DAR"),CHAR(10), IF(ISBLANK('Ingest Template'!P628),"", 'Ingest Template'!P628&amp;"|DAR"))),(CONCATENATE(IF(ISBLANK('Ingest Template'!N628),"", 'Ingest Template'!N628&amp;"|Operations - Core Title"),CHAR(10), IF(ISBLANK('Ingest Template'!O628),"", 'Ingest Template'!O628&amp;"|Operations - Core Title"),CHAR(10), IF(ISBLANK('Ingest Template'!P628),"", 'Ingest Template'!P628&amp;"|Operations - Core Title"))))</f>
        <v>#|Operations - Core Title
</v>
      </c>
      <c r="AH628" s="5"/>
      <c r="AI628" s="5"/>
      <c r="AJ628" s="5"/>
      <c r="AK628" s="5"/>
      <c r="AL628" s="5"/>
    </row>
    <row r="629">
      <c r="A629" s="5"/>
      <c r="B629" s="5" t="str">
        <f>'Ingest Template'!B629&amp;IF('Ingest Template'!A629 = "Standard", " - DAR","")</f>
        <v/>
      </c>
      <c r="C629" s="6" t="str">
        <f>'Ingest Template'!C629</f>
        <v/>
      </c>
      <c r="D629" s="7" t="str">
        <f>'Ingest Template'!E629</f>
        <v/>
      </c>
      <c r="E629" s="5"/>
      <c r="F629" s="5"/>
      <c r="G629" s="5"/>
      <c r="H629" s="7"/>
      <c r="I629" s="5"/>
      <c r="J629" s="7" t="str">
        <f>'Ingest Template'!Q629</f>
        <v/>
      </c>
      <c r="K629" s="5" t="str">
        <f>'Ingest Template'!R629</f>
        <v/>
      </c>
      <c r="L629" s="8" t="s">
        <v>38</v>
      </c>
      <c r="M629" s="9"/>
      <c r="N629" s="5"/>
      <c r="O629" s="5"/>
      <c r="P629" s="5"/>
      <c r="Q629" s="5"/>
      <c r="R629" s="5" t="str">
        <f>'Ingest Template'!D629</f>
        <v/>
      </c>
      <c r="S629" s="5" t="str">
        <f>'Ingest Template'!G629</f>
        <v/>
      </c>
      <c r="T629" s="5" t="str">
        <f>'Ingest Template'!H629</f>
        <v/>
      </c>
      <c r="U629" s="5" t="str">
        <f>LOWER(SUBSTITUTE(SUBSTITUTE(SUBSTITUTE(SUBSTITUTE(SUBSTITUTE('Ingest Template'!I629,"https:",""),"www.",""),"/",""),"?hl=en",""),"instagram.com",""))</f>
        <v/>
      </c>
      <c r="V629" s="10" t="str">
        <f>'Ingest Template'!J629</f>
        <v/>
      </c>
      <c r="W629" s="10" t="str">
        <f>'Ingest Template'!K629</f>
        <v/>
      </c>
      <c r="X629" s="5"/>
      <c r="Y629" s="5" t="str">
        <f>SUBSTITUTE(SUBSTITUTE(SUBSTITUTE('Ingest Template'!L629,"http:",""),"https:",""),"/","")</f>
        <v/>
      </c>
      <c r="Z629" s="5" t="str">
        <f t="array" ref="Z629">IF('Ingest Template'!A629="Standard",(IF(ISBLANK('Ingest Template'!M629),"", 'Ingest Template'!M629&amp;"|DAR")),(IF(ISBLANK('Ingest Template'!M629),"", 'Ingest Template'!M629&amp;"|Operations - Core Title")))</f>
        <v/>
      </c>
      <c r="AA629" s="5"/>
      <c r="AB629" s="5" t="str">
        <f>'Ingest Template'!F629</f>
        <v/>
      </c>
      <c r="AC629" s="5"/>
      <c r="AD629" s="5"/>
      <c r="AE629" s="5"/>
      <c r="AF629" s="8"/>
      <c r="AG629" s="5" t="str">
        <f t="array" ref="AG629">IF('Ingest Template'!A629="Standard",(CONCATENATE(IF(ISBLANK('Ingest Template'!N629),"", 'Ingest Template'!N629&amp;"|DAR"),CHAR(10), IF(ISBLANK('Ingest Template'!O629),"", 'Ingest Template'!O629&amp;"|DAR"),CHAR(10), IF(ISBLANK('Ingest Template'!P629),"", 'Ingest Template'!P629&amp;"|DAR"))),(CONCATENATE(IF(ISBLANK('Ingest Template'!N629),"", 'Ingest Template'!N629&amp;"|Operations - Core Title"),CHAR(10), IF(ISBLANK('Ingest Template'!O629),"", 'Ingest Template'!O629&amp;"|Operations - Core Title"),CHAR(10), IF(ISBLANK('Ingest Template'!P629),"", 'Ingest Template'!P629&amp;"|Operations - Core Title"))))</f>
        <v>#|Operations - Core Title
</v>
      </c>
      <c r="AH629" s="5"/>
      <c r="AI629" s="5"/>
      <c r="AJ629" s="5"/>
      <c r="AK629" s="5"/>
      <c r="AL629" s="5"/>
    </row>
    <row r="630">
      <c r="A630" s="5"/>
      <c r="B630" s="5" t="str">
        <f>'Ingest Template'!B630&amp;IF('Ingest Template'!A630 = "Standard", " - DAR","")</f>
        <v/>
      </c>
      <c r="C630" s="6" t="str">
        <f>'Ingest Template'!C630</f>
        <v/>
      </c>
      <c r="D630" s="7" t="str">
        <f>'Ingest Template'!E630</f>
        <v/>
      </c>
      <c r="E630" s="5"/>
      <c r="F630" s="5"/>
      <c r="G630" s="5"/>
      <c r="H630" s="7"/>
      <c r="I630" s="5"/>
      <c r="J630" s="7" t="str">
        <f>'Ingest Template'!Q630</f>
        <v/>
      </c>
      <c r="K630" s="5" t="str">
        <f>'Ingest Template'!R630</f>
        <v/>
      </c>
      <c r="L630" s="8" t="s">
        <v>38</v>
      </c>
      <c r="M630" s="9"/>
      <c r="N630" s="5"/>
      <c r="O630" s="5"/>
      <c r="P630" s="5"/>
      <c r="Q630" s="5"/>
      <c r="R630" s="5" t="str">
        <f>'Ingest Template'!D630</f>
        <v/>
      </c>
      <c r="S630" s="5" t="str">
        <f>'Ingest Template'!G630</f>
        <v/>
      </c>
      <c r="T630" s="5" t="str">
        <f>'Ingest Template'!H630</f>
        <v/>
      </c>
      <c r="U630" s="5" t="str">
        <f>LOWER(SUBSTITUTE(SUBSTITUTE(SUBSTITUTE(SUBSTITUTE(SUBSTITUTE('Ingest Template'!I630,"https:",""),"www.",""),"/",""),"?hl=en",""),"instagram.com",""))</f>
        <v/>
      </c>
      <c r="V630" s="10" t="str">
        <f>'Ingest Template'!J630</f>
        <v/>
      </c>
      <c r="W630" s="10" t="str">
        <f>'Ingest Template'!K630</f>
        <v/>
      </c>
      <c r="X630" s="5"/>
      <c r="Y630" s="5" t="str">
        <f>SUBSTITUTE(SUBSTITUTE(SUBSTITUTE('Ingest Template'!L630,"http:",""),"https:",""),"/","")</f>
        <v/>
      </c>
      <c r="Z630" s="5" t="str">
        <f t="array" ref="Z630">IF('Ingest Template'!A630="Standard",(IF(ISBLANK('Ingest Template'!M630),"", 'Ingest Template'!M630&amp;"|DAR")),(IF(ISBLANK('Ingest Template'!M630),"", 'Ingest Template'!M630&amp;"|Operations - Core Title")))</f>
        <v/>
      </c>
      <c r="AA630" s="5"/>
      <c r="AB630" s="5" t="str">
        <f>'Ingest Template'!F630</f>
        <v/>
      </c>
      <c r="AC630" s="5"/>
      <c r="AD630" s="5"/>
      <c r="AE630" s="5"/>
      <c r="AF630" s="8"/>
      <c r="AG630" s="5" t="str">
        <f t="array" ref="AG630">IF('Ingest Template'!A630="Standard",(CONCATENATE(IF(ISBLANK('Ingest Template'!N630),"", 'Ingest Template'!N630&amp;"|DAR"),CHAR(10), IF(ISBLANK('Ingest Template'!O630),"", 'Ingest Template'!O630&amp;"|DAR"),CHAR(10), IF(ISBLANK('Ingest Template'!P630),"", 'Ingest Template'!P630&amp;"|DAR"))),(CONCATENATE(IF(ISBLANK('Ingest Template'!N630),"", 'Ingest Template'!N630&amp;"|Operations - Core Title"),CHAR(10), IF(ISBLANK('Ingest Template'!O630),"", 'Ingest Template'!O630&amp;"|Operations - Core Title"),CHAR(10), IF(ISBLANK('Ingest Template'!P630),"", 'Ingest Template'!P630&amp;"|Operations - Core Title"))))</f>
        <v>#|Operations - Core Title
</v>
      </c>
      <c r="AH630" s="5"/>
      <c r="AI630" s="5"/>
      <c r="AJ630" s="5"/>
      <c r="AK630" s="5"/>
      <c r="AL630" s="5"/>
    </row>
    <row r="631">
      <c r="A631" s="5"/>
      <c r="B631" s="5" t="str">
        <f>'Ingest Template'!B631&amp;IF('Ingest Template'!A631 = "Standard", " - DAR","")</f>
        <v/>
      </c>
      <c r="C631" s="6" t="str">
        <f>'Ingest Template'!C631</f>
        <v/>
      </c>
      <c r="D631" s="7" t="str">
        <f>'Ingest Template'!E631</f>
        <v/>
      </c>
      <c r="E631" s="5"/>
      <c r="F631" s="5"/>
      <c r="G631" s="5"/>
      <c r="H631" s="7"/>
      <c r="I631" s="5"/>
      <c r="J631" s="7" t="str">
        <f>'Ingest Template'!Q631</f>
        <v/>
      </c>
      <c r="K631" s="5" t="str">
        <f>'Ingest Template'!R631</f>
        <v/>
      </c>
      <c r="L631" s="8" t="s">
        <v>38</v>
      </c>
      <c r="M631" s="9"/>
      <c r="N631" s="5"/>
      <c r="O631" s="5"/>
      <c r="P631" s="5"/>
      <c r="Q631" s="5"/>
      <c r="R631" s="5" t="str">
        <f>'Ingest Template'!D631</f>
        <v/>
      </c>
      <c r="S631" s="5" t="str">
        <f>'Ingest Template'!G631</f>
        <v/>
      </c>
      <c r="T631" s="5" t="str">
        <f>'Ingest Template'!H631</f>
        <v/>
      </c>
      <c r="U631" s="5" t="str">
        <f>LOWER(SUBSTITUTE(SUBSTITUTE(SUBSTITUTE(SUBSTITUTE(SUBSTITUTE('Ingest Template'!I631,"https:",""),"www.",""),"/",""),"?hl=en",""),"instagram.com",""))</f>
        <v/>
      </c>
      <c r="V631" s="10" t="str">
        <f>'Ingest Template'!J631</f>
        <v/>
      </c>
      <c r="W631" s="10" t="str">
        <f>'Ingest Template'!K631</f>
        <v/>
      </c>
      <c r="X631" s="5"/>
      <c r="Y631" s="5" t="str">
        <f>SUBSTITUTE(SUBSTITUTE(SUBSTITUTE('Ingest Template'!L631,"http:",""),"https:",""),"/","")</f>
        <v/>
      </c>
      <c r="Z631" s="5" t="str">
        <f t="array" ref="Z631">IF('Ingest Template'!A631="Standard",(IF(ISBLANK('Ingest Template'!M631),"", 'Ingest Template'!M631&amp;"|DAR")),(IF(ISBLANK('Ingest Template'!M631),"", 'Ingest Template'!M631&amp;"|Operations - Core Title")))</f>
        <v/>
      </c>
      <c r="AA631" s="5"/>
      <c r="AB631" s="5" t="str">
        <f>'Ingest Template'!F631</f>
        <v/>
      </c>
      <c r="AC631" s="5"/>
      <c r="AD631" s="5"/>
      <c r="AE631" s="5"/>
      <c r="AF631" s="8"/>
      <c r="AG631" s="5" t="str">
        <f t="array" ref="AG631">IF('Ingest Template'!A631="Standard",(CONCATENATE(IF(ISBLANK('Ingest Template'!N631),"", 'Ingest Template'!N631&amp;"|DAR"),CHAR(10), IF(ISBLANK('Ingest Template'!O631),"", 'Ingest Template'!O631&amp;"|DAR"),CHAR(10), IF(ISBLANK('Ingest Template'!P631),"", 'Ingest Template'!P631&amp;"|DAR"))),(CONCATENATE(IF(ISBLANK('Ingest Template'!N631),"", 'Ingest Template'!N631&amp;"|Operations - Core Title"),CHAR(10), IF(ISBLANK('Ingest Template'!O631),"", 'Ingest Template'!O631&amp;"|Operations - Core Title"),CHAR(10), IF(ISBLANK('Ingest Template'!P631),"", 'Ingest Template'!P631&amp;"|Operations - Core Title"))))</f>
        <v>#|Operations - Core Title
</v>
      </c>
      <c r="AH631" s="5"/>
      <c r="AI631" s="5"/>
      <c r="AJ631" s="5"/>
      <c r="AK631" s="5"/>
      <c r="AL631" s="5"/>
    </row>
    <row r="632">
      <c r="A632" s="5"/>
      <c r="B632" s="5" t="str">
        <f>'Ingest Template'!B632&amp;IF('Ingest Template'!A632 = "Standard", " - DAR","")</f>
        <v/>
      </c>
      <c r="C632" s="6" t="str">
        <f>'Ingest Template'!C632</f>
        <v/>
      </c>
      <c r="D632" s="7" t="str">
        <f>'Ingest Template'!E632</f>
        <v/>
      </c>
      <c r="E632" s="5"/>
      <c r="F632" s="5"/>
      <c r="G632" s="5"/>
      <c r="H632" s="7"/>
      <c r="I632" s="5"/>
      <c r="J632" s="7" t="str">
        <f>'Ingest Template'!Q632</f>
        <v/>
      </c>
      <c r="K632" s="5" t="str">
        <f>'Ingest Template'!R632</f>
        <v/>
      </c>
      <c r="L632" s="8" t="s">
        <v>38</v>
      </c>
      <c r="M632" s="9"/>
      <c r="N632" s="5"/>
      <c r="O632" s="5"/>
      <c r="P632" s="5"/>
      <c r="Q632" s="5"/>
      <c r="R632" s="5" t="str">
        <f>'Ingest Template'!D632</f>
        <v/>
      </c>
      <c r="S632" s="5" t="str">
        <f>'Ingest Template'!G632</f>
        <v/>
      </c>
      <c r="T632" s="5" t="str">
        <f>'Ingest Template'!H632</f>
        <v/>
      </c>
      <c r="U632" s="5" t="str">
        <f>LOWER(SUBSTITUTE(SUBSTITUTE(SUBSTITUTE(SUBSTITUTE(SUBSTITUTE('Ingest Template'!I632,"https:",""),"www.",""),"/",""),"?hl=en",""),"instagram.com",""))</f>
        <v/>
      </c>
      <c r="V632" s="10" t="str">
        <f>'Ingest Template'!J632</f>
        <v/>
      </c>
      <c r="W632" s="10" t="str">
        <f>'Ingest Template'!K632</f>
        <v/>
      </c>
      <c r="X632" s="5"/>
      <c r="Y632" s="5" t="str">
        <f>SUBSTITUTE(SUBSTITUTE(SUBSTITUTE('Ingest Template'!L632,"http:",""),"https:",""),"/","")</f>
        <v/>
      </c>
      <c r="Z632" s="5" t="str">
        <f t="array" ref="Z632">IF('Ingest Template'!A632="Standard",(IF(ISBLANK('Ingest Template'!M632),"", 'Ingest Template'!M632&amp;"|DAR")),(IF(ISBLANK('Ingest Template'!M632),"", 'Ingest Template'!M632&amp;"|Operations - Core Title")))</f>
        <v/>
      </c>
      <c r="AA632" s="5"/>
      <c r="AB632" s="5" t="str">
        <f>'Ingest Template'!F632</f>
        <v/>
      </c>
      <c r="AC632" s="5"/>
      <c r="AD632" s="5"/>
      <c r="AE632" s="5"/>
      <c r="AF632" s="8"/>
      <c r="AG632" s="5" t="str">
        <f t="array" ref="AG632">IF('Ingest Template'!A632="Standard",(CONCATENATE(IF(ISBLANK('Ingest Template'!N632),"", 'Ingest Template'!N632&amp;"|DAR"),CHAR(10), IF(ISBLANK('Ingest Template'!O632),"", 'Ingest Template'!O632&amp;"|DAR"),CHAR(10), IF(ISBLANK('Ingest Template'!P632),"", 'Ingest Template'!P632&amp;"|DAR"))),(CONCATENATE(IF(ISBLANK('Ingest Template'!N632),"", 'Ingest Template'!N632&amp;"|Operations - Core Title"),CHAR(10), IF(ISBLANK('Ingest Template'!O632),"", 'Ingest Template'!O632&amp;"|Operations - Core Title"),CHAR(10), IF(ISBLANK('Ingest Template'!P632),"", 'Ingest Template'!P632&amp;"|Operations - Core Title"))))</f>
        <v>#|Operations - Core Title
</v>
      </c>
      <c r="AH632" s="5"/>
      <c r="AI632" s="5"/>
      <c r="AJ632" s="5"/>
      <c r="AK632" s="5"/>
      <c r="AL632" s="5"/>
    </row>
    <row r="633">
      <c r="A633" s="5"/>
      <c r="B633" s="5" t="str">
        <f>'Ingest Template'!B633&amp;IF('Ingest Template'!A633 = "Standard", " - DAR","")</f>
        <v/>
      </c>
      <c r="C633" s="6" t="str">
        <f>'Ingest Template'!C633</f>
        <v/>
      </c>
      <c r="D633" s="7" t="str">
        <f>'Ingest Template'!E633</f>
        <v/>
      </c>
      <c r="E633" s="5"/>
      <c r="F633" s="5"/>
      <c r="G633" s="5"/>
      <c r="H633" s="7"/>
      <c r="I633" s="5"/>
      <c r="J633" s="7" t="str">
        <f>'Ingest Template'!Q633</f>
        <v/>
      </c>
      <c r="K633" s="5" t="str">
        <f>'Ingest Template'!R633</f>
        <v/>
      </c>
      <c r="L633" s="8" t="s">
        <v>38</v>
      </c>
      <c r="M633" s="9"/>
      <c r="N633" s="5"/>
      <c r="O633" s="5"/>
      <c r="P633" s="5"/>
      <c r="Q633" s="5"/>
      <c r="R633" s="5" t="str">
        <f>'Ingest Template'!D633</f>
        <v/>
      </c>
      <c r="S633" s="5" t="str">
        <f>'Ingest Template'!G633</f>
        <v/>
      </c>
      <c r="T633" s="5" t="str">
        <f>'Ingest Template'!H633</f>
        <v/>
      </c>
      <c r="U633" s="5" t="str">
        <f>LOWER(SUBSTITUTE(SUBSTITUTE(SUBSTITUTE(SUBSTITUTE(SUBSTITUTE('Ingest Template'!I633,"https:",""),"www.",""),"/",""),"?hl=en",""),"instagram.com",""))</f>
        <v/>
      </c>
      <c r="V633" s="10" t="str">
        <f>'Ingest Template'!J633</f>
        <v/>
      </c>
      <c r="W633" s="10" t="str">
        <f>'Ingest Template'!K633</f>
        <v/>
      </c>
      <c r="X633" s="5"/>
      <c r="Y633" s="5" t="str">
        <f>SUBSTITUTE(SUBSTITUTE(SUBSTITUTE('Ingest Template'!L633,"http:",""),"https:",""),"/","")</f>
        <v/>
      </c>
      <c r="Z633" s="5" t="str">
        <f t="array" ref="Z633">IF('Ingest Template'!A633="Standard",(IF(ISBLANK('Ingest Template'!M633),"", 'Ingest Template'!M633&amp;"|DAR")),(IF(ISBLANK('Ingest Template'!M633),"", 'Ingest Template'!M633&amp;"|Operations - Core Title")))</f>
        <v/>
      </c>
      <c r="AA633" s="5"/>
      <c r="AB633" s="5" t="str">
        <f>'Ingest Template'!F633</f>
        <v/>
      </c>
      <c r="AC633" s="5"/>
      <c r="AD633" s="5"/>
      <c r="AE633" s="5"/>
      <c r="AF633" s="8"/>
      <c r="AG633" s="5" t="str">
        <f t="array" ref="AG633">IF('Ingest Template'!A633="Standard",(CONCATENATE(IF(ISBLANK('Ingest Template'!N633),"", 'Ingest Template'!N633&amp;"|DAR"),CHAR(10), IF(ISBLANK('Ingest Template'!O633),"", 'Ingest Template'!O633&amp;"|DAR"),CHAR(10), IF(ISBLANK('Ingest Template'!P633),"", 'Ingest Template'!P633&amp;"|DAR"))),(CONCATENATE(IF(ISBLANK('Ingest Template'!N633),"", 'Ingest Template'!N633&amp;"|Operations - Core Title"),CHAR(10), IF(ISBLANK('Ingest Template'!O633),"", 'Ingest Template'!O633&amp;"|Operations - Core Title"),CHAR(10), IF(ISBLANK('Ingest Template'!P633),"", 'Ingest Template'!P633&amp;"|Operations - Core Title"))))</f>
        <v>#|Operations - Core Title
</v>
      </c>
      <c r="AH633" s="5"/>
      <c r="AI633" s="5"/>
      <c r="AJ633" s="5"/>
      <c r="AK633" s="5"/>
      <c r="AL633" s="5"/>
    </row>
    <row r="634">
      <c r="A634" s="5"/>
      <c r="B634" s="5" t="str">
        <f>'Ingest Template'!B634&amp;IF('Ingest Template'!A634 = "Standard", " - DAR","")</f>
        <v/>
      </c>
      <c r="C634" s="6" t="str">
        <f>'Ingest Template'!C634</f>
        <v/>
      </c>
      <c r="D634" s="7" t="str">
        <f>'Ingest Template'!E634</f>
        <v/>
      </c>
      <c r="E634" s="5"/>
      <c r="F634" s="5"/>
      <c r="G634" s="5"/>
      <c r="H634" s="7"/>
      <c r="I634" s="5"/>
      <c r="J634" s="7" t="str">
        <f>'Ingest Template'!Q634</f>
        <v/>
      </c>
      <c r="K634" s="5" t="str">
        <f>'Ingest Template'!R634</f>
        <v/>
      </c>
      <c r="L634" s="8" t="s">
        <v>38</v>
      </c>
      <c r="M634" s="9"/>
      <c r="N634" s="5"/>
      <c r="O634" s="5"/>
      <c r="P634" s="5"/>
      <c r="Q634" s="5"/>
      <c r="R634" s="5" t="str">
        <f>'Ingest Template'!D634</f>
        <v/>
      </c>
      <c r="S634" s="5" t="str">
        <f>'Ingest Template'!G634</f>
        <v/>
      </c>
      <c r="T634" s="5" t="str">
        <f>'Ingest Template'!H634</f>
        <v/>
      </c>
      <c r="U634" s="5" t="str">
        <f>LOWER(SUBSTITUTE(SUBSTITUTE(SUBSTITUTE(SUBSTITUTE(SUBSTITUTE('Ingest Template'!I634,"https:",""),"www.",""),"/",""),"?hl=en",""),"instagram.com",""))</f>
        <v/>
      </c>
      <c r="V634" s="10" t="str">
        <f>'Ingest Template'!J634</f>
        <v/>
      </c>
      <c r="W634" s="10" t="str">
        <f>'Ingest Template'!K634</f>
        <v/>
      </c>
      <c r="X634" s="5"/>
      <c r="Y634" s="5" t="str">
        <f>SUBSTITUTE(SUBSTITUTE(SUBSTITUTE('Ingest Template'!L634,"http:",""),"https:",""),"/","")</f>
        <v/>
      </c>
      <c r="Z634" s="5" t="str">
        <f t="array" ref="Z634">IF('Ingest Template'!A634="Standard",(IF(ISBLANK('Ingest Template'!M634),"", 'Ingest Template'!M634&amp;"|DAR")),(IF(ISBLANK('Ingest Template'!M634),"", 'Ingest Template'!M634&amp;"|Operations - Core Title")))</f>
        <v/>
      </c>
      <c r="AA634" s="5"/>
      <c r="AB634" s="5" t="str">
        <f>'Ingest Template'!F634</f>
        <v/>
      </c>
      <c r="AC634" s="5"/>
      <c r="AD634" s="5"/>
      <c r="AE634" s="5"/>
      <c r="AF634" s="8"/>
      <c r="AG634" s="5" t="str">
        <f t="array" ref="AG634">IF('Ingest Template'!A634="Standard",(CONCATENATE(IF(ISBLANK('Ingest Template'!N634),"", 'Ingest Template'!N634&amp;"|DAR"),CHAR(10), IF(ISBLANK('Ingest Template'!O634),"", 'Ingest Template'!O634&amp;"|DAR"),CHAR(10), IF(ISBLANK('Ingest Template'!P634),"", 'Ingest Template'!P634&amp;"|DAR"))),(CONCATENATE(IF(ISBLANK('Ingest Template'!N634),"", 'Ingest Template'!N634&amp;"|Operations - Core Title"),CHAR(10), IF(ISBLANK('Ingest Template'!O634),"", 'Ingest Template'!O634&amp;"|Operations - Core Title"),CHAR(10), IF(ISBLANK('Ingest Template'!P634),"", 'Ingest Template'!P634&amp;"|Operations - Core Title"))))</f>
        <v>#|Operations - Core Title
</v>
      </c>
      <c r="AH634" s="5"/>
      <c r="AI634" s="5"/>
      <c r="AJ634" s="5"/>
      <c r="AK634" s="5"/>
      <c r="AL634" s="5"/>
    </row>
    <row r="635">
      <c r="A635" s="5"/>
      <c r="B635" s="5" t="str">
        <f>'Ingest Template'!B635&amp;IF('Ingest Template'!A635 = "Standard", " - DAR","")</f>
        <v/>
      </c>
      <c r="C635" s="6" t="str">
        <f>'Ingest Template'!C635</f>
        <v/>
      </c>
      <c r="D635" s="7" t="str">
        <f>'Ingest Template'!E635</f>
        <v/>
      </c>
      <c r="E635" s="5"/>
      <c r="F635" s="5"/>
      <c r="G635" s="5"/>
      <c r="H635" s="7"/>
      <c r="I635" s="5"/>
      <c r="J635" s="7" t="str">
        <f>'Ingest Template'!Q635</f>
        <v/>
      </c>
      <c r="K635" s="5" t="str">
        <f>'Ingest Template'!R635</f>
        <v/>
      </c>
      <c r="L635" s="8" t="s">
        <v>38</v>
      </c>
      <c r="M635" s="9"/>
      <c r="N635" s="5"/>
      <c r="O635" s="5"/>
      <c r="P635" s="5"/>
      <c r="Q635" s="5"/>
      <c r="R635" s="5" t="str">
        <f>'Ingest Template'!D635</f>
        <v/>
      </c>
      <c r="S635" s="5" t="str">
        <f>'Ingest Template'!G635</f>
        <v/>
      </c>
      <c r="T635" s="5" t="str">
        <f>'Ingest Template'!H635</f>
        <v/>
      </c>
      <c r="U635" s="5" t="str">
        <f>LOWER(SUBSTITUTE(SUBSTITUTE(SUBSTITUTE(SUBSTITUTE(SUBSTITUTE('Ingest Template'!I635,"https:",""),"www.",""),"/",""),"?hl=en",""),"instagram.com",""))</f>
        <v/>
      </c>
      <c r="V635" s="10" t="str">
        <f>'Ingest Template'!J635</f>
        <v/>
      </c>
      <c r="W635" s="10" t="str">
        <f>'Ingest Template'!K635</f>
        <v/>
      </c>
      <c r="X635" s="5"/>
      <c r="Y635" s="5" t="str">
        <f>SUBSTITUTE(SUBSTITUTE(SUBSTITUTE('Ingest Template'!L635,"http:",""),"https:",""),"/","")</f>
        <v/>
      </c>
      <c r="Z635" s="5" t="str">
        <f t="array" ref="Z635">IF('Ingest Template'!A635="Standard",(IF(ISBLANK('Ingest Template'!M635),"", 'Ingest Template'!M635&amp;"|DAR")),(IF(ISBLANK('Ingest Template'!M635),"", 'Ingest Template'!M635&amp;"|Operations - Core Title")))</f>
        <v/>
      </c>
      <c r="AA635" s="5"/>
      <c r="AB635" s="5" t="str">
        <f>'Ingest Template'!F635</f>
        <v/>
      </c>
      <c r="AC635" s="5"/>
      <c r="AD635" s="5"/>
      <c r="AE635" s="5"/>
      <c r="AF635" s="8"/>
      <c r="AG635" s="5" t="str">
        <f t="array" ref="AG635">IF('Ingest Template'!A635="Standard",(CONCATENATE(IF(ISBLANK('Ingest Template'!N635),"", 'Ingest Template'!N635&amp;"|DAR"),CHAR(10), IF(ISBLANK('Ingest Template'!O635),"", 'Ingest Template'!O635&amp;"|DAR"),CHAR(10), IF(ISBLANK('Ingest Template'!P635),"", 'Ingest Template'!P635&amp;"|DAR"))),(CONCATENATE(IF(ISBLANK('Ingest Template'!N635),"", 'Ingest Template'!N635&amp;"|Operations - Core Title"),CHAR(10), IF(ISBLANK('Ingest Template'!O635),"", 'Ingest Template'!O635&amp;"|Operations - Core Title"),CHAR(10), IF(ISBLANK('Ingest Template'!P635),"", 'Ingest Template'!P635&amp;"|Operations - Core Title"))))</f>
        <v>#|Operations - Core Title
</v>
      </c>
      <c r="AH635" s="5"/>
      <c r="AI635" s="5"/>
      <c r="AJ635" s="5"/>
      <c r="AK635" s="5"/>
      <c r="AL635" s="5"/>
    </row>
    <row r="636">
      <c r="A636" s="5"/>
      <c r="B636" s="5" t="str">
        <f>'Ingest Template'!B636&amp;IF('Ingest Template'!A636 = "Standard", " - DAR","")</f>
        <v/>
      </c>
      <c r="C636" s="6" t="str">
        <f>'Ingest Template'!C636</f>
        <v/>
      </c>
      <c r="D636" s="7" t="str">
        <f>'Ingest Template'!E636</f>
        <v/>
      </c>
      <c r="E636" s="5"/>
      <c r="F636" s="5"/>
      <c r="G636" s="5"/>
      <c r="H636" s="7"/>
      <c r="I636" s="5"/>
      <c r="J636" s="7" t="str">
        <f>'Ingest Template'!Q636</f>
        <v/>
      </c>
      <c r="K636" s="5" t="str">
        <f>'Ingest Template'!R636</f>
        <v/>
      </c>
      <c r="L636" s="8" t="s">
        <v>38</v>
      </c>
      <c r="M636" s="9"/>
      <c r="N636" s="5"/>
      <c r="O636" s="5"/>
      <c r="P636" s="5"/>
      <c r="Q636" s="5"/>
      <c r="R636" s="5" t="str">
        <f>'Ingest Template'!D636</f>
        <v/>
      </c>
      <c r="S636" s="5" t="str">
        <f>'Ingest Template'!G636</f>
        <v/>
      </c>
      <c r="T636" s="5" t="str">
        <f>'Ingest Template'!H636</f>
        <v/>
      </c>
      <c r="U636" s="5" t="str">
        <f>LOWER(SUBSTITUTE(SUBSTITUTE(SUBSTITUTE(SUBSTITUTE(SUBSTITUTE('Ingest Template'!I636,"https:",""),"www.",""),"/",""),"?hl=en",""),"instagram.com",""))</f>
        <v/>
      </c>
      <c r="V636" s="10" t="str">
        <f>'Ingest Template'!J636</f>
        <v/>
      </c>
      <c r="W636" s="10" t="str">
        <f>'Ingest Template'!K636</f>
        <v/>
      </c>
      <c r="X636" s="5"/>
      <c r="Y636" s="5" t="str">
        <f>SUBSTITUTE(SUBSTITUTE(SUBSTITUTE('Ingest Template'!L636,"http:",""),"https:",""),"/","")</f>
        <v/>
      </c>
      <c r="Z636" s="5" t="str">
        <f t="array" ref="Z636">IF('Ingest Template'!A636="Standard",(IF(ISBLANK('Ingest Template'!M636),"", 'Ingest Template'!M636&amp;"|DAR")),(IF(ISBLANK('Ingest Template'!M636),"", 'Ingest Template'!M636&amp;"|Operations - Core Title")))</f>
        <v/>
      </c>
      <c r="AA636" s="5"/>
      <c r="AB636" s="5" t="str">
        <f>'Ingest Template'!F636</f>
        <v/>
      </c>
      <c r="AC636" s="5"/>
      <c r="AD636" s="5"/>
      <c r="AE636" s="5"/>
      <c r="AF636" s="8"/>
      <c r="AG636" s="5" t="str">
        <f t="array" ref="AG636">IF('Ingest Template'!A636="Standard",(CONCATENATE(IF(ISBLANK('Ingest Template'!N636),"", 'Ingest Template'!N636&amp;"|DAR"),CHAR(10), IF(ISBLANK('Ingest Template'!O636),"", 'Ingest Template'!O636&amp;"|DAR"),CHAR(10), IF(ISBLANK('Ingest Template'!P636),"", 'Ingest Template'!P636&amp;"|DAR"))),(CONCATENATE(IF(ISBLANK('Ingest Template'!N636),"", 'Ingest Template'!N636&amp;"|Operations - Core Title"),CHAR(10), IF(ISBLANK('Ingest Template'!O636),"", 'Ingest Template'!O636&amp;"|Operations - Core Title"),CHAR(10), IF(ISBLANK('Ingest Template'!P636),"", 'Ingest Template'!P636&amp;"|Operations - Core Title"))))</f>
        <v>#|Operations - Core Title
</v>
      </c>
      <c r="AH636" s="5"/>
      <c r="AI636" s="5"/>
      <c r="AJ636" s="5"/>
      <c r="AK636" s="5"/>
      <c r="AL636" s="5"/>
    </row>
    <row r="637">
      <c r="A637" s="5"/>
      <c r="B637" s="5" t="str">
        <f>'Ingest Template'!B637&amp;IF('Ingest Template'!A637 = "Standard", " - DAR","")</f>
        <v/>
      </c>
      <c r="C637" s="6" t="str">
        <f>'Ingest Template'!C637</f>
        <v/>
      </c>
      <c r="D637" s="7" t="str">
        <f>'Ingest Template'!E637</f>
        <v/>
      </c>
      <c r="E637" s="5"/>
      <c r="F637" s="5"/>
      <c r="G637" s="5"/>
      <c r="H637" s="7"/>
      <c r="I637" s="5"/>
      <c r="J637" s="7" t="str">
        <f>'Ingest Template'!Q637</f>
        <v/>
      </c>
      <c r="K637" s="5" t="str">
        <f>'Ingest Template'!R637</f>
        <v/>
      </c>
      <c r="L637" s="8" t="s">
        <v>38</v>
      </c>
      <c r="M637" s="9"/>
      <c r="N637" s="5"/>
      <c r="O637" s="5"/>
      <c r="P637" s="5"/>
      <c r="Q637" s="5"/>
      <c r="R637" s="5" t="str">
        <f>'Ingest Template'!D637</f>
        <v/>
      </c>
      <c r="S637" s="5" t="str">
        <f>'Ingest Template'!G637</f>
        <v/>
      </c>
      <c r="T637" s="5" t="str">
        <f>'Ingest Template'!H637</f>
        <v/>
      </c>
      <c r="U637" s="5" t="str">
        <f>LOWER(SUBSTITUTE(SUBSTITUTE(SUBSTITUTE(SUBSTITUTE(SUBSTITUTE('Ingest Template'!I637,"https:",""),"www.",""),"/",""),"?hl=en",""),"instagram.com",""))</f>
        <v/>
      </c>
      <c r="V637" s="10" t="str">
        <f>'Ingest Template'!J637</f>
        <v/>
      </c>
      <c r="W637" s="10" t="str">
        <f>'Ingest Template'!K637</f>
        <v/>
      </c>
      <c r="X637" s="5"/>
      <c r="Y637" s="5" t="str">
        <f>SUBSTITUTE(SUBSTITUTE(SUBSTITUTE('Ingest Template'!L637,"http:",""),"https:",""),"/","")</f>
        <v/>
      </c>
      <c r="Z637" s="5" t="str">
        <f t="array" ref="Z637">IF('Ingest Template'!A637="Standard",(IF(ISBLANK('Ingest Template'!M637),"", 'Ingest Template'!M637&amp;"|DAR")),(IF(ISBLANK('Ingest Template'!M637),"", 'Ingest Template'!M637&amp;"|Operations - Core Title")))</f>
        <v/>
      </c>
      <c r="AA637" s="5"/>
      <c r="AB637" s="5" t="str">
        <f>'Ingest Template'!F637</f>
        <v/>
      </c>
      <c r="AC637" s="5"/>
      <c r="AD637" s="5"/>
      <c r="AE637" s="5"/>
      <c r="AF637" s="8"/>
      <c r="AG637" s="5" t="str">
        <f t="array" ref="AG637">IF('Ingest Template'!A637="Standard",(CONCATENATE(IF(ISBLANK('Ingest Template'!N637),"", 'Ingest Template'!N637&amp;"|DAR"),CHAR(10), IF(ISBLANK('Ingest Template'!O637),"", 'Ingest Template'!O637&amp;"|DAR"),CHAR(10), IF(ISBLANK('Ingest Template'!P637),"", 'Ingest Template'!P637&amp;"|DAR"))),(CONCATENATE(IF(ISBLANK('Ingest Template'!N637),"", 'Ingest Template'!N637&amp;"|Operations - Core Title"),CHAR(10), IF(ISBLANK('Ingest Template'!O637),"", 'Ingest Template'!O637&amp;"|Operations - Core Title"),CHAR(10), IF(ISBLANK('Ingest Template'!P637),"", 'Ingest Template'!P637&amp;"|Operations - Core Title"))))</f>
        <v>#|Operations - Core Title
</v>
      </c>
      <c r="AH637" s="5"/>
      <c r="AI637" s="5"/>
      <c r="AJ637" s="5"/>
      <c r="AK637" s="5"/>
      <c r="AL637" s="5"/>
    </row>
    <row r="638">
      <c r="A638" s="5"/>
      <c r="B638" s="5" t="str">
        <f>'Ingest Template'!B638&amp;IF('Ingest Template'!A638 = "Standard", " - DAR","")</f>
        <v/>
      </c>
      <c r="C638" s="6" t="str">
        <f>'Ingest Template'!C638</f>
        <v/>
      </c>
      <c r="D638" s="7" t="str">
        <f>'Ingest Template'!E638</f>
        <v/>
      </c>
      <c r="E638" s="5"/>
      <c r="F638" s="5"/>
      <c r="G638" s="5"/>
      <c r="H638" s="7"/>
      <c r="I638" s="5"/>
      <c r="J638" s="7" t="str">
        <f>'Ingest Template'!Q638</f>
        <v/>
      </c>
      <c r="K638" s="5" t="str">
        <f>'Ingest Template'!R638</f>
        <v/>
      </c>
      <c r="L638" s="8" t="s">
        <v>38</v>
      </c>
      <c r="M638" s="9"/>
      <c r="N638" s="5"/>
      <c r="O638" s="5"/>
      <c r="P638" s="5"/>
      <c r="Q638" s="5"/>
      <c r="R638" s="5" t="str">
        <f>'Ingest Template'!D638</f>
        <v/>
      </c>
      <c r="S638" s="5" t="str">
        <f>'Ingest Template'!G638</f>
        <v/>
      </c>
      <c r="T638" s="5" t="str">
        <f>'Ingest Template'!H638</f>
        <v/>
      </c>
      <c r="U638" s="5" t="str">
        <f>LOWER(SUBSTITUTE(SUBSTITUTE(SUBSTITUTE(SUBSTITUTE(SUBSTITUTE('Ingest Template'!I638,"https:",""),"www.",""),"/",""),"?hl=en",""),"instagram.com",""))</f>
        <v/>
      </c>
      <c r="V638" s="10" t="str">
        <f>'Ingest Template'!J638</f>
        <v/>
      </c>
      <c r="W638" s="10" t="str">
        <f>'Ingest Template'!K638</f>
        <v/>
      </c>
      <c r="X638" s="5"/>
      <c r="Y638" s="5" t="str">
        <f>SUBSTITUTE(SUBSTITUTE(SUBSTITUTE('Ingest Template'!L638,"http:",""),"https:",""),"/","")</f>
        <v/>
      </c>
      <c r="Z638" s="5" t="str">
        <f t="array" ref="Z638">IF('Ingest Template'!A638="Standard",(IF(ISBLANK('Ingest Template'!M638),"", 'Ingest Template'!M638&amp;"|DAR")),(IF(ISBLANK('Ingest Template'!M638),"", 'Ingest Template'!M638&amp;"|Operations - Core Title")))</f>
        <v/>
      </c>
      <c r="AA638" s="5"/>
      <c r="AB638" s="5" t="str">
        <f>'Ingest Template'!F638</f>
        <v/>
      </c>
      <c r="AC638" s="5"/>
      <c r="AD638" s="5"/>
      <c r="AE638" s="5"/>
      <c r="AF638" s="8"/>
      <c r="AG638" s="5" t="str">
        <f t="array" ref="AG638">IF('Ingest Template'!A638="Standard",(CONCATENATE(IF(ISBLANK('Ingest Template'!N638),"", 'Ingest Template'!N638&amp;"|DAR"),CHAR(10), IF(ISBLANK('Ingest Template'!O638),"", 'Ingest Template'!O638&amp;"|DAR"),CHAR(10), IF(ISBLANK('Ingest Template'!P638),"", 'Ingest Template'!P638&amp;"|DAR"))),(CONCATENATE(IF(ISBLANK('Ingest Template'!N638),"", 'Ingest Template'!N638&amp;"|Operations - Core Title"),CHAR(10), IF(ISBLANK('Ingest Template'!O638),"", 'Ingest Template'!O638&amp;"|Operations - Core Title"),CHAR(10), IF(ISBLANK('Ingest Template'!P638),"", 'Ingest Template'!P638&amp;"|Operations - Core Title"))))</f>
        <v>#|Operations - Core Title
</v>
      </c>
      <c r="AH638" s="5"/>
      <c r="AI638" s="5"/>
      <c r="AJ638" s="5"/>
      <c r="AK638" s="5"/>
      <c r="AL638" s="5"/>
    </row>
    <row r="639">
      <c r="A639" s="5"/>
      <c r="B639" s="5" t="str">
        <f>'Ingest Template'!B639&amp;IF('Ingest Template'!A639 = "Standard", " - DAR","")</f>
        <v/>
      </c>
      <c r="C639" s="6" t="str">
        <f>'Ingest Template'!C639</f>
        <v/>
      </c>
      <c r="D639" s="7" t="str">
        <f>'Ingest Template'!E639</f>
        <v/>
      </c>
      <c r="E639" s="5"/>
      <c r="F639" s="5"/>
      <c r="G639" s="5"/>
      <c r="H639" s="7"/>
      <c r="I639" s="5"/>
      <c r="J639" s="7" t="str">
        <f>'Ingest Template'!Q639</f>
        <v/>
      </c>
      <c r="K639" s="5" t="str">
        <f>'Ingest Template'!R639</f>
        <v/>
      </c>
      <c r="L639" s="8" t="s">
        <v>38</v>
      </c>
      <c r="M639" s="9"/>
      <c r="N639" s="5"/>
      <c r="O639" s="5"/>
      <c r="P639" s="5"/>
      <c r="Q639" s="5"/>
      <c r="R639" s="5" t="str">
        <f>'Ingest Template'!D639</f>
        <v/>
      </c>
      <c r="S639" s="5" t="str">
        <f>'Ingest Template'!G639</f>
        <v/>
      </c>
      <c r="T639" s="5" t="str">
        <f>'Ingest Template'!H639</f>
        <v/>
      </c>
      <c r="U639" s="5" t="str">
        <f>LOWER(SUBSTITUTE(SUBSTITUTE(SUBSTITUTE(SUBSTITUTE(SUBSTITUTE('Ingest Template'!I639,"https:",""),"www.",""),"/",""),"?hl=en",""),"instagram.com",""))</f>
        <v/>
      </c>
      <c r="V639" s="10" t="str">
        <f>'Ingest Template'!J639</f>
        <v/>
      </c>
      <c r="W639" s="10" t="str">
        <f>'Ingest Template'!K639</f>
        <v/>
      </c>
      <c r="X639" s="5"/>
      <c r="Y639" s="5" t="str">
        <f>SUBSTITUTE(SUBSTITUTE(SUBSTITUTE('Ingest Template'!L639,"http:",""),"https:",""),"/","")</f>
        <v/>
      </c>
      <c r="Z639" s="5" t="str">
        <f t="array" ref="Z639">IF('Ingest Template'!A639="Standard",(IF(ISBLANK('Ingest Template'!M639),"", 'Ingest Template'!M639&amp;"|DAR")),(IF(ISBLANK('Ingest Template'!M639),"", 'Ingest Template'!M639&amp;"|Operations - Core Title")))</f>
        <v/>
      </c>
      <c r="AA639" s="5"/>
      <c r="AB639" s="5" t="str">
        <f>'Ingest Template'!F639</f>
        <v/>
      </c>
      <c r="AC639" s="5"/>
      <c r="AD639" s="5"/>
      <c r="AE639" s="5"/>
      <c r="AF639" s="8"/>
      <c r="AG639" s="5" t="str">
        <f t="array" ref="AG639">IF('Ingest Template'!A639="Standard",(CONCATENATE(IF(ISBLANK('Ingest Template'!N639),"", 'Ingest Template'!N639&amp;"|DAR"),CHAR(10), IF(ISBLANK('Ingest Template'!O639),"", 'Ingest Template'!O639&amp;"|DAR"),CHAR(10), IF(ISBLANK('Ingest Template'!P639),"", 'Ingest Template'!P639&amp;"|DAR"))),(CONCATENATE(IF(ISBLANK('Ingest Template'!N639),"", 'Ingest Template'!N639&amp;"|Operations - Core Title"),CHAR(10), IF(ISBLANK('Ingest Template'!O639),"", 'Ingest Template'!O639&amp;"|Operations - Core Title"),CHAR(10), IF(ISBLANK('Ingest Template'!P639),"", 'Ingest Template'!P639&amp;"|Operations - Core Title"))))</f>
        <v>#|Operations - Core Title
</v>
      </c>
      <c r="AH639" s="5"/>
      <c r="AI639" s="5"/>
      <c r="AJ639" s="5"/>
      <c r="AK639" s="5"/>
      <c r="AL639" s="5"/>
    </row>
    <row r="640">
      <c r="A640" s="5"/>
      <c r="B640" s="5" t="str">
        <f>'Ingest Template'!B640&amp;IF('Ingest Template'!A640 = "Standard", " - DAR","")</f>
        <v/>
      </c>
      <c r="C640" s="6" t="str">
        <f>'Ingest Template'!C640</f>
        <v/>
      </c>
      <c r="D640" s="7" t="str">
        <f>'Ingest Template'!E640</f>
        <v/>
      </c>
      <c r="E640" s="5"/>
      <c r="F640" s="5"/>
      <c r="G640" s="5"/>
      <c r="H640" s="7"/>
      <c r="I640" s="5"/>
      <c r="J640" s="7" t="str">
        <f>'Ingest Template'!Q640</f>
        <v/>
      </c>
      <c r="K640" s="5" t="str">
        <f>'Ingest Template'!R640</f>
        <v/>
      </c>
      <c r="L640" s="8" t="s">
        <v>38</v>
      </c>
      <c r="M640" s="9"/>
      <c r="N640" s="5"/>
      <c r="O640" s="5"/>
      <c r="P640" s="5"/>
      <c r="Q640" s="5"/>
      <c r="R640" s="5" t="str">
        <f>'Ingest Template'!D640</f>
        <v/>
      </c>
      <c r="S640" s="5" t="str">
        <f>'Ingest Template'!G640</f>
        <v/>
      </c>
      <c r="T640" s="5" t="str">
        <f>'Ingest Template'!H640</f>
        <v/>
      </c>
      <c r="U640" s="5" t="str">
        <f>LOWER(SUBSTITUTE(SUBSTITUTE(SUBSTITUTE(SUBSTITUTE(SUBSTITUTE('Ingest Template'!I640,"https:",""),"www.",""),"/",""),"?hl=en",""),"instagram.com",""))</f>
        <v/>
      </c>
      <c r="V640" s="10" t="str">
        <f>'Ingest Template'!J640</f>
        <v/>
      </c>
      <c r="W640" s="10" t="str">
        <f>'Ingest Template'!K640</f>
        <v/>
      </c>
      <c r="X640" s="5"/>
      <c r="Y640" s="5" t="str">
        <f>SUBSTITUTE(SUBSTITUTE(SUBSTITUTE('Ingest Template'!L640,"http:",""),"https:",""),"/","")</f>
        <v/>
      </c>
      <c r="Z640" s="5" t="str">
        <f t="array" ref="Z640">IF('Ingest Template'!A640="Standard",(IF(ISBLANK('Ingest Template'!M640),"", 'Ingest Template'!M640&amp;"|DAR")),(IF(ISBLANK('Ingest Template'!M640),"", 'Ingest Template'!M640&amp;"|Operations - Core Title")))</f>
        <v/>
      </c>
      <c r="AA640" s="5"/>
      <c r="AB640" s="5" t="str">
        <f>'Ingest Template'!F640</f>
        <v/>
      </c>
      <c r="AC640" s="5"/>
      <c r="AD640" s="5"/>
      <c r="AE640" s="5"/>
      <c r="AF640" s="8"/>
      <c r="AG640" s="5" t="str">
        <f t="array" ref="AG640">IF('Ingest Template'!A640="Standard",(CONCATENATE(IF(ISBLANK('Ingest Template'!N640),"", 'Ingest Template'!N640&amp;"|DAR"),CHAR(10), IF(ISBLANK('Ingest Template'!O640),"", 'Ingest Template'!O640&amp;"|DAR"),CHAR(10), IF(ISBLANK('Ingest Template'!P640),"", 'Ingest Template'!P640&amp;"|DAR"))),(CONCATENATE(IF(ISBLANK('Ingest Template'!N640),"", 'Ingest Template'!N640&amp;"|Operations - Core Title"),CHAR(10), IF(ISBLANK('Ingest Template'!O640),"", 'Ingest Template'!O640&amp;"|Operations - Core Title"),CHAR(10), IF(ISBLANK('Ingest Template'!P640),"", 'Ingest Template'!P640&amp;"|Operations - Core Title"))))</f>
        <v>#|Operations - Core Title
</v>
      </c>
      <c r="AH640" s="5"/>
      <c r="AI640" s="5"/>
      <c r="AJ640" s="5"/>
      <c r="AK640" s="5"/>
      <c r="AL640" s="5"/>
    </row>
    <row r="641">
      <c r="A641" s="5"/>
      <c r="B641" s="5" t="str">
        <f>'Ingest Template'!B641&amp;IF('Ingest Template'!A641 = "Standard", " - DAR","")</f>
        <v/>
      </c>
      <c r="C641" s="6" t="str">
        <f>'Ingest Template'!C641</f>
        <v/>
      </c>
      <c r="D641" s="7" t="str">
        <f>'Ingest Template'!E641</f>
        <v/>
      </c>
      <c r="E641" s="5"/>
      <c r="F641" s="5"/>
      <c r="G641" s="5"/>
      <c r="H641" s="7"/>
      <c r="I641" s="5"/>
      <c r="J641" s="7" t="str">
        <f>'Ingest Template'!Q641</f>
        <v/>
      </c>
      <c r="K641" s="5" t="str">
        <f>'Ingest Template'!R641</f>
        <v/>
      </c>
      <c r="L641" s="8" t="s">
        <v>38</v>
      </c>
      <c r="M641" s="9"/>
      <c r="N641" s="5"/>
      <c r="O641" s="5"/>
      <c r="P641" s="5"/>
      <c r="Q641" s="5"/>
      <c r="R641" s="5" t="str">
        <f>'Ingest Template'!D641</f>
        <v/>
      </c>
      <c r="S641" s="5" t="str">
        <f>'Ingest Template'!G641</f>
        <v/>
      </c>
      <c r="T641" s="5" t="str">
        <f>'Ingest Template'!H641</f>
        <v/>
      </c>
      <c r="U641" s="5" t="str">
        <f>LOWER(SUBSTITUTE(SUBSTITUTE(SUBSTITUTE(SUBSTITUTE(SUBSTITUTE('Ingest Template'!I641,"https:",""),"www.",""),"/",""),"?hl=en",""),"instagram.com",""))</f>
        <v/>
      </c>
      <c r="V641" s="10" t="str">
        <f>'Ingest Template'!J641</f>
        <v/>
      </c>
      <c r="W641" s="10" t="str">
        <f>'Ingest Template'!K641</f>
        <v/>
      </c>
      <c r="X641" s="5"/>
      <c r="Y641" s="5" t="str">
        <f>SUBSTITUTE(SUBSTITUTE(SUBSTITUTE('Ingest Template'!L641,"http:",""),"https:",""),"/","")</f>
        <v/>
      </c>
      <c r="Z641" s="5" t="str">
        <f t="array" ref="Z641">IF('Ingest Template'!A641="Standard",(IF(ISBLANK('Ingest Template'!M641),"", 'Ingest Template'!M641&amp;"|DAR")),(IF(ISBLANK('Ingest Template'!M641),"", 'Ingest Template'!M641&amp;"|Operations - Core Title")))</f>
        <v/>
      </c>
      <c r="AA641" s="5"/>
      <c r="AB641" s="5" t="str">
        <f>'Ingest Template'!F641</f>
        <v/>
      </c>
      <c r="AC641" s="5"/>
      <c r="AD641" s="5"/>
      <c r="AE641" s="5"/>
      <c r="AF641" s="8"/>
      <c r="AG641" s="5" t="str">
        <f t="array" ref="AG641">IF('Ingest Template'!A641="Standard",(CONCATENATE(IF(ISBLANK('Ingest Template'!N641),"", 'Ingest Template'!N641&amp;"|DAR"),CHAR(10), IF(ISBLANK('Ingest Template'!O641),"", 'Ingest Template'!O641&amp;"|DAR"),CHAR(10), IF(ISBLANK('Ingest Template'!P641),"", 'Ingest Template'!P641&amp;"|DAR"))),(CONCATENATE(IF(ISBLANK('Ingest Template'!N641),"", 'Ingest Template'!N641&amp;"|Operations - Core Title"),CHAR(10), IF(ISBLANK('Ingest Template'!O641),"", 'Ingest Template'!O641&amp;"|Operations - Core Title"),CHAR(10), IF(ISBLANK('Ingest Template'!P641),"", 'Ingest Template'!P641&amp;"|Operations - Core Title"))))</f>
        <v>#|Operations - Core Title
</v>
      </c>
      <c r="AH641" s="5"/>
      <c r="AI641" s="5"/>
      <c r="AJ641" s="5"/>
      <c r="AK641" s="5"/>
      <c r="AL641" s="5"/>
    </row>
    <row r="642">
      <c r="A642" s="5"/>
      <c r="B642" s="5" t="str">
        <f>'Ingest Template'!B642&amp;IF('Ingest Template'!A642 = "Standard", " - DAR","")</f>
        <v/>
      </c>
      <c r="C642" s="6" t="str">
        <f>'Ingest Template'!C642</f>
        <v/>
      </c>
      <c r="D642" s="7" t="str">
        <f>'Ingest Template'!E642</f>
        <v/>
      </c>
      <c r="E642" s="5"/>
      <c r="F642" s="5"/>
      <c r="G642" s="5"/>
      <c r="H642" s="7"/>
      <c r="I642" s="5"/>
      <c r="J642" s="7" t="str">
        <f>'Ingest Template'!Q642</f>
        <v/>
      </c>
      <c r="K642" s="5" t="str">
        <f>'Ingest Template'!R642</f>
        <v/>
      </c>
      <c r="L642" s="8" t="s">
        <v>38</v>
      </c>
      <c r="M642" s="9"/>
      <c r="N642" s="5"/>
      <c r="O642" s="5"/>
      <c r="P642" s="5"/>
      <c r="Q642" s="5"/>
      <c r="R642" s="5" t="str">
        <f>'Ingest Template'!D642</f>
        <v/>
      </c>
      <c r="S642" s="5" t="str">
        <f>'Ingest Template'!G642</f>
        <v/>
      </c>
      <c r="T642" s="5" t="str">
        <f>'Ingest Template'!H642</f>
        <v/>
      </c>
      <c r="U642" s="5" t="str">
        <f>LOWER(SUBSTITUTE(SUBSTITUTE(SUBSTITUTE(SUBSTITUTE(SUBSTITUTE('Ingest Template'!I642,"https:",""),"www.",""),"/",""),"?hl=en",""),"instagram.com",""))</f>
        <v/>
      </c>
      <c r="V642" s="10" t="str">
        <f>'Ingest Template'!J642</f>
        <v/>
      </c>
      <c r="W642" s="10" t="str">
        <f>'Ingest Template'!K642</f>
        <v/>
      </c>
      <c r="X642" s="5"/>
      <c r="Y642" s="5" t="str">
        <f>SUBSTITUTE(SUBSTITUTE(SUBSTITUTE('Ingest Template'!L642,"http:",""),"https:",""),"/","")</f>
        <v/>
      </c>
      <c r="Z642" s="5" t="str">
        <f t="array" ref="Z642">IF('Ingest Template'!A642="Standard",(IF(ISBLANK('Ingest Template'!M642),"", 'Ingest Template'!M642&amp;"|DAR")),(IF(ISBLANK('Ingest Template'!M642),"", 'Ingest Template'!M642&amp;"|Operations - Core Title")))</f>
        <v/>
      </c>
      <c r="AA642" s="5"/>
      <c r="AB642" s="5" t="str">
        <f>'Ingest Template'!F642</f>
        <v/>
      </c>
      <c r="AC642" s="5"/>
      <c r="AD642" s="5"/>
      <c r="AE642" s="5"/>
      <c r="AF642" s="8"/>
      <c r="AG642" s="5" t="str">
        <f t="array" ref="AG642">IF('Ingest Template'!A642="Standard",(CONCATENATE(IF(ISBLANK('Ingest Template'!N642),"", 'Ingest Template'!N642&amp;"|DAR"),CHAR(10), IF(ISBLANK('Ingest Template'!O642),"", 'Ingest Template'!O642&amp;"|DAR"),CHAR(10), IF(ISBLANK('Ingest Template'!P642),"", 'Ingest Template'!P642&amp;"|DAR"))),(CONCATENATE(IF(ISBLANK('Ingest Template'!N642),"", 'Ingest Template'!N642&amp;"|Operations - Core Title"),CHAR(10), IF(ISBLANK('Ingest Template'!O642),"", 'Ingest Template'!O642&amp;"|Operations - Core Title"),CHAR(10), IF(ISBLANK('Ingest Template'!P642),"", 'Ingest Template'!P642&amp;"|Operations - Core Title"))))</f>
        <v>#|Operations - Core Title
</v>
      </c>
      <c r="AH642" s="5"/>
      <c r="AI642" s="5"/>
      <c r="AJ642" s="5"/>
      <c r="AK642" s="5"/>
      <c r="AL642" s="5"/>
    </row>
    <row r="643">
      <c r="A643" s="5"/>
      <c r="B643" s="5" t="str">
        <f>'Ingest Template'!B643&amp;IF('Ingest Template'!A643 = "Standard", " - DAR","")</f>
        <v/>
      </c>
      <c r="C643" s="6" t="str">
        <f>'Ingest Template'!C643</f>
        <v/>
      </c>
      <c r="D643" s="7" t="str">
        <f>'Ingest Template'!E643</f>
        <v/>
      </c>
      <c r="E643" s="5"/>
      <c r="F643" s="5"/>
      <c r="G643" s="5"/>
      <c r="H643" s="7"/>
      <c r="I643" s="5"/>
      <c r="J643" s="7" t="str">
        <f>'Ingest Template'!Q643</f>
        <v/>
      </c>
      <c r="K643" s="5" t="str">
        <f>'Ingest Template'!R643</f>
        <v/>
      </c>
      <c r="L643" s="8" t="s">
        <v>38</v>
      </c>
      <c r="M643" s="9"/>
      <c r="N643" s="5"/>
      <c r="O643" s="5"/>
      <c r="P643" s="5"/>
      <c r="Q643" s="5"/>
      <c r="R643" s="5" t="str">
        <f>'Ingest Template'!D643</f>
        <v/>
      </c>
      <c r="S643" s="5" t="str">
        <f>'Ingest Template'!G643</f>
        <v/>
      </c>
      <c r="T643" s="5" t="str">
        <f>'Ingest Template'!H643</f>
        <v/>
      </c>
      <c r="U643" s="5" t="str">
        <f>LOWER(SUBSTITUTE(SUBSTITUTE(SUBSTITUTE(SUBSTITUTE(SUBSTITUTE('Ingest Template'!I643,"https:",""),"www.",""),"/",""),"?hl=en",""),"instagram.com",""))</f>
        <v/>
      </c>
      <c r="V643" s="10" t="str">
        <f>'Ingest Template'!J643</f>
        <v/>
      </c>
      <c r="W643" s="10" t="str">
        <f>'Ingest Template'!K643</f>
        <v/>
      </c>
      <c r="X643" s="5"/>
      <c r="Y643" s="5" t="str">
        <f>SUBSTITUTE(SUBSTITUTE(SUBSTITUTE('Ingest Template'!L643,"http:",""),"https:",""),"/","")</f>
        <v/>
      </c>
      <c r="Z643" s="5" t="str">
        <f t="array" ref="Z643">IF('Ingest Template'!A643="Standard",(IF(ISBLANK('Ingest Template'!M643),"", 'Ingest Template'!M643&amp;"|DAR")),(IF(ISBLANK('Ingest Template'!M643),"", 'Ingest Template'!M643&amp;"|Operations - Core Title")))</f>
        <v/>
      </c>
      <c r="AA643" s="5"/>
      <c r="AB643" s="5" t="str">
        <f>'Ingest Template'!F643</f>
        <v/>
      </c>
      <c r="AC643" s="5"/>
      <c r="AD643" s="5"/>
      <c r="AE643" s="5"/>
      <c r="AF643" s="8"/>
      <c r="AG643" s="5" t="str">
        <f t="array" ref="AG643">IF('Ingest Template'!A643="Standard",(CONCATENATE(IF(ISBLANK('Ingest Template'!N643),"", 'Ingest Template'!N643&amp;"|DAR"),CHAR(10), IF(ISBLANK('Ingest Template'!O643),"", 'Ingest Template'!O643&amp;"|DAR"),CHAR(10), IF(ISBLANK('Ingest Template'!P643),"", 'Ingest Template'!P643&amp;"|DAR"))),(CONCATENATE(IF(ISBLANK('Ingest Template'!N643),"", 'Ingest Template'!N643&amp;"|Operations - Core Title"),CHAR(10), IF(ISBLANK('Ingest Template'!O643),"", 'Ingest Template'!O643&amp;"|Operations - Core Title"),CHAR(10), IF(ISBLANK('Ingest Template'!P643),"", 'Ingest Template'!P643&amp;"|Operations - Core Title"))))</f>
        <v>#|Operations - Core Title
</v>
      </c>
      <c r="AH643" s="5"/>
      <c r="AI643" s="5"/>
      <c r="AJ643" s="5"/>
      <c r="AK643" s="5"/>
      <c r="AL643" s="5"/>
    </row>
    <row r="644">
      <c r="A644" s="5"/>
      <c r="B644" s="5" t="str">
        <f>'Ingest Template'!B644&amp;IF('Ingest Template'!A644 = "Standard", " - DAR","")</f>
        <v/>
      </c>
      <c r="C644" s="6" t="str">
        <f>'Ingest Template'!C644</f>
        <v/>
      </c>
      <c r="D644" s="7" t="str">
        <f>'Ingest Template'!E644</f>
        <v/>
      </c>
      <c r="E644" s="5"/>
      <c r="F644" s="5"/>
      <c r="G644" s="5"/>
      <c r="H644" s="7"/>
      <c r="I644" s="5"/>
      <c r="J644" s="7" t="str">
        <f>'Ingest Template'!Q644</f>
        <v/>
      </c>
      <c r="K644" s="5" t="str">
        <f>'Ingest Template'!R644</f>
        <v/>
      </c>
      <c r="L644" s="8" t="s">
        <v>38</v>
      </c>
      <c r="M644" s="9"/>
      <c r="N644" s="5"/>
      <c r="O644" s="5"/>
      <c r="P644" s="5"/>
      <c r="Q644" s="5"/>
      <c r="R644" s="5" t="str">
        <f>'Ingest Template'!D644</f>
        <v/>
      </c>
      <c r="S644" s="5" t="str">
        <f>'Ingest Template'!G644</f>
        <v/>
      </c>
      <c r="T644" s="5" t="str">
        <f>'Ingest Template'!H644</f>
        <v/>
      </c>
      <c r="U644" s="5" t="str">
        <f>LOWER(SUBSTITUTE(SUBSTITUTE(SUBSTITUTE(SUBSTITUTE(SUBSTITUTE('Ingest Template'!I644,"https:",""),"www.",""),"/",""),"?hl=en",""),"instagram.com",""))</f>
        <v/>
      </c>
      <c r="V644" s="10" t="str">
        <f>'Ingest Template'!J644</f>
        <v/>
      </c>
      <c r="W644" s="10" t="str">
        <f>'Ingest Template'!K644</f>
        <v/>
      </c>
      <c r="X644" s="5"/>
      <c r="Y644" s="5" t="str">
        <f>SUBSTITUTE(SUBSTITUTE(SUBSTITUTE('Ingest Template'!L644,"http:",""),"https:",""),"/","")</f>
        <v/>
      </c>
      <c r="Z644" s="5" t="str">
        <f t="array" ref="Z644">IF('Ingest Template'!A644="Standard",(IF(ISBLANK('Ingest Template'!M644),"", 'Ingest Template'!M644&amp;"|DAR")),(IF(ISBLANK('Ingest Template'!M644),"", 'Ingest Template'!M644&amp;"|Operations - Core Title")))</f>
        <v/>
      </c>
      <c r="AA644" s="5"/>
      <c r="AB644" s="5" t="str">
        <f>'Ingest Template'!F644</f>
        <v/>
      </c>
      <c r="AC644" s="5"/>
      <c r="AD644" s="5"/>
      <c r="AE644" s="5"/>
      <c r="AF644" s="8"/>
      <c r="AG644" s="5" t="str">
        <f t="array" ref="AG644">IF('Ingest Template'!A644="Standard",(CONCATENATE(IF(ISBLANK('Ingest Template'!N644),"", 'Ingest Template'!N644&amp;"|DAR"),CHAR(10), IF(ISBLANK('Ingest Template'!O644),"", 'Ingest Template'!O644&amp;"|DAR"),CHAR(10), IF(ISBLANK('Ingest Template'!P644),"", 'Ingest Template'!P644&amp;"|DAR"))),(CONCATENATE(IF(ISBLANK('Ingest Template'!N644),"", 'Ingest Template'!N644&amp;"|Operations - Core Title"),CHAR(10), IF(ISBLANK('Ingest Template'!O644),"", 'Ingest Template'!O644&amp;"|Operations - Core Title"),CHAR(10), IF(ISBLANK('Ingest Template'!P644),"", 'Ingest Template'!P644&amp;"|Operations - Core Title"))))</f>
        <v>#|Operations - Core Title
</v>
      </c>
      <c r="AH644" s="5"/>
      <c r="AI644" s="5"/>
      <c r="AJ644" s="5"/>
      <c r="AK644" s="5"/>
      <c r="AL644" s="5"/>
    </row>
    <row r="645">
      <c r="A645" s="5"/>
      <c r="B645" s="5" t="str">
        <f>'Ingest Template'!B645&amp;IF('Ingest Template'!A645 = "Standard", " - DAR","")</f>
        <v/>
      </c>
      <c r="C645" s="6" t="str">
        <f>'Ingest Template'!C645</f>
        <v/>
      </c>
      <c r="D645" s="7" t="str">
        <f>'Ingest Template'!E645</f>
        <v/>
      </c>
      <c r="E645" s="5"/>
      <c r="F645" s="5"/>
      <c r="G645" s="5"/>
      <c r="H645" s="7"/>
      <c r="I645" s="5"/>
      <c r="J645" s="7" t="str">
        <f>'Ingest Template'!Q645</f>
        <v/>
      </c>
      <c r="K645" s="5" t="str">
        <f>'Ingest Template'!R645</f>
        <v/>
      </c>
      <c r="L645" s="8" t="s">
        <v>38</v>
      </c>
      <c r="M645" s="9"/>
      <c r="N645" s="5"/>
      <c r="O645" s="5"/>
      <c r="P645" s="5"/>
      <c r="Q645" s="5"/>
      <c r="R645" s="5" t="str">
        <f>'Ingest Template'!D645</f>
        <v/>
      </c>
      <c r="S645" s="5" t="str">
        <f>'Ingest Template'!G645</f>
        <v/>
      </c>
      <c r="T645" s="5" t="str">
        <f>'Ingest Template'!H645</f>
        <v/>
      </c>
      <c r="U645" s="5" t="str">
        <f>LOWER(SUBSTITUTE(SUBSTITUTE(SUBSTITUTE(SUBSTITUTE(SUBSTITUTE('Ingest Template'!I645,"https:",""),"www.",""),"/",""),"?hl=en",""),"instagram.com",""))</f>
        <v/>
      </c>
      <c r="V645" s="10" t="str">
        <f>'Ingest Template'!J645</f>
        <v/>
      </c>
      <c r="W645" s="10" t="str">
        <f>'Ingest Template'!K645</f>
        <v/>
      </c>
      <c r="X645" s="5"/>
      <c r="Y645" s="5" t="str">
        <f>SUBSTITUTE(SUBSTITUTE(SUBSTITUTE('Ingest Template'!L645,"http:",""),"https:",""),"/","")</f>
        <v/>
      </c>
      <c r="Z645" s="5" t="str">
        <f t="array" ref="Z645">IF('Ingest Template'!A645="Standard",(IF(ISBLANK('Ingest Template'!M645),"", 'Ingest Template'!M645&amp;"|DAR")),(IF(ISBLANK('Ingest Template'!M645),"", 'Ingest Template'!M645&amp;"|Operations - Core Title")))</f>
        <v/>
      </c>
      <c r="AA645" s="5"/>
      <c r="AB645" s="5" t="str">
        <f>'Ingest Template'!F645</f>
        <v/>
      </c>
      <c r="AC645" s="5"/>
      <c r="AD645" s="5"/>
      <c r="AE645" s="5"/>
      <c r="AF645" s="8"/>
      <c r="AG645" s="5" t="str">
        <f t="array" ref="AG645">IF('Ingest Template'!A645="Standard",(CONCATENATE(IF(ISBLANK('Ingest Template'!N645),"", 'Ingest Template'!N645&amp;"|DAR"),CHAR(10), IF(ISBLANK('Ingest Template'!O645),"", 'Ingest Template'!O645&amp;"|DAR"),CHAR(10), IF(ISBLANK('Ingest Template'!P645),"", 'Ingest Template'!P645&amp;"|DAR"))),(CONCATENATE(IF(ISBLANK('Ingest Template'!N645),"", 'Ingest Template'!N645&amp;"|Operations - Core Title"),CHAR(10), IF(ISBLANK('Ingest Template'!O645),"", 'Ingest Template'!O645&amp;"|Operations - Core Title"),CHAR(10), IF(ISBLANK('Ingest Template'!P645),"", 'Ingest Template'!P645&amp;"|Operations - Core Title"))))</f>
        <v>#|Operations - Core Title
</v>
      </c>
      <c r="AH645" s="5"/>
      <c r="AI645" s="5"/>
      <c r="AJ645" s="5"/>
      <c r="AK645" s="5"/>
      <c r="AL645" s="5"/>
    </row>
    <row r="646">
      <c r="A646" s="5"/>
      <c r="B646" s="5" t="str">
        <f>'Ingest Template'!B646&amp;IF('Ingest Template'!A646 = "Standard", " - DAR","")</f>
        <v/>
      </c>
      <c r="C646" s="6" t="str">
        <f>'Ingest Template'!C646</f>
        <v/>
      </c>
      <c r="D646" s="7" t="str">
        <f>'Ingest Template'!E646</f>
        <v/>
      </c>
      <c r="E646" s="5"/>
      <c r="F646" s="5"/>
      <c r="G646" s="5"/>
      <c r="H646" s="7"/>
      <c r="I646" s="5"/>
      <c r="J646" s="7" t="str">
        <f>'Ingest Template'!Q646</f>
        <v/>
      </c>
      <c r="K646" s="5" t="str">
        <f>'Ingest Template'!R646</f>
        <v/>
      </c>
      <c r="L646" s="8" t="s">
        <v>38</v>
      </c>
      <c r="M646" s="9"/>
      <c r="N646" s="5"/>
      <c r="O646" s="5"/>
      <c r="P646" s="5"/>
      <c r="Q646" s="5"/>
      <c r="R646" s="5" t="str">
        <f>'Ingest Template'!D646</f>
        <v/>
      </c>
      <c r="S646" s="5" t="str">
        <f>'Ingest Template'!G646</f>
        <v/>
      </c>
      <c r="T646" s="5" t="str">
        <f>'Ingest Template'!H646</f>
        <v/>
      </c>
      <c r="U646" s="5" t="str">
        <f>LOWER(SUBSTITUTE(SUBSTITUTE(SUBSTITUTE(SUBSTITUTE(SUBSTITUTE('Ingest Template'!I646,"https:",""),"www.",""),"/",""),"?hl=en",""),"instagram.com",""))</f>
        <v/>
      </c>
      <c r="V646" s="10" t="str">
        <f>'Ingest Template'!J646</f>
        <v/>
      </c>
      <c r="W646" s="10" t="str">
        <f>'Ingest Template'!K646</f>
        <v/>
      </c>
      <c r="X646" s="5"/>
      <c r="Y646" s="5" t="str">
        <f>SUBSTITUTE(SUBSTITUTE(SUBSTITUTE('Ingest Template'!L646,"http:",""),"https:",""),"/","")</f>
        <v/>
      </c>
      <c r="Z646" s="5" t="str">
        <f t="array" ref="Z646">IF('Ingest Template'!A646="Standard",(IF(ISBLANK('Ingest Template'!M646),"", 'Ingest Template'!M646&amp;"|DAR")),(IF(ISBLANK('Ingest Template'!M646),"", 'Ingest Template'!M646&amp;"|Operations - Core Title")))</f>
        <v/>
      </c>
      <c r="AA646" s="5"/>
      <c r="AB646" s="5" t="str">
        <f>'Ingest Template'!F646</f>
        <v/>
      </c>
      <c r="AC646" s="5"/>
      <c r="AD646" s="5"/>
      <c r="AE646" s="5"/>
      <c r="AF646" s="8"/>
      <c r="AG646" s="5" t="str">
        <f t="array" ref="AG646">IF('Ingest Template'!A646="Standard",(CONCATENATE(IF(ISBLANK('Ingest Template'!N646),"", 'Ingest Template'!N646&amp;"|DAR"),CHAR(10), IF(ISBLANK('Ingest Template'!O646),"", 'Ingest Template'!O646&amp;"|DAR"),CHAR(10), IF(ISBLANK('Ingest Template'!P646),"", 'Ingest Template'!P646&amp;"|DAR"))),(CONCATENATE(IF(ISBLANK('Ingest Template'!N646),"", 'Ingest Template'!N646&amp;"|Operations - Core Title"),CHAR(10), IF(ISBLANK('Ingest Template'!O646),"", 'Ingest Template'!O646&amp;"|Operations - Core Title"),CHAR(10), IF(ISBLANK('Ingest Template'!P646),"", 'Ingest Template'!P646&amp;"|Operations - Core Title"))))</f>
        <v>#|Operations - Core Title
</v>
      </c>
      <c r="AH646" s="5"/>
      <c r="AI646" s="5"/>
      <c r="AJ646" s="5"/>
      <c r="AK646" s="5"/>
      <c r="AL646" s="5"/>
    </row>
    <row r="647">
      <c r="A647" s="5"/>
      <c r="B647" s="5" t="str">
        <f>'Ingest Template'!B647&amp;IF('Ingest Template'!A647 = "Standard", " - DAR","")</f>
        <v/>
      </c>
      <c r="C647" s="6" t="str">
        <f>'Ingest Template'!C647</f>
        <v/>
      </c>
      <c r="D647" s="7" t="str">
        <f>'Ingest Template'!E647</f>
        <v/>
      </c>
      <c r="E647" s="5"/>
      <c r="F647" s="5"/>
      <c r="G647" s="5"/>
      <c r="H647" s="7"/>
      <c r="I647" s="5"/>
      <c r="J647" s="7" t="str">
        <f>'Ingest Template'!Q647</f>
        <v/>
      </c>
      <c r="K647" s="5" t="str">
        <f>'Ingest Template'!R647</f>
        <v/>
      </c>
      <c r="L647" s="8" t="s">
        <v>38</v>
      </c>
      <c r="M647" s="9"/>
      <c r="N647" s="5"/>
      <c r="O647" s="5"/>
      <c r="P647" s="5"/>
      <c r="Q647" s="5"/>
      <c r="R647" s="5" t="str">
        <f>'Ingest Template'!D647</f>
        <v/>
      </c>
      <c r="S647" s="5" t="str">
        <f>'Ingest Template'!G647</f>
        <v/>
      </c>
      <c r="T647" s="5" t="str">
        <f>'Ingest Template'!H647</f>
        <v/>
      </c>
      <c r="U647" s="5" t="str">
        <f>LOWER(SUBSTITUTE(SUBSTITUTE(SUBSTITUTE(SUBSTITUTE(SUBSTITUTE('Ingest Template'!I647,"https:",""),"www.",""),"/",""),"?hl=en",""),"instagram.com",""))</f>
        <v/>
      </c>
      <c r="V647" s="10" t="str">
        <f>'Ingest Template'!J647</f>
        <v/>
      </c>
      <c r="W647" s="10" t="str">
        <f>'Ingest Template'!K647</f>
        <v/>
      </c>
      <c r="X647" s="5"/>
      <c r="Y647" s="5" t="str">
        <f>SUBSTITUTE(SUBSTITUTE(SUBSTITUTE('Ingest Template'!L647,"http:",""),"https:",""),"/","")</f>
        <v/>
      </c>
      <c r="Z647" s="5" t="str">
        <f t="array" ref="Z647">IF('Ingest Template'!A647="Standard",(IF(ISBLANK('Ingest Template'!M647),"", 'Ingest Template'!M647&amp;"|DAR")),(IF(ISBLANK('Ingest Template'!M647),"", 'Ingest Template'!M647&amp;"|Operations - Core Title")))</f>
        <v/>
      </c>
      <c r="AA647" s="5"/>
      <c r="AB647" s="5" t="str">
        <f>'Ingest Template'!F647</f>
        <v/>
      </c>
      <c r="AC647" s="5"/>
      <c r="AD647" s="5"/>
      <c r="AE647" s="5"/>
      <c r="AF647" s="8"/>
      <c r="AG647" s="5" t="str">
        <f t="array" ref="AG647">IF('Ingest Template'!A647="Standard",(CONCATENATE(IF(ISBLANK('Ingest Template'!N647),"", 'Ingest Template'!N647&amp;"|DAR"),CHAR(10), IF(ISBLANK('Ingest Template'!O647),"", 'Ingest Template'!O647&amp;"|DAR"),CHAR(10), IF(ISBLANK('Ingest Template'!P647),"", 'Ingest Template'!P647&amp;"|DAR"))),(CONCATENATE(IF(ISBLANK('Ingest Template'!N647),"", 'Ingest Template'!N647&amp;"|Operations - Core Title"),CHAR(10), IF(ISBLANK('Ingest Template'!O647),"", 'Ingest Template'!O647&amp;"|Operations - Core Title"),CHAR(10), IF(ISBLANK('Ingest Template'!P647),"", 'Ingest Template'!P647&amp;"|Operations - Core Title"))))</f>
        <v>#|Operations - Core Title
</v>
      </c>
      <c r="AH647" s="5"/>
      <c r="AI647" s="5"/>
      <c r="AJ647" s="5"/>
      <c r="AK647" s="5"/>
      <c r="AL647" s="5"/>
    </row>
    <row r="648">
      <c r="A648" s="5"/>
      <c r="B648" s="5" t="str">
        <f>'Ingest Template'!B648&amp;IF('Ingest Template'!A648 = "Standard", " - DAR","")</f>
        <v/>
      </c>
      <c r="C648" s="6" t="str">
        <f>'Ingest Template'!C648</f>
        <v/>
      </c>
      <c r="D648" s="7" t="str">
        <f>'Ingest Template'!E648</f>
        <v/>
      </c>
      <c r="E648" s="5"/>
      <c r="F648" s="5"/>
      <c r="G648" s="5"/>
      <c r="H648" s="7"/>
      <c r="I648" s="5"/>
      <c r="J648" s="7" t="str">
        <f>'Ingest Template'!Q648</f>
        <v/>
      </c>
      <c r="K648" s="5" t="str">
        <f>'Ingest Template'!R648</f>
        <v/>
      </c>
      <c r="L648" s="8" t="s">
        <v>38</v>
      </c>
      <c r="M648" s="9"/>
      <c r="N648" s="5"/>
      <c r="O648" s="5"/>
      <c r="P648" s="5"/>
      <c r="Q648" s="5"/>
      <c r="R648" s="5" t="str">
        <f>'Ingest Template'!D648</f>
        <v/>
      </c>
      <c r="S648" s="5" t="str">
        <f>'Ingest Template'!G648</f>
        <v/>
      </c>
      <c r="T648" s="5" t="str">
        <f>'Ingest Template'!H648</f>
        <v/>
      </c>
      <c r="U648" s="5" t="str">
        <f>LOWER(SUBSTITUTE(SUBSTITUTE(SUBSTITUTE(SUBSTITUTE(SUBSTITUTE('Ingest Template'!I648,"https:",""),"www.",""),"/",""),"?hl=en",""),"instagram.com",""))</f>
        <v/>
      </c>
      <c r="V648" s="10" t="str">
        <f>'Ingest Template'!J648</f>
        <v/>
      </c>
      <c r="W648" s="10" t="str">
        <f>'Ingest Template'!K648</f>
        <v/>
      </c>
      <c r="X648" s="5"/>
      <c r="Y648" s="5" t="str">
        <f>SUBSTITUTE(SUBSTITUTE(SUBSTITUTE('Ingest Template'!L648,"http:",""),"https:",""),"/","")</f>
        <v/>
      </c>
      <c r="Z648" s="5" t="str">
        <f t="array" ref="Z648">IF('Ingest Template'!A648="Standard",(IF(ISBLANK('Ingest Template'!M648),"", 'Ingest Template'!M648&amp;"|DAR")),(IF(ISBLANK('Ingest Template'!M648),"", 'Ingest Template'!M648&amp;"|Operations - Core Title")))</f>
        <v/>
      </c>
      <c r="AA648" s="5"/>
      <c r="AB648" s="5" t="str">
        <f>'Ingest Template'!F648</f>
        <v/>
      </c>
      <c r="AC648" s="5"/>
      <c r="AD648" s="5"/>
      <c r="AE648" s="5"/>
      <c r="AF648" s="8"/>
      <c r="AG648" s="5" t="str">
        <f t="array" ref="AG648">IF('Ingest Template'!A648="Standard",(CONCATENATE(IF(ISBLANK('Ingest Template'!N648),"", 'Ingest Template'!N648&amp;"|DAR"),CHAR(10), IF(ISBLANK('Ingest Template'!O648),"", 'Ingest Template'!O648&amp;"|DAR"),CHAR(10), IF(ISBLANK('Ingest Template'!P648),"", 'Ingest Template'!P648&amp;"|DAR"))),(CONCATENATE(IF(ISBLANK('Ingest Template'!N648),"", 'Ingest Template'!N648&amp;"|Operations - Core Title"),CHAR(10), IF(ISBLANK('Ingest Template'!O648),"", 'Ingest Template'!O648&amp;"|Operations - Core Title"),CHAR(10), IF(ISBLANK('Ingest Template'!P648),"", 'Ingest Template'!P648&amp;"|Operations - Core Title"))))</f>
        <v>#|Operations - Core Title
</v>
      </c>
      <c r="AH648" s="5"/>
      <c r="AI648" s="5"/>
      <c r="AJ648" s="5"/>
      <c r="AK648" s="5"/>
      <c r="AL648" s="5"/>
    </row>
    <row r="649">
      <c r="A649" s="5"/>
      <c r="B649" s="5" t="str">
        <f>'Ingest Template'!B649&amp;IF('Ingest Template'!A649 = "Standard", " - DAR","")</f>
        <v/>
      </c>
      <c r="C649" s="6" t="str">
        <f>'Ingest Template'!C649</f>
        <v/>
      </c>
      <c r="D649" s="7" t="str">
        <f>'Ingest Template'!E649</f>
        <v/>
      </c>
      <c r="E649" s="5"/>
      <c r="F649" s="5"/>
      <c r="G649" s="5"/>
      <c r="H649" s="7"/>
      <c r="I649" s="5"/>
      <c r="J649" s="7" t="str">
        <f>'Ingest Template'!Q649</f>
        <v/>
      </c>
      <c r="K649" s="5" t="str">
        <f>'Ingest Template'!R649</f>
        <v/>
      </c>
      <c r="L649" s="8" t="s">
        <v>38</v>
      </c>
      <c r="M649" s="9"/>
      <c r="N649" s="5"/>
      <c r="O649" s="5"/>
      <c r="P649" s="5"/>
      <c r="Q649" s="5"/>
      <c r="R649" s="5" t="str">
        <f>'Ingest Template'!D649</f>
        <v/>
      </c>
      <c r="S649" s="5" t="str">
        <f>'Ingest Template'!G649</f>
        <v/>
      </c>
      <c r="T649" s="5" t="str">
        <f>'Ingest Template'!H649</f>
        <v/>
      </c>
      <c r="U649" s="5" t="str">
        <f>LOWER(SUBSTITUTE(SUBSTITUTE(SUBSTITUTE(SUBSTITUTE(SUBSTITUTE('Ingest Template'!I649,"https:",""),"www.",""),"/",""),"?hl=en",""),"instagram.com",""))</f>
        <v/>
      </c>
      <c r="V649" s="10" t="str">
        <f>'Ingest Template'!J649</f>
        <v/>
      </c>
      <c r="W649" s="10" t="str">
        <f>'Ingest Template'!K649</f>
        <v/>
      </c>
      <c r="X649" s="5"/>
      <c r="Y649" s="5" t="str">
        <f>SUBSTITUTE(SUBSTITUTE(SUBSTITUTE('Ingest Template'!L649,"http:",""),"https:",""),"/","")</f>
        <v/>
      </c>
      <c r="Z649" s="5" t="str">
        <f t="array" ref="Z649">IF('Ingest Template'!A649="Standard",(IF(ISBLANK('Ingest Template'!M649),"", 'Ingest Template'!M649&amp;"|DAR")),(IF(ISBLANK('Ingest Template'!M649),"", 'Ingest Template'!M649&amp;"|Operations - Core Title")))</f>
        <v/>
      </c>
      <c r="AA649" s="5"/>
      <c r="AB649" s="5" t="str">
        <f>'Ingest Template'!F649</f>
        <v/>
      </c>
      <c r="AC649" s="5"/>
      <c r="AD649" s="5"/>
      <c r="AE649" s="5"/>
      <c r="AF649" s="8"/>
      <c r="AG649" s="5" t="str">
        <f t="array" ref="AG649">IF('Ingest Template'!A649="Standard",(CONCATENATE(IF(ISBLANK('Ingest Template'!N649),"", 'Ingest Template'!N649&amp;"|DAR"),CHAR(10), IF(ISBLANK('Ingest Template'!O649),"", 'Ingest Template'!O649&amp;"|DAR"),CHAR(10), IF(ISBLANK('Ingest Template'!P649),"", 'Ingest Template'!P649&amp;"|DAR"))),(CONCATENATE(IF(ISBLANK('Ingest Template'!N649),"", 'Ingest Template'!N649&amp;"|Operations - Core Title"),CHAR(10), IF(ISBLANK('Ingest Template'!O649),"", 'Ingest Template'!O649&amp;"|Operations - Core Title"),CHAR(10), IF(ISBLANK('Ingest Template'!P649),"", 'Ingest Template'!P649&amp;"|Operations - Core Title"))))</f>
        <v>#|Operations - Core Title
</v>
      </c>
      <c r="AH649" s="5"/>
      <c r="AI649" s="5"/>
      <c r="AJ649" s="5"/>
      <c r="AK649" s="5"/>
      <c r="AL649" s="5"/>
    </row>
    <row r="650">
      <c r="A650" s="5"/>
      <c r="B650" s="5" t="str">
        <f>'Ingest Template'!B650&amp;IF('Ingest Template'!A650 = "Standard", " - DAR","")</f>
        <v/>
      </c>
      <c r="C650" s="6" t="str">
        <f>'Ingest Template'!C650</f>
        <v/>
      </c>
      <c r="D650" s="7" t="str">
        <f>'Ingest Template'!E650</f>
        <v/>
      </c>
      <c r="E650" s="5"/>
      <c r="F650" s="5"/>
      <c r="G650" s="5"/>
      <c r="H650" s="7"/>
      <c r="I650" s="5"/>
      <c r="J650" s="7" t="str">
        <f>'Ingest Template'!Q650</f>
        <v/>
      </c>
      <c r="K650" s="5" t="str">
        <f>'Ingest Template'!R650</f>
        <v/>
      </c>
      <c r="L650" s="8" t="s">
        <v>38</v>
      </c>
      <c r="M650" s="9"/>
      <c r="N650" s="5"/>
      <c r="O650" s="5"/>
      <c r="P650" s="5"/>
      <c r="Q650" s="5"/>
      <c r="R650" s="5" t="str">
        <f>'Ingest Template'!D650</f>
        <v/>
      </c>
      <c r="S650" s="5" t="str">
        <f>'Ingest Template'!G650</f>
        <v/>
      </c>
      <c r="T650" s="5" t="str">
        <f>'Ingest Template'!H650</f>
        <v/>
      </c>
      <c r="U650" s="5" t="str">
        <f>LOWER(SUBSTITUTE(SUBSTITUTE(SUBSTITUTE(SUBSTITUTE(SUBSTITUTE('Ingest Template'!I650,"https:",""),"www.",""),"/",""),"?hl=en",""),"instagram.com",""))</f>
        <v/>
      </c>
      <c r="V650" s="10" t="str">
        <f>'Ingest Template'!J650</f>
        <v/>
      </c>
      <c r="W650" s="10" t="str">
        <f>'Ingest Template'!K650</f>
        <v/>
      </c>
      <c r="X650" s="5"/>
      <c r="Y650" s="5" t="str">
        <f>SUBSTITUTE(SUBSTITUTE(SUBSTITUTE('Ingest Template'!L650,"http:",""),"https:",""),"/","")</f>
        <v/>
      </c>
      <c r="Z650" s="5" t="str">
        <f t="array" ref="Z650">IF('Ingest Template'!A650="Standard",(IF(ISBLANK('Ingest Template'!M650),"", 'Ingest Template'!M650&amp;"|DAR")),(IF(ISBLANK('Ingest Template'!M650),"", 'Ingest Template'!M650&amp;"|Operations - Core Title")))</f>
        <v/>
      </c>
      <c r="AA650" s="5"/>
      <c r="AB650" s="5" t="str">
        <f>'Ingest Template'!F650</f>
        <v/>
      </c>
      <c r="AC650" s="5"/>
      <c r="AD650" s="5"/>
      <c r="AE650" s="5"/>
      <c r="AF650" s="8"/>
      <c r="AG650" s="5" t="str">
        <f t="array" ref="AG650">IF('Ingest Template'!A650="Standard",(CONCATENATE(IF(ISBLANK('Ingest Template'!N650),"", 'Ingest Template'!N650&amp;"|DAR"),CHAR(10), IF(ISBLANK('Ingest Template'!O650),"", 'Ingest Template'!O650&amp;"|DAR"),CHAR(10), IF(ISBLANK('Ingest Template'!P650),"", 'Ingest Template'!P650&amp;"|DAR"))),(CONCATENATE(IF(ISBLANK('Ingest Template'!N650),"", 'Ingest Template'!N650&amp;"|Operations - Core Title"),CHAR(10), IF(ISBLANK('Ingest Template'!O650),"", 'Ingest Template'!O650&amp;"|Operations - Core Title"),CHAR(10), IF(ISBLANK('Ingest Template'!P650),"", 'Ingest Template'!P650&amp;"|Operations - Core Title"))))</f>
        <v>#|Operations - Core Title
</v>
      </c>
      <c r="AH650" s="5"/>
      <c r="AI650" s="5"/>
      <c r="AJ650" s="5"/>
      <c r="AK650" s="5"/>
      <c r="AL650" s="5"/>
    </row>
    <row r="651">
      <c r="A651" s="5"/>
      <c r="B651" s="5" t="str">
        <f>'Ingest Template'!B651&amp;IF('Ingest Template'!A651 = "Standard", " - DAR","")</f>
        <v/>
      </c>
      <c r="C651" s="6" t="str">
        <f>'Ingest Template'!C651</f>
        <v/>
      </c>
      <c r="D651" s="7" t="str">
        <f>'Ingest Template'!E651</f>
        <v/>
      </c>
      <c r="E651" s="5"/>
      <c r="F651" s="5"/>
      <c r="G651" s="5"/>
      <c r="H651" s="7"/>
      <c r="I651" s="5"/>
      <c r="J651" s="7" t="str">
        <f>'Ingest Template'!Q651</f>
        <v/>
      </c>
      <c r="K651" s="5" t="str">
        <f>'Ingest Template'!R651</f>
        <v/>
      </c>
      <c r="L651" s="8" t="s">
        <v>38</v>
      </c>
      <c r="M651" s="9"/>
      <c r="N651" s="5"/>
      <c r="O651" s="5"/>
      <c r="P651" s="5"/>
      <c r="Q651" s="5"/>
      <c r="R651" s="5" t="str">
        <f>'Ingest Template'!D651</f>
        <v/>
      </c>
      <c r="S651" s="5" t="str">
        <f>'Ingest Template'!G651</f>
        <v/>
      </c>
      <c r="T651" s="5" t="str">
        <f>'Ingest Template'!H651</f>
        <v/>
      </c>
      <c r="U651" s="5" t="str">
        <f>LOWER(SUBSTITUTE(SUBSTITUTE(SUBSTITUTE(SUBSTITUTE(SUBSTITUTE('Ingest Template'!I651,"https:",""),"www.",""),"/",""),"?hl=en",""),"instagram.com",""))</f>
        <v/>
      </c>
      <c r="V651" s="10" t="str">
        <f>'Ingest Template'!J651</f>
        <v/>
      </c>
      <c r="W651" s="10" t="str">
        <f>'Ingest Template'!K651</f>
        <v/>
      </c>
      <c r="X651" s="5"/>
      <c r="Y651" s="5" t="str">
        <f>SUBSTITUTE(SUBSTITUTE(SUBSTITUTE('Ingest Template'!L651,"http:",""),"https:",""),"/","")</f>
        <v/>
      </c>
      <c r="Z651" s="5" t="str">
        <f t="array" ref="Z651">IF('Ingest Template'!A651="Standard",(IF(ISBLANK('Ingest Template'!M651),"", 'Ingest Template'!M651&amp;"|DAR")),(IF(ISBLANK('Ingest Template'!M651),"", 'Ingest Template'!M651&amp;"|Operations - Core Title")))</f>
        <v/>
      </c>
      <c r="AA651" s="5"/>
      <c r="AB651" s="5" t="str">
        <f>'Ingest Template'!F651</f>
        <v/>
      </c>
      <c r="AC651" s="5"/>
      <c r="AD651" s="5"/>
      <c r="AE651" s="5"/>
      <c r="AF651" s="8"/>
      <c r="AG651" s="5" t="str">
        <f t="array" ref="AG651">IF('Ingest Template'!A651="Standard",(CONCATENATE(IF(ISBLANK('Ingest Template'!N651),"", 'Ingest Template'!N651&amp;"|DAR"),CHAR(10), IF(ISBLANK('Ingest Template'!O651),"", 'Ingest Template'!O651&amp;"|DAR"),CHAR(10), IF(ISBLANK('Ingest Template'!P651),"", 'Ingest Template'!P651&amp;"|DAR"))),(CONCATENATE(IF(ISBLANK('Ingest Template'!N651),"", 'Ingest Template'!N651&amp;"|Operations - Core Title"),CHAR(10), IF(ISBLANK('Ingest Template'!O651),"", 'Ingest Template'!O651&amp;"|Operations - Core Title"),CHAR(10), IF(ISBLANK('Ingest Template'!P651),"", 'Ingest Template'!P651&amp;"|Operations - Core Title"))))</f>
        <v>#|Operations - Core Title
</v>
      </c>
      <c r="AH651" s="5"/>
      <c r="AI651" s="5"/>
      <c r="AJ651" s="5"/>
      <c r="AK651" s="5"/>
      <c r="AL651" s="5"/>
    </row>
    <row r="652">
      <c r="A652" s="5"/>
      <c r="B652" s="5" t="str">
        <f>'Ingest Template'!B652&amp;IF('Ingest Template'!A652 = "Standard", " - DAR","")</f>
        <v/>
      </c>
      <c r="C652" s="6" t="str">
        <f>'Ingest Template'!C652</f>
        <v/>
      </c>
      <c r="D652" s="7" t="str">
        <f>'Ingest Template'!E652</f>
        <v/>
      </c>
      <c r="E652" s="5"/>
      <c r="F652" s="5"/>
      <c r="G652" s="5"/>
      <c r="H652" s="7"/>
      <c r="I652" s="5"/>
      <c r="J652" s="7" t="str">
        <f>'Ingest Template'!Q652</f>
        <v/>
      </c>
      <c r="K652" s="5" t="str">
        <f>'Ingest Template'!R652</f>
        <v/>
      </c>
      <c r="L652" s="8" t="s">
        <v>38</v>
      </c>
      <c r="M652" s="9"/>
      <c r="N652" s="5"/>
      <c r="O652" s="5"/>
      <c r="P652" s="5"/>
      <c r="Q652" s="5"/>
      <c r="R652" s="5" t="str">
        <f>'Ingest Template'!D652</f>
        <v/>
      </c>
      <c r="S652" s="5" t="str">
        <f>'Ingest Template'!G652</f>
        <v/>
      </c>
      <c r="T652" s="5" t="str">
        <f>'Ingest Template'!H652</f>
        <v/>
      </c>
      <c r="U652" s="5" t="str">
        <f>LOWER(SUBSTITUTE(SUBSTITUTE(SUBSTITUTE(SUBSTITUTE(SUBSTITUTE('Ingest Template'!I652,"https:",""),"www.",""),"/",""),"?hl=en",""),"instagram.com",""))</f>
        <v/>
      </c>
      <c r="V652" s="10" t="str">
        <f>'Ingest Template'!J652</f>
        <v/>
      </c>
      <c r="W652" s="10" t="str">
        <f>'Ingest Template'!K652</f>
        <v/>
      </c>
      <c r="X652" s="5"/>
      <c r="Y652" s="5" t="str">
        <f>SUBSTITUTE(SUBSTITUTE(SUBSTITUTE('Ingest Template'!L652,"http:",""),"https:",""),"/","")</f>
        <v/>
      </c>
      <c r="Z652" s="5" t="str">
        <f t="array" ref="Z652">IF('Ingest Template'!A652="Standard",(IF(ISBLANK('Ingest Template'!M652),"", 'Ingest Template'!M652&amp;"|DAR")),(IF(ISBLANK('Ingest Template'!M652),"", 'Ingest Template'!M652&amp;"|Operations - Core Title")))</f>
        <v/>
      </c>
      <c r="AA652" s="5"/>
      <c r="AB652" s="5" t="str">
        <f>'Ingest Template'!F652</f>
        <v/>
      </c>
      <c r="AC652" s="5"/>
      <c r="AD652" s="5"/>
      <c r="AE652" s="5"/>
      <c r="AF652" s="8"/>
      <c r="AG652" s="5" t="str">
        <f t="array" ref="AG652">IF('Ingest Template'!A652="Standard",(CONCATENATE(IF(ISBLANK('Ingest Template'!N652),"", 'Ingest Template'!N652&amp;"|DAR"),CHAR(10), IF(ISBLANK('Ingest Template'!O652),"", 'Ingest Template'!O652&amp;"|DAR"),CHAR(10), IF(ISBLANK('Ingest Template'!P652),"", 'Ingest Template'!P652&amp;"|DAR"))),(CONCATENATE(IF(ISBLANK('Ingest Template'!N652),"", 'Ingest Template'!N652&amp;"|Operations - Core Title"),CHAR(10), IF(ISBLANK('Ingest Template'!O652),"", 'Ingest Template'!O652&amp;"|Operations - Core Title"),CHAR(10), IF(ISBLANK('Ingest Template'!P652),"", 'Ingest Template'!P652&amp;"|Operations - Core Title"))))</f>
        <v>#|Operations - Core Title
</v>
      </c>
      <c r="AH652" s="5"/>
      <c r="AI652" s="5"/>
      <c r="AJ652" s="5"/>
      <c r="AK652" s="5"/>
      <c r="AL652" s="5"/>
    </row>
    <row r="653">
      <c r="A653" s="5"/>
      <c r="B653" s="5" t="str">
        <f>'Ingest Template'!B653&amp;IF('Ingest Template'!A653 = "Standard", " - DAR","")</f>
        <v/>
      </c>
      <c r="C653" s="6" t="str">
        <f>'Ingest Template'!C653</f>
        <v/>
      </c>
      <c r="D653" s="7" t="str">
        <f>'Ingest Template'!E653</f>
        <v/>
      </c>
      <c r="E653" s="5"/>
      <c r="F653" s="5"/>
      <c r="G653" s="5"/>
      <c r="H653" s="7"/>
      <c r="I653" s="5"/>
      <c r="J653" s="7" t="str">
        <f>'Ingest Template'!Q653</f>
        <v/>
      </c>
      <c r="K653" s="5" t="str">
        <f>'Ingest Template'!R653</f>
        <v/>
      </c>
      <c r="L653" s="8" t="s">
        <v>38</v>
      </c>
      <c r="M653" s="9"/>
      <c r="N653" s="5"/>
      <c r="O653" s="5"/>
      <c r="P653" s="5"/>
      <c r="Q653" s="5"/>
      <c r="R653" s="5" t="str">
        <f>'Ingest Template'!D653</f>
        <v/>
      </c>
      <c r="S653" s="5" t="str">
        <f>'Ingest Template'!G653</f>
        <v/>
      </c>
      <c r="T653" s="5" t="str">
        <f>'Ingest Template'!H653</f>
        <v/>
      </c>
      <c r="U653" s="5" t="str">
        <f>LOWER(SUBSTITUTE(SUBSTITUTE(SUBSTITUTE(SUBSTITUTE(SUBSTITUTE('Ingest Template'!I653,"https:",""),"www.",""),"/",""),"?hl=en",""),"instagram.com",""))</f>
        <v/>
      </c>
      <c r="V653" s="10" t="str">
        <f>'Ingest Template'!J653</f>
        <v/>
      </c>
      <c r="W653" s="10" t="str">
        <f>'Ingest Template'!K653</f>
        <v/>
      </c>
      <c r="X653" s="5"/>
      <c r="Y653" s="5" t="str">
        <f>SUBSTITUTE(SUBSTITUTE(SUBSTITUTE('Ingest Template'!L653,"http:",""),"https:",""),"/","")</f>
        <v/>
      </c>
      <c r="Z653" s="5" t="str">
        <f t="array" ref="Z653">IF('Ingest Template'!A653="Standard",(IF(ISBLANK('Ingest Template'!M653),"", 'Ingest Template'!M653&amp;"|DAR")),(IF(ISBLANK('Ingest Template'!M653),"", 'Ingest Template'!M653&amp;"|Operations - Core Title")))</f>
        <v/>
      </c>
      <c r="AA653" s="5"/>
      <c r="AB653" s="5" t="str">
        <f>'Ingest Template'!F653</f>
        <v/>
      </c>
      <c r="AC653" s="5"/>
      <c r="AD653" s="5"/>
      <c r="AE653" s="5"/>
      <c r="AF653" s="8"/>
      <c r="AG653" s="5" t="str">
        <f t="array" ref="AG653">IF('Ingest Template'!A653="Standard",(CONCATENATE(IF(ISBLANK('Ingest Template'!N653),"", 'Ingest Template'!N653&amp;"|DAR"),CHAR(10), IF(ISBLANK('Ingest Template'!O653),"", 'Ingest Template'!O653&amp;"|DAR"),CHAR(10), IF(ISBLANK('Ingest Template'!P653),"", 'Ingest Template'!P653&amp;"|DAR"))),(CONCATENATE(IF(ISBLANK('Ingest Template'!N653),"", 'Ingest Template'!N653&amp;"|Operations - Core Title"),CHAR(10), IF(ISBLANK('Ingest Template'!O653),"", 'Ingest Template'!O653&amp;"|Operations - Core Title"),CHAR(10), IF(ISBLANK('Ingest Template'!P653),"", 'Ingest Template'!P653&amp;"|Operations - Core Title"))))</f>
        <v>#|Operations - Core Title
</v>
      </c>
      <c r="AH653" s="5"/>
      <c r="AI653" s="5"/>
      <c r="AJ653" s="5"/>
      <c r="AK653" s="5"/>
      <c r="AL653" s="5"/>
    </row>
    <row r="654">
      <c r="A654" s="5"/>
      <c r="B654" s="5" t="str">
        <f>'Ingest Template'!B654&amp;IF('Ingest Template'!A654 = "Standard", " - DAR","")</f>
        <v/>
      </c>
      <c r="C654" s="6" t="str">
        <f>'Ingest Template'!C654</f>
        <v/>
      </c>
      <c r="D654" s="7" t="str">
        <f>'Ingest Template'!E654</f>
        <v/>
      </c>
      <c r="E654" s="5"/>
      <c r="F654" s="5"/>
      <c r="G654" s="5"/>
      <c r="H654" s="7"/>
      <c r="I654" s="5"/>
      <c r="J654" s="7" t="str">
        <f>'Ingest Template'!Q654</f>
        <v/>
      </c>
      <c r="K654" s="5" t="str">
        <f>'Ingest Template'!R654</f>
        <v/>
      </c>
      <c r="L654" s="8" t="s">
        <v>38</v>
      </c>
      <c r="M654" s="9"/>
      <c r="N654" s="5"/>
      <c r="O654" s="5"/>
      <c r="P654" s="5"/>
      <c r="Q654" s="5"/>
      <c r="R654" s="5" t="str">
        <f>'Ingest Template'!D654</f>
        <v/>
      </c>
      <c r="S654" s="5" t="str">
        <f>'Ingest Template'!G654</f>
        <v/>
      </c>
      <c r="T654" s="5" t="str">
        <f>'Ingest Template'!H654</f>
        <v/>
      </c>
      <c r="U654" s="5" t="str">
        <f>LOWER(SUBSTITUTE(SUBSTITUTE(SUBSTITUTE(SUBSTITUTE(SUBSTITUTE('Ingest Template'!I654,"https:",""),"www.",""),"/",""),"?hl=en",""),"instagram.com",""))</f>
        <v/>
      </c>
      <c r="V654" s="10" t="str">
        <f>'Ingest Template'!J654</f>
        <v/>
      </c>
      <c r="W654" s="10" t="str">
        <f>'Ingest Template'!K654</f>
        <v/>
      </c>
      <c r="X654" s="5"/>
      <c r="Y654" s="5" t="str">
        <f>SUBSTITUTE(SUBSTITUTE(SUBSTITUTE('Ingest Template'!L654,"http:",""),"https:",""),"/","")</f>
        <v/>
      </c>
      <c r="Z654" s="5" t="str">
        <f t="array" ref="Z654">IF('Ingest Template'!A654="Standard",(IF(ISBLANK('Ingest Template'!M654),"", 'Ingest Template'!M654&amp;"|DAR")),(IF(ISBLANK('Ingest Template'!M654),"", 'Ingest Template'!M654&amp;"|Operations - Core Title")))</f>
        <v/>
      </c>
      <c r="AA654" s="5"/>
      <c r="AB654" s="5" t="str">
        <f>'Ingest Template'!F654</f>
        <v/>
      </c>
      <c r="AC654" s="5"/>
      <c r="AD654" s="5"/>
      <c r="AE654" s="5"/>
      <c r="AF654" s="8"/>
      <c r="AG654" s="5" t="str">
        <f t="array" ref="AG654">IF('Ingest Template'!A654="Standard",(CONCATENATE(IF(ISBLANK('Ingest Template'!N654),"", 'Ingest Template'!N654&amp;"|DAR"),CHAR(10), IF(ISBLANK('Ingest Template'!O654),"", 'Ingest Template'!O654&amp;"|DAR"),CHAR(10), IF(ISBLANK('Ingest Template'!P654),"", 'Ingest Template'!P654&amp;"|DAR"))),(CONCATENATE(IF(ISBLANK('Ingest Template'!N654),"", 'Ingest Template'!N654&amp;"|Operations - Core Title"),CHAR(10), IF(ISBLANK('Ingest Template'!O654),"", 'Ingest Template'!O654&amp;"|Operations - Core Title"),CHAR(10), IF(ISBLANK('Ingest Template'!P654),"", 'Ingest Template'!P654&amp;"|Operations - Core Title"))))</f>
        <v>#|Operations - Core Title
</v>
      </c>
      <c r="AH654" s="5"/>
      <c r="AI654" s="5"/>
      <c r="AJ654" s="5"/>
      <c r="AK654" s="5"/>
      <c r="AL654" s="5"/>
    </row>
    <row r="655">
      <c r="A655" s="5"/>
      <c r="B655" s="5" t="str">
        <f>'Ingest Template'!B655&amp;IF('Ingest Template'!A655 = "Standard", " - DAR","")</f>
        <v/>
      </c>
      <c r="C655" s="6" t="str">
        <f>'Ingest Template'!C655</f>
        <v/>
      </c>
      <c r="D655" s="7" t="str">
        <f>'Ingest Template'!E655</f>
        <v/>
      </c>
      <c r="E655" s="5"/>
      <c r="F655" s="5"/>
      <c r="G655" s="5"/>
      <c r="H655" s="7"/>
      <c r="I655" s="5"/>
      <c r="J655" s="7" t="str">
        <f>'Ingest Template'!Q655</f>
        <v/>
      </c>
      <c r="K655" s="5" t="str">
        <f>'Ingest Template'!R655</f>
        <v/>
      </c>
      <c r="L655" s="8" t="s">
        <v>38</v>
      </c>
      <c r="M655" s="9"/>
      <c r="N655" s="5"/>
      <c r="O655" s="5"/>
      <c r="P655" s="5"/>
      <c r="Q655" s="5"/>
      <c r="R655" s="5" t="str">
        <f>'Ingest Template'!D655</f>
        <v/>
      </c>
      <c r="S655" s="5" t="str">
        <f>'Ingest Template'!G655</f>
        <v/>
      </c>
      <c r="T655" s="5" t="str">
        <f>'Ingest Template'!H655</f>
        <v/>
      </c>
      <c r="U655" s="5" t="str">
        <f>LOWER(SUBSTITUTE(SUBSTITUTE(SUBSTITUTE(SUBSTITUTE(SUBSTITUTE('Ingest Template'!I655,"https:",""),"www.",""),"/",""),"?hl=en",""),"instagram.com",""))</f>
        <v/>
      </c>
      <c r="V655" s="10" t="str">
        <f>'Ingest Template'!J655</f>
        <v/>
      </c>
      <c r="W655" s="10" t="str">
        <f>'Ingest Template'!K655</f>
        <v/>
      </c>
      <c r="X655" s="5"/>
      <c r="Y655" s="5" t="str">
        <f>SUBSTITUTE(SUBSTITUTE(SUBSTITUTE('Ingest Template'!L655,"http:",""),"https:",""),"/","")</f>
        <v/>
      </c>
      <c r="Z655" s="5" t="str">
        <f t="array" ref="Z655">IF('Ingest Template'!A655="Standard",(IF(ISBLANK('Ingest Template'!M655),"", 'Ingest Template'!M655&amp;"|DAR")),(IF(ISBLANK('Ingest Template'!M655),"", 'Ingest Template'!M655&amp;"|Operations - Core Title")))</f>
        <v/>
      </c>
      <c r="AA655" s="5"/>
      <c r="AB655" s="5" t="str">
        <f>'Ingest Template'!F655</f>
        <v/>
      </c>
      <c r="AC655" s="5"/>
      <c r="AD655" s="5"/>
      <c r="AE655" s="5"/>
      <c r="AF655" s="8"/>
      <c r="AG655" s="5" t="str">
        <f t="array" ref="AG655">IF('Ingest Template'!A655="Standard",(CONCATENATE(IF(ISBLANK('Ingest Template'!N655),"", 'Ingest Template'!N655&amp;"|DAR"),CHAR(10), IF(ISBLANK('Ingest Template'!O655),"", 'Ingest Template'!O655&amp;"|DAR"),CHAR(10), IF(ISBLANK('Ingest Template'!P655),"", 'Ingest Template'!P655&amp;"|DAR"))),(CONCATENATE(IF(ISBLANK('Ingest Template'!N655),"", 'Ingest Template'!N655&amp;"|Operations - Core Title"),CHAR(10), IF(ISBLANK('Ingest Template'!O655),"", 'Ingest Template'!O655&amp;"|Operations - Core Title"),CHAR(10), IF(ISBLANK('Ingest Template'!P655),"", 'Ingest Template'!P655&amp;"|Operations - Core Title"))))</f>
        <v>#|Operations - Core Title
</v>
      </c>
      <c r="AH655" s="5"/>
      <c r="AI655" s="5"/>
      <c r="AJ655" s="5"/>
      <c r="AK655" s="5"/>
      <c r="AL655" s="5"/>
    </row>
    <row r="656">
      <c r="A656" s="5"/>
      <c r="B656" s="5" t="str">
        <f>'Ingest Template'!B656&amp;IF('Ingest Template'!A656 = "Standard", " - DAR","")</f>
        <v/>
      </c>
      <c r="C656" s="6" t="str">
        <f>'Ingest Template'!C656</f>
        <v/>
      </c>
      <c r="D656" s="7" t="str">
        <f>'Ingest Template'!E656</f>
        <v/>
      </c>
      <c r="E656" s="5"/>
      <c r="F656" s="5"/>
      <c r="G656" s="5"/>
      <c r="H656" s="7"/>
      <c r="I656" s="5"/>
      <c r="J656" s="7" t="str">
        <f>'Ingest Template'!Q656</f>
        <v/>
      </c>
      <c r="K656" s="5" t="str">
        <f>'Ingest Template'!R656</f>
        <v/>
      </c>
      <c r="L656" s="8" t="s">
        <v>38</v>
      </c>
      <c r="M656" s="9"/>
      <c r="N656" s="5"/>
      <c r="O656" s="5"/>
      <c r="P656" s="5"/>
      <c r="Q656" s="5"/>
      <c r="R656" s="5" t="str">
        <f>'Ingest Template'!D656</f>
        <v/>
      </c>
      <c r="S656" s="5" t="str">
        <f>'Ingest Template'!G656</f>
        <v/>
      </c>
      <c r="T656" s="5" t="str">
        <f>'Ingest Template'!H656</f>
        <v/>
      </c>
      <c r="U656" s="5" t="str">
        <f>LOWER(SUBSTITUTE(SUBSTITUTE(SUBSTITUTE(SUBSTITUTE(SUBSTITUTE('Ingest Template'!I656,"https:",""),"www.",""),"/",""),"?hl=en",""),"instagram.com",""))</f>
        <v/>
      </c>
      <c r="V656" s="10" t="str">
        <f>'Ingest Template'!J656</f>
        <v/>
      </c>
      <c r="W656" s="10" t="str">
        <f>'Ingest Template'!K656</f>
        <v/>
      </c>
      <c r="X656" s="5"/>
      <c r="Y656" s="5" t="str">
        <f>SUBSTITUTE(SUBSTITUTE(SUBSTITUTE('Ingest Template'!L656,"http:",""),"https:",""),"/","")</f>
        <v/>
      </c>
      <c r="Z656" s="5" t="str">
        <f t="array" ref="Z656">IF('Ingest Template'!A656="Standard",(IF(ISBLANK('Ingest Template'!M656),"", 'Ingest Template'!M656&amp;"|DAR")),(IF(ISBLANK('Ingest Template'!M656),"", 'Ingest Template'!M656&amp;"|Operations - Core Title")))</f>
        <v/>
      </c>
      <c r="AA656" s="5"/>
      <c r="AB656" s="5" t="str">
        <f>'Ingest Template'!F656</f>
        <v/>
      </c>
      <c r="AC656" s="5"/>
      <c r="AD656" s="5"/>
      <c r="AE656" s="5"/>
      <c r="AF656" s="8"/>
      <c r="AG656" s="5" t="str">
        <f t="array" ref="AG656">IF('Ingest Template'!A656="Standard",(CONCATENATE(IF(ISBLANK('Ingest Template'!N656),"", 'Ingest Template'!N656&amp;"|DAR"),CHAR(10), IF(ISBLANK('Ingest Template'!O656),"", 'Ingest Template'!O656&amp;"|DAR"),CHAR(10), IF(ISBLANK('Ingest Template'!P656),"", 'Ingest Template'!P656&amp;"|DAR"))),(CONCATENATE(IF(ISBLANK('Ingest Template'!N656),"", 'Ingest Template'!N656&amp;"|Operations - Core Title"),CHAR(10), IF(ISBLANK('Ingest Template'!O656),"", 'Ingest Template'!O656&amp;"|Operations - Core Title"),CHAR(10), IF(ISBLANK('Ingest Template'!P656),"", 'Ingest Template'!P656&amp;"|Operations - Core Title"))))</f>
        <v>#|Operations - Core Title
</v>
      </c>
      <c r="AH656" s="5"/>
      <c r="AI656" s="5"/>
      <c r="AJ656" s="5"/>
      <c r="AK656" s="5"/>
      <c r="AL656" s="5"/>
    </row>
    <row r="657">
      <c r="A657" s="5"/>
      <c r="B657" s="5" t="str">
        <f>'Ingest Template'!B657&amp;IF('Ingest Template'!A657 = "Standard", " - DAR","")</f>
        <v/>
      </c>
      <c r="C657" s="6" t="str">
        <f>'Ingest Template'!C657</f>
        <v/>
      </c>
      <c r="D657" s="7" t="str">
        <f>'Ingest Template'!E657</f>
        <v/>
      </c>
      <c r="E657" s="5"/>
      <c r="F657" s="5"/>
      <c r="G657" s="5"/>
      <c r="H657" s="7"/>
      <c r="I657" s="5"/>
      <c r="J657" s="7" t="str">
        <f>'Ingest Template'!Q657</f>
        <v/>
      </c>
      <c r="K657" s="5" t="str">
        <f>'Ingest Template'!R657</f>
        <v/>
      </c>
      <c r="L657" s="8" t="s">
        <v>38</v>
      </c>
      <c r="M657" s="9"/>
      <c r="N657" s="5"/>
      <c r="O657" s="5"/>
      <c r="P657" s="5"/>
      <c r="Q657" s="5"/>
      <c r="R657" s="5" t="str">
        <f>'Ingest Template'!D657</f>
        <v/>
      </c>
      <c r="S657" s="5" t="str">
        <f>'Ingest Template'!G657</f>
        <v/>
      </c>
      <c r="T657" s="5" t="str">
        <f>'Ingest Template'!H657</f>
        <v/>
      </c>
      <c r="U657" s="5" t="str">
        <f>LOWER(SUBSTITUTE(SUBSTITUTE(SUBSTITUTE(SUBSTITUTE(SUBSTITUTE('Ingest Template'!I657,"https:",""),"www.",""),"/",""),"?hl=en",""),"instagram.com",""))</f>
        <v/>
      </c>
      <c r="V657" s="10" t="str">
        <f>'Ingest Template'!J657</f>
        <v/>
      </c>
      <c r="W657" s="10" t="str">
        <f>'Ingest Template'!K657</f>
        <v/>
      </c>
      <c r="X657" s="5"/>
      <c r="Y657" s="5" t="str">
        <f>SUBSTITUTE(SUBSTITUTE(SUBSTITUTE('Ingest Template'!L657,"http:",""),"https:",""),"/","")</f>
        <v/>
      </c>
      <c r="Z657" s="5" t="str">
        <f t="array" ref="Z657">IF('Ingest Template'!A657="Standard",(IF(ISBLANK('Ingest Template'!M657),"", 'Ingest Template'!M657&amp;"|DAR")),(IF(ISBLANK('Ingest Template'!M657),"", 'Ingest Template'!M657&amp;"|Operations - Core Title")))</f>
        <v/>
      </c>
      <c r="AA657" s="5"/>
      <c r="AB657" s="5" t="str">
        <f>'Ingest Template'!F657</f>
        <v/>
      </c>
      <c r="AC657" s="5"/>
      <c r="AD657" s="5"/>
      <c r="AE657" s="5"/>
      <c r="AF657" s="8"/>
      <c r="AG657" s="5" t="str">
        <f t="array" ref="AG657">IF('Ingest Template'!A657="Standard",(CONCATENATE(IF(ISBLANK('Ingest Template'!N657),"", 'Ingest Template'!N657&amp;"|DAR"),CHAR(10), IF(ISBLANK('Ingest Template'!O657),"", 'Ingest Template'!O657&amp;"|DAR"),CHAR(10), IF(ISBLANK('Ingest Template'!P657),"", 'Ingest Template'!P657&amp;"|DAR"))),(CONCATENATE(IF(ISBLANK('Ingest Template'!N657),"", 'Ingest Template'!N657&amp;"|Operations - Core Title"),CHAR(10), IF(ISBLANK('Ingest Template'!O657),"", 'Ingest Template'!O657&amp;"|Operations - Core Title"),CHAR(10), IF(ISBLANK('Ingest Template'!P657),"", 'Ingest Template'!P657&amp;"|Operations - Core Title"))))</f>
        <v>#|Operations - Core Title
</v>
      </c>
      <c r="AH657" s="5"/>
      <c r="AI657" s="5"/>
      <c r="AJ657" s="5"/>
      <c r="AK657" s="5"/>
      <c r="AL657" s="5"/>
    </row>
    <row r="658">
      <c r="A658" s="5"/>
      <c r="B658" s="5" t="str">
        <f>'Ingest Template'!B658&amp;IF('Ingest Template'!A658 = "Standard", " - DAR","")</f>
        <v/>
      </c>
      <c r="C658" s="6" t="str">
        <f>'Ingest Template'!C658</f>
        <v/>
      </c>
      <c r="D658" s="7" t="str">
        <f>'Ingest Template'!E658</f>
        <v/>
      </c>
      <c r="E658" s="5"/>
      <c r="F658" s="5"/>
      <c r="G658" s="5"/>
      <c r="H658" s="7"/>
      <c r="I658" s="5"/>
      <c r="J658" s="7" t="str">
        <f>'Ingest Template'!Q658</f>
        <v/>
      </c>
      <c r="K658" s="5" t="str">
        <f>'Ingest Template'!R658</f>
        <v/>
      </c>
      <c r="L658" s="8" t="s">
        <v>38</v>
      </c>
      <c r="M658" s="9"/>
      <c r="N658" s="5"/>
      <c r="O658" s="5"/>
      <c r="P658" s="5"/>
      <c r="Q658" s="5"/>
      <c r="R658" s="5" t="str">
        <f>'Ingest Template'!D658</f>
        <v/>
      </c>
      <c r="S658" s="5" t="str">
        <f>'Ingest Template'!G658</f>
        <v/>
      </c>
      <c r="T658" s="5" t="str">
        <f>'Ingest Template'!H658</f>
        <v/>
      </c>
      <c r="U658" s="5" t="str">
        <f>LOWER(SUBSTITUTE(SUBSTITUTE(SUBSTITUTE(SUBSTITUTE(SUBSTITUTE('Ingest Template'!I658,"https:",""),"www.",""),"/",""),"?hl=en",""),"instagram.com",""))</f>
        <v/>
      </c>
      <c r="V658" s="10" t="str">
        <f>'Ingest Template'!J658</f>
        <v/>
      </c>
      <c r="W658" s="10" t="str">
        <f>'Ingest Template'!K658</f>
        <v/>
      </c>
      <c r="X658" s="5"/>
      <c r="Y658" s="5" t="str">
        <f>SUBSTITUTE(SUBSTITUTE(SUBSTITUTE('Ingest Template'!L658,"http:",""),"https:",""),"/","")</f>
        <v/>
      </c>
      <c r="Z658" s="5" t="str">
        <f t="array" ref="Z658">IF('Ingest Template'!A658="Standard",(IF(ISBLANK('Ingest Template'!M658),"", 'Ingest Template'!M658&amp;"|DAR")),(IF(ISBLANK('Ingest Template'!M658),"", 'Ingest Template'!M658&amp;"|Operations - Core Title")))</f>
        <v/>
      </c>
      <c r="AA658" s="5"/>
      <c r="AB658" s="5" t="str">
        <f>'Ingest Template'!F658</f>
        <v/>
      </c>
      <c r="AC658" s="5"/>
      <c r="AD658" s="5"/>
      <c r="AE658" s="5"/>
      <c r="AF658" s="8"/>
      <c r="AG658" s="5" t="str">
        <f t="array" ref="AG658">IF('Ingest Template'!A658="Standard",(CONCATENATE(IF(ISBLANK('Ingest Template'!N658),"", 'Ingest Template'!N658&amp;"|DAR"),CHAR(10), IF(ISBLANK('Ingest Template'!O658),"", 'Ingest Template'!O658&amp;"|DAR"),CHAR(10), IF(ISBLANK('Ingest Template'!P658),"", 'Ingest Template'!P658&amp;"|DAR"))),(CONCATENATE(IF(ISBLANK('Ingest Template'!N658),"", 'Ingest Template'!N658&amp;"|Operations - Core Title"),CHAR(10), IF(ISBLANK('Ingest Template'!O658),"", 'Ingest Template'!O658&amp;"|Operations - Core Title"),CHAR(10), IF(ISBLANK('Ingest Template'!P658),"", 'Ingest Template'!P658&amp;"|Operations - Core Title"))))</f>
        <v>#|Operations - Core Title
</v>
      </c>
      <c r="AH658" s="5"/>
      <c r="AI658" s="5"/>
      <c r="AJ658" s="5"/>
      <c r="AK658" s="5"/>
      <c r="AL658" s="5"/>
    </row>
    <row r="659">
      <c r="A659" s="5"/>
      <c r="B659" s="5" t="str">
        <f>'Ingest Template'!B659&amp;IF('Ingest Template'!A659 = "Standard", " - DAR","")</f>
        <v/>
      </c>
      <c r="C659" s="6" t="str">
        <f>'Ingest Template'!C659</f>
        <v/>
      </c>
      <c r="D659" s="7" t="str">
        <f>'Ingest Template'!E659</f>
        <v/>
      </c>
      <c r="E659" s="5"/>
      <c r="F659" s="5"/>
      <c r="G659" s="5"/>
      <c r="H659" s="7"/>
      <c r="I659" s="5"/>
      <c r="J659" s="7" t="str">
        <f>'Ingest Template'!Q659</f>
        <v/>
      </c>
      <c r="K659" s="5" t="str">
        <f>'Ingest Template'!R659</f>
        <v/>
      </c>
      <c r="L659" s="8" t="s">
        <v>38</v>
      </c>
      <c r="M659" s="9"/>
      <c r="N659" s="5"/>
      <c r="O659" s="5"/>
      <c r="P659" s="5"/>
      <c r="Q659" s="5"/>
      <c r="R659" s="5" t="str">
        <f>'Ingest Template'!D659</f>
        <v/>
      </c>
      <c r="S659" s="5" t="str">
        <f>'Ingest Template'!G659</f>
        <v/>
      </c>
      <c r="T659" s="5" t="str">
        <f>'Ingest Template'!H659</f>
        <v/>
      </c>
      <c r="U659" s="5" t="str">
        <f>LOWER(SUBSTITUTE(SUBSTITUTE(SUBSTITUTE(SUBSTITUTE(SUBSTITUTE('Ingest Template'!I659,"https:",""),"www.",""),"/",""),"?hl=en",""),"instagram.com",""))</f>
        <v/>
      </c>
      <c r="V659" s="10" t="str">
        <f>'Ingest Template'!J659</f>
        <v/>
      </c>
      <c r="W659" s="10" t="str">
        <f>'Ingest Template'!K659</f>
        <v/>
      </c>
      <c r="X659" s="5"/>
      <c r="Y659" s="5" t="str">
        <f>SUBSTITUTE(SUBSTITUTE(SUBSTITUTE('Ingest Template'!L659,"http:",""),"https:",""),"/","")</f>
        <v/>
      </c>
      <c r="Z659" s="5" t="str">
        <f t="array" ref="Z659">IF('Ingest Template'!A659="Standard",(IF(ISBLANK('Ingest Template'!M659),"", 'Ingest Template'!M659&amp;"|DAR")),(IF(ISBLANK('Ingest Template'!M659),"", 'Ingest Template'!M659&amp;"|Operations - Core Title")))</f>
        <v/>
      </c>
      <c r="AA659" s="5"/>
      <c r="AB659" s="5" t="str">
        <f>'Ingest Template'!F659</f>
        <v/>
      </c>
      <c r="AC659" s="5"/>
      <c r="AD659" s="5"/>
      <c r="AE659" s="5"/>
      <c r="AF659" s="8"/>
      <c r="AG659" s="5" t="str">
        <f t="array" ref="AG659">IF('Ingest Template'!A659="Standard",(CONCATENATE(IF(ISBLANK('Ingest Template'!N659),"", 'Ingest Template'!N659&amp;"|DAR"),CHAR(10), IF(ISBLANK('Ingest Template'!O659),"", 'Ingest Template'!O659&amp;"|DAR"),CHAR(10), IF(ISBLANK('Ingest Template'!P659),"", 'Ingest Template'!P659&amp;"|DAR"))),(CONCATENATE(IF(ISBLANK('Ingest Template'!N659),"", 'Ingest Template'!N659&amp;"|Operations - Core Title"),CHAR(10), IF(ISBLANK('Ingest Template'!O659),"", 'Ingest Template'!O659&amp;"|Operations - Core Title"),CHAR(10), IF(ISBLANK('Ingest Template'!P659),"", 'Ingest Template'!P659&amp;"|Operations - Core Title"))))</f>
        <v>#|Operations - Core Title
</v>
      </c>
      <c r="AH659" s="5"/>
      <c r="AI659" s="5"/>
      <c r="AJ659" s="5"/>
      <c r="AK659" s="5"/>
      <c r="AL659" s="5"/>
    </row>
    <row r="660">
      <c r="A660" s="5"/>
      <c r="B660" s="5" t="str">
        <f>'Ingest Template'!B660&amp;IF('Ingest Template'!A660 = "Standard", " - DAR","")</f>
        <v/>
      </c>
      <c r="C660" s="6" t="str">
        <f>'Ingest Template'!C660</f>
        <v/>
      </c>
      <c r="D660" s="7" t="str">
        <f>'Ingest Template'!E660</f>
        <v/>
      </c>
      <c r="E660" s="5"/>
      <c r="F660" s="5"/>
      <c r="G660" s="5"/>
      <c r="H660" s="7"/>
      <c r="I660" s="5"/>
      <c r="J660" s="7" t="str">
        <f>'Ingest Template'!Q660</f>
        <v/>
      </c>
      <c r="K660" s="5" t="str">
        <f>'Ingest Template'!R660</f>
        <v/>
      </c>
      <c r="L660" s="8" t="s">
        <v>38</v>
      </c>
      <c r="M660" s="9"/>
      <c r="N660" s="5"/>
      <c r="O660" s="5"/>
      <c r="P660" s="5"/>
      <c r="Q660" s="5"/>
      <c r="R660" s="5" t="str">
        <f>'Ingest Template'!D660</f>
        <v/>
      </c>
      <c r="S660" s="5" t="str">
        <f>'Ingest Template'!G660</f>
        <v/>
      </c>
      <c r="T660" s="5" t="str">
        <f>'Ingest Template'!H660</f>
        <v/>
      </c>
      <c r="U660" s="5" t="str">
        <f>LOWER(SUBSTITUTE(SUBSTITUTE(SUBSTITUTE(SUBSTITUTE(SUBSTITUTE('Ingest Template'!I660,"https:",""),"www.",""),"/",""),"?hl=en",""),"instagram.com",""))</f>
        <v/>
      </c>
      <c r="V660" s="10" t="str">
        <f>'Ingest Template'!J660</f>
        <v/>
      </c>
      <c r="W660" s="10" t="str">
        <f>'Ingest Template'!K660</f>
        <v/>
      </c>
      <c r="X660" s="5"/>
      <c r="Y660" s="5" t="str">
        <f>SUBSTITUTE(SUBSTITUTE(SUBSTITUTE('Ingest Template'!L660,"http:",""),"https:",""),"/","")</f>
        <v/>
      </c>
      <c r="Z660" s="5" t="str">
        <f t="array" ref="Z660">IF('Ingest Template'!A660="Standard",(IF(ISBLANK('Ingest Template'!M660),"", 'Ingest Template'!M660&amp;"|DAR")),(IF(ISBLANK('Ingest Template'!M660),"", 'Ingest Template'!M660&amp;"|Operations - Core Title")))</f>
        <v/>
      </c>
      <c r="AA660" s="5"/>
      <c r="AB660" s="5" t="str">
        <f>'Ingest Template'!F660</f>
        <v/>
      </c>
      <c r="AC660" s="5"/>
      <c r="AD660" s="5"/>
      <c r="AE660" s="5"/>
      <c r="AF660" s="8"/>
      <c r="AG660" s="5" t="str">
        <f t="array" ref="AG660">IF('Ingest Template'!A660="Standard",(CONCATENATE(IF(ISBLANK('Ingest Template'!N660),"", 'Ingest Template'!N660&amp;"|DAR"),CHAR(10), IF(ISBLANK('Ingest Template'!O660),"", 'Ingest Template'!O660&amp;"|DAR"),CHAR(10), IF(ISBLANK('Ingest Template'!P660),"", 'Ingest Template'!P660&amp;"|DAR"))),(CONCATENATE(IF(ISBLANK('Ingest Template'!N660),"", 'Ingest Template'!N660&amp;"|Operations - Core Title"),CHAR(10), IF(ISBLANK('Ingest Template'!O660),"", 'Ingest Template'!O660&amp;"|Operations - Core Title"),CHAR(10), IF(ISBLANK('Ingest Template'!P660),"", 'Ingest Template'!P660&amp;"|Operations - Core Title"))))</f>
        <v>#|Operations - Core Title
</v>
      </c>
      <c r="AH660" s="5"/>
      <c r="AI660" s="5"/>
      <c r="AJ660" s="5"/>
      <c r="AK660" s="5"/>
      <c r="AL660" s="5"/>
    </row>
    <row r="661">
      <c r="A661" s="5"/>
      <c r="B661" s="5" t="str">
        <f>'Ingest Template'!B661&amp;IF('Ingest Template'!A661 = "Standard", " - DAR","")</f>
        <v/>
      </c>
      <c r="C661" s="6" t="str">
        <f>'Ingest Template'!C661</f>
        <v/>
      </c>
      <c r="D661" s="7" t="str">
        <f>'Ingest Template'!E661</f>
        <v/>
      </c>
      <c r="E661" s="5"/>
      <c r="F661" s="5"/>
      <c r="G661" s="5"/>
      <c r="H661" s="7"/>
      <c r="I661" s="5"/>
      <c r="J661" s="7" t="str">
        <f>'Ingest Template'!Q661</f>
        <v/>
      </c>
      <c r="K661" s="5" t="str">
        <f>'Ingest Template'!R661</f>
        <v/>
      </c>
      <c r="L661" s="8" t="s">
        <v>38</v>
      </c>
      <c r="M661" s="9"/>
      <c r="N661" s="5"/>
      <c r="O661" s="5"/>
      <c r="P661" s="5"/>
      <c r="Q661" s="5"/>
      <c r="R661" s="5" t="str">
        <f>'Ingest Template'!D661</f>
        <v/>
      </c>
      <c r="S661" s="5" t="str">
        <f>'Ingest Template'!G661</f>
        <v/>
      </c>
      <c r="T661" s="5" t="str">
        <f>'Ingest Template'!H661</f>
        <v/>
      </c>
      <c r="U661" s="5" t="str">
        <f>LOWER(SUBSTITUTE(SUBSTITUTE(SUBSTITUTE(SUBSTITUTE(SUBSTITUTE('Ingest Template'!I661,"https:",""),"www.",""),"/",""),"?hl=en",""),"instagram.com",""))</f>
        <v/>
      </c>
      <c r="V661" s="10" t="str">
        <f>'Ingest Template'!J661</f>
        <v/>
      </c>
      <c r="W661" s="10" t="str">
        <f>'Ingest Template'!K661</f>
        <v/>
      </c>
      <c r="X661" s="5"/>
      <c r="Y661" s="5" t="str">
        <f>SUBSTITUTE(SUBSTITUTE(SUBSTITUTE('Ingest Template'!L661,"http:",""),"https:",""),"/","")</f>
        <v/>
      </c>
      <c r="Z661" s="5" t="str">
        <f t="array" ref="Z661">IF('Ingest Template'!A661="Standard",(IF(ISBLANK('Ingest Template'!M661),"", 'Ingest Template'!M661&amp;"|DAR")),(IF(ISBLANK('Ingest Template'!M661),"", 'Ingest Template'!M661&amp;"|Operations - Core Title")))</f>
        <v/>
      </c>
      <c r="AA661" s="5"/>
      <c r="AB661" s="5" t="str">
        <f>'Ingest Template'!F661</f>
        <v/>
      </c>
      <c r="AC661" s="5"/>
      <c r="AD661" s="5"/>
      <c r="AE661" s="5"/>
      <c r="AF661" s="8"/>
      <c r="AG661" s="5" t="str">
        <f t="array" ref="AG661">IF('Ingest Template'!A661="Standard",(CONCATENATE(IF(ISBLANK('Ingest Template'!N661),"", 'Ingest Template'!N661&amp;"|DAR"),CHAR(10), IF(ISBLANK('Ingest Template'!O661),"", 'Ingest Template'!O661&amp;"|DAR"),CHAR(10), IF(ISBLANK('Ingest Template'!P661),"", 'Ingest Template'!P661&amp;"|DAR"))),(CONCATENATE(IF(ISBLANK('Ingest Template'!N661),"", 'Ingest Template'!N661&amp;"|Operations - Core Title"),CHAR(10), IF(ISBLANK('Ingest Template'!O661),"", 'Ingest Template'!O661&amp;"|Operations - Core Title"),CHAR(10), IF(ISBLANK('Ingest Template'!P661),"", 'Ingest Template'!P661&amp;"|Operations - Core Title"))))</f>
        <v>#|Operations - Core Title
</v>
      </c>
      <c r="AH661" s="5"/>
      <c r="AI661" s="5"/>
      <c r="AJ661" s="5"/>
      <c r="AK661" s="5"/>
      <c r="AL661" s="5"/>
    </row>
    <row r="662">
      <c r="A662" s="5"/>
      <c r="B662" s="5" t="str">
        <f>'Ingest Template'!B662&amp;IF('Ingest Template'!A662 = "Standard", " - DAR","")</f>
        <v/>
      </c>
      <c r="C662" s="6" t="str">
        <f>'Ingest Template'!C662</f>
        <v/>
      </c>
      <c r="D662" s="7" t="str">
        <f>'Ingest Template'!E662</f>
        <v/>
      </c>
      <c r="E662" s="5"/>
      <c r="F662" s="5"/>
      <c r="G662" s="5"/>
      <c r="H662" s="7"/>
      <c r="I662" s="5"/>
      <c r="J662" s="7" t="str">
        <f>'Ingest Template'!Q662</f>
        <v/>
      </c>
      <c r="K662" s="5" t="str">
        <f>'Ingest Template'!R662</f>
        <v/>
      </c>
      <c r="L662" s="8" t="s">
        <v>38</v>
      </c>
      <c r="M662" s="9"/>
      <c r="N662" s="5"/>
      <c r="O662" s="5"/>
      <c r="P662" s="5"/>
      <c r="Q662" s="5"/>
      <c r="R662" s="5" t="str">
        <f>'Ingest Template'!D662</f>
        <v/>
      </c>
      <c r="S662" s="5" t="str">
        <f>'Ingest Template'!G662</f>
        <v/>
      </c>
      <c r="T662" s="5" t="str">
        <f>'Ingest Template'!H662</f>
        <v/>
      </c>
      <c r="U662" s="5" t="str">
        <f>LOWER(SUBSTITUTE(SUBSTITUTE(SUBSTITUTE(SUBSTITUTE(SUBSTITUTE('Ingest Template'!I662,"https:",""),"www.",""),"/",""),"?hl=en",""),"instagram.com",""))</f>
        <v/>
      </c>
      <c r="V662" s="10" t="str">
        <f>'Ingest Template'!J662</f>
        <v/>
      </c>
      <c r="W662" s="10" t="str">
        <f>'Ingest Template'!K662</f>
        <v/>
      </c>
      <c r="X662" s="5"/>
      <c r="Y662" s="5" t="str">
        <f>SUBSTITUTE(SUBSTITUTE(SUBSTITUTE('Ingest Template'!L662,"http:",""),"https:",""),"/","")</f>
        <v/>
      </c>
      <c r="Z662" s="5" t="str">
        <f t="array" ref="Z662">IF('Ingest Template'!A662="Standard",(IF(ISBLANK('Ingest Template'!M662),"", 'Ingest Template'!M662&amp;"|DAR")),(IF(ISBLANK('Ingest Template'!M662),"", 'Ingest Template'!M662&amp;"|Operations - Core Title")))</f>
        <v/>
      </c>
      <c r="AA662" s="5"/>
      <c r="AB662" s="5" t="str">
        <f>'Ingest Template'!F662</f>
        <v/>
      </c>
      <c r="AC662" s="5"/>
      <c r="AD662" s="5"/>
      <c r="AE662" s="5"/>
      <c r="AF662" s="8"/>
      <c r="AG662" s="5" t="str">
        <f t="array" ref="AG662">IF('Ingest Template'!A662="Standard",(CONCATENATE(IF(ISBLANK('Ingest Template'!N662),"", 'Ingest Template'!N662&amp;"|DAR"),CHAR(10), IF(ISBLANK('Ingest Template'!O662),"", 'Ingest Template'!O662&amp;"|DAR"),CHAR(10), IF(ISBLANK('Ingest Template'!P662),"", 'Ingest Template'!P662&amp;"|DAR"))),(CONCATENATE(IF(ISBLANK('Ingest Template'!N662),"", 'Ingest Template'!N662&amp;"|Operations - Core Title"),CHAR(10), IF(ISBLANK('Ingest Template'!O662),"", 'Ingest Template'!O662&amp;"|Operations - Core Title"),CHAR(10), IF(ISBLANK('Ingest Template'!P662),"", 'Ingest Template'!P662&amp;"|Operations - Core Title"))))</f>
        <v>#|Operations - Core Title
</v>
      </c>
      <c r="AH662" s="5"/>
      <c r="AI662" s="5"/>
      <c r="AJ662" s="5"/>
      <c r="AK662" s="5"/>
      <c r="AL662" s="5"/>
    </row>
    <row r="663">
      <c r="A663" s="5"/>
      <c r="B663" s="5" t="str">
        <f>'Ingest Template'!B663&amp;IF('Ingest Template'!A663 = "Standard", " - DAR","")</f>
        <v/>
      </c>
      <c r="C663" s="6" t="str">
        <f>'Ingest Template'!C663</f>
        <v/>
      </c>
      <c r="D663" s="7" t="str">
        <f>'Ingest Template'!E663</f>
        <v/>
      </c>
      <c r="E663" s="5"/>
      <c r="F663" s="5"/>
      <c r="G663" s="5"/>
      <c r="H663" s="7"/>
      <c r="I663" s="5"/>
      <c r="J663" s="7" t="str">
        <f>'Ingest Template'!Q663</f>
        <v/>
      </c>
      <c r="K663" s="5" t="str">
        <f>'Ingest Template'!R663</f>
        <v/>
      </c>
      <c r="L663" s="8" t="s">
        <v>38</v>
      </c>
      <c r="M663" s="9"/>
      <c r="N663" s="5"/>
      <c r="O663" s="5"/>
      <c r="P663" s="5"/>
      <c r="Q663" s="5"/>
      <c r="R663" s="5" t="str">
        <f>'Ingest Template'!D663</f>
        <v/>
      </c>
      <c r="S663" s="5" t="str">
        <f>'Ingest Template'!G663</f>
        <v/>
      </c>
      <c r="T663" s="5" t="str">
        <f>'Ingest Template'!H663</f>
        <v/>
      </c>
      <c r="U663" s="5" t="str">
        <f>LOWER(SUBSTITUTE(SUBSTITUTE(SUBSTITUTE(SUBSTITUTE(SUBSTITUTE('Ingest Template'!I663,"https:",""),"www.",""),"/",""),"?hl=en",""),"instagram.com",""))</f>
        <v/>
      </c>
      <c r="V663" s="10" t="str">
        <f>'Ingest Template'!J663</f>
        <v/>
      </c>
      <c r="W663" s="10" t="str">
        <f>'Ingest Template'!K663</f>
        <v/>
      </c>
      <c r="X663" s="5"/>
      <c r="Y663" s="5" t="str">
        <f>SUBSTITUTE(SUBSTITUTE(SUBSTITUTE('Ingest Template'!L663,"http:",""),"https:",""),"/","")</f>
        <v/>
      </c>
      <c r="Z663" s="5" t="str">
        <f t="array" ref="Z663">IF('Ingest Template'!A663="Standard",(IF(ISBLANK('Ingest Template'!M663),"", 'Ingest Template'!M663&amp;"|DAR")),(IF(ISBLANK('Ingest Template'!M663),"", 'Ingest Template'!M663&amp;"|Operations - Core Title")))</f>
        <v/>
      </c>
      <c r="AA663" s="5"/>
      <c r="AB663" s="5" t="str">
        <f>'Ingest Template'!F663</f>
        <v/>
      </c>
      <c r="AC663" s="5"/>
      <c r="AD663" s="5"/>
      <c r="AE663" s="5"/>
      <c r="AF663" s="8"/>
      <c r="AG663" s="5" t="str">
        <f t="array" ref="AG663">IF('Ingest Template'!A663="Standard",(CONCATENATE(IF(ISBLANK('Ingest Template'!N663),"", 'Ingest Template'!N663&amp;"|DAR"),CHAR(10), IF(ISBLANK('Ingest Template'!O663),"", 'Ingest Template'!O663&amp;"|DAR"),CHAR(10), IF(ISBLANK('Ingest Template'!P663),"", 'Ingest Template'!P663&amp;"|DAR"))),(CONCATENATE(IF(ISBLANK('Ingest Template'!N663),"", 'Ingest Template'!N663&amp;"|Operations - Core Title"),CHAR(10), IF(ISBLANK('Ingest Template'!O663),"", 'Ingest Template'!O663&amp;"|Operations - Core Title"),CHAR(10), IF(ISBLANK('Ingest Template'!P663),"", 'Ingest Template'!P663&amp;"|Operations - Core Title"))))</f>
        <v>#|Operations - Core Title
</v>
      </c>
      <c r="AH663" s="5"/>
      <c r="AI663" s="5"/>
      <c r="AJ663" s="5"/>
      <c r="AK663" s="5"/>
      <c r="AL663" s="5"/>
    </row>
    <row r="664">
      <c r="A664" s="5"/>
      <c r="B664" s="5" t="str">
        <f>'Ingest Template'!B664&amp;IF('Ingest Template'!A664 = "Standard", " - DAR","")</f>
        <v/>
      </c>
      <c r="C664" s="6" t="str">
        <f>'Ingest Template'!C664</f>
        <v/>
      </c>
      <c r="D664" s="7" t="str">
        <f>'Ingest Template'!E664</f>
        <v/>
      </c>
      <c r="E664" s="5"/>
      <c r="F664" s="5"/>
      <c r="G664" s="5"/>
      <c r="H664" s="7"/>
      <c r="I664" s="5"/>
      <c r="J664" s="7" t="str">
        <f>'Ingest Template'!Q664</f>
        <v/>
      </c>
      <c r="K664" s="5" t="str">
        <f>'Ingest Template'!R664</f>
        <v/>
      </c>
      <c r="L664" s="8" t="s">
        <v>38</v>
      </c>
      <c r="M664" s="9"/>
      <c r="N664" s="5"/>
      <c r="O664" s="5"/>
      <c r="P664" s="5"/>
      <c r="Q664" s="5"/>
      <c r="R664" s="5" t="str">
        <f>'Ingest Template'!D664</f>
        <v/>
      </c>
      <c r="S664" s="5" t="str">
        <f>'Ingest Template'!G664</f>
        <v/>
      </c>
      <c r="T664" s="5" t="str">
        <f>'Ingest Template'!H664</f>
        <v/>
      </c>
      <c r="U664" s="5" t="str">
        <f>LOWER(SUBSTITUTE(SUBSTITUTE(SUBSTITUTE(SUBSTITUTE(SUBSTITUTE('Ingest Template'!I664,"https:",""),"www.",""),"/",""),"?hl=en",""),"instagram.com",""))</f>
        <v/>
      </c>
      <c r="V664" s="10" t="str">
        <f>'Ingest Template'!J664</f>
        <v/>
      </c>
      <c r="W664" s="10" t="str">
        <f>'Ingest Template'!K664</f>
        <v/>
      </c>
      <c r="X664" s="5"/>
      <c r="Y664" s="5" t="str">
        <f>SUBSTITUTE(SUBSTITUTE(SUBSTITUTE('Ingest Template'!L664,"http:",""),"https:",""),"/","")</f>
        <v/>
      </c>
      <c r="Z664" s="5" t="str">
        <f t="array" ref="Z664">IF('Ingest Template'!A664="Standard",(IF(ISBLANK('Ingest Template'!M664),"", 'Ingest Template'!M664&amp;"|DAR")),(IF(ISBLANK('Ingest Template'!M664),"", 'Ingest Template'!M664&amp;"|Operations - Core Title")))</f>
        <v/>
      </c>
      <c r="AA664" s="5"/>
      <c r="AB664" s="5" t="str">
        <f>'Ingest Template'!F664</f>
        <v/>
      </c>
      <c r="AC664" s="5"/>
      <c r="AD664" s="5"/>
      <c r="AE664" s="5"/>
      <c r="AF664" s="8"/>
      <c r="AG664" s="5" t="str">
        <f t="array" ref="AG664">IF('Ingest Template'!A664="Standard",(CONCATENATE(IF(ISBLANK('Ingest Template'!N664),"", 'Ingest Template'!N664&amp;"|DAR"),CHAR(10), IF(ISBLANK('Ingest Template'!O664),"", 'Ingest Template'!O664&amp;"|DAR"),CHAR(10), IF(ISBLANK('Ingest Template'!P664),"", 'Ingest Template'!P664&amp;"|DAR"))),(CONCATENATE(IF(ISBLANK('Ingest Template'!N664),"", 'Ingest Template'!N664&amp;"|Operations - Core Title"),CHAR(10), IF(ISBLANK('Ingest Template'!O664),"", 'Ingest Template'!O664&amp;"|Operations - Core Title"),CHAR(10), IF(ISBLANK('Ingest Template'!P664),"", 'Ingest Template'!P664&amp;"|Operations - Core Title"))))</f>
        <v>#|Operations - Core Title
</v>
      </c>
      <c r="AH664" s="5"/>
      <c r="AI664" s="5"/>
      <c r="AJ664" s="5"/>
      <c r="AK664" s="5"/>
      <c r="AL664" s="5"/>
    </row>
    <row r="665">
      <c r="A665" s="5"/>
      <c r="B665" s="5" t="str">
        <f>'Ingest Template'!B665&amp;IF('Ingest Template'!A665 = "Standard", " - DAR","")</f>
        <v/>
      </c>
      <c r="C665" s="6" t="str">
        <f>'Ingest Template'!C665</f>
        <v/>
      </c>
      <c r="D665" s="7" t="str">
        <f>'Ingest Template'!E665</f>
        <v/>
      </c>
      <c r="E665" s="5"/>
      <c r="F665" s="5"/>
      <c r="G665" s="5"/>
      <c r="H665" s="7"/>
      <c r="I665" s="5"/>
      <c r="J665" s="7" t="str">
        <f>'Ingest Template'!Q665</f>
        <v/>
      </c>
      <c r="K665" s="5" t="str">
        <f>'Ingest Template'!R665</f>
        <v/>
      </c>
      <c r="L665" s="8" t="s">
        <v>38</v>
      </c>
      <c r="M665" s="9"/>
      <c r="N665" s="5"/>
      <c r="O665" s="5"/>
      <c r="P665" s="5"/>
      <c r="Q665" s="5"/>
      <c r="R665" s="5" t="str">
        <f>'Ingest Template'!D665</f>
        <v/>
      </c>
      <c r="S665" s="5" t="str">
        <f>'Ingest Template'!G665</f>
        <v/>
      </c>
      <c r="T665" s="5" t="str">
        <f>'Ingest Template'!H665</f>
        <v/>
      </c>
      <c r="U665" s="5" t="str">
        <f>LOWER(SUBSTITUTE(SUBSTITUTE(SUBSTITUTE(SUBSTITUTE(SUBSTITUTE('Ingest Template'!I665,"https:",""),"www.",""),"/",""),"?hl=en",""),"instagram.com",""))</f>
        <v/>
      </c>
      <c r="V665" s="10" t="str">
        <f>'Ingest Template'!J665</f>
        <v/>
      </c>
      <c r="W665" s="10" t="str">
        <f>'Ingest Template'!K665</f>
        <v/>
      </c>
      <c r="X665" s="5"/>
      <c r="Y665" s="5" t="str">
        <f>SUBSTITUTE(SUBSTITUTE(SUBSTITUTE('Ingest Template'!L665,"http:",""),"https:",""),"/","")</f>
        <v/>
      </c>
      <c r="Z665" s="5" t="str">
        <f t="array" ref="Z665">IF('Ingest Template'!A665="Standard",(IF(ISBLANK('Ingest Template'!M665),"", 'Ingest Template'!M665&amp;"|DAR")),(IF(ISBLANK('Ingest Template'!M665),"", 'Ingest Template'!M665&amp;"|Operations - Core Title")))</f>
        <v/>
      </c>
      <c r="AA665" s="5"/>
      <c r="AB665" s="5" t="str">
        <f>'Ingest Template'!F665</f>
        <v/>
      </c>
      <c r="AC665" s="5"/>
      <c r="AD665" s="5"/>
      <c r="AE665" s="5"/>
      <c r="AF665" s="8"/>
      <c r="AG665" s="5" t="str">
        <f t="array" ref="AG665">IF('Ingest Template'!A665="Standard",(CONCATENATE(IF(ISBLANK('Ingest Template'!N665),"", 'Ingest Template'!N665&amp;"|DAR"),CHAR(10), IF(ISBLANK('Ingest Template'!O665),"", 'Ingest Template'!O665&amp;"|DAR"),CHAR(10), IF(ISBLANK('Ingest Template'!P665),"", 'Ingest Template'!P665&amp;"|DAR"))),(CONCATENATE(IF(ISBLANK('Ingest Template'!N665),"", 'Ingest Template'!N665&amp;"|Operations - Core Title"),CHAR(10), IF(ISBLANK('Ingest Template'!O665),"", 'Ingest Template'!O665&amp;"|Operations - Core Title"),CHAR(10), IF(ISBLANK('Ingest Template'!P665),"", 'Ingest Template'!P665&amp;"|Operations - Core Title"))))</f>
        <v>#|Operations - Core Title
</v>
      </c>
      <c r="AH665" s="5"/>
      <c r="AI665" s="5"/>
      <c r="AJ665" s="5"/>
      <c r="AK665" s="5"/>
      <c r="AL665" s="5"/>
    </row>
    <row r="666">
      <c r="A666" s="5"/>
      <c r="B666" s="5" t="str">
        <f>'Ingest Template'!B666&amp;IF('Ingest Template'!A666 = "Standard", " - DAR","")</f>
        <v/>
      </c>
      <c r="C666" s="6" t="str">
        <f>'Ingest Template'!C666</f>
        <v/>
      </c>
      <c r="D666" s="7" t="str">
        <f>'Ingest Template'!E666</f>
        <v/>
      </c>
      <c r="E666" s="5"/>
      <c r="F666" s="5"/>
      <c r="G666" s="5"/>
      <c r="H666" s="7"/>
      <c r="I666" s="5"/>
      <c r="J666" s="7" t="str">
        <f>'Ingest Template'!Q666</f>
        <v/>
      </c>
      <c r="K666" s="5" t="str">
        <f>'Ingest Template'!R666</f>
        <v/>
      </c>
      <c r="L666" s="8" t="s">
        <v>38</v>
      </c>
      <c r="M666" s="9"/>
      <c r="N666" s="5"/>
      <c r="O666" s="5"/>
      <c r="P666" s="5"/>
      <c r="Q666" s="5"/>
      <c r="R666" s="5" t="str">
        <f>'Ingest Template'!D666</f>
        <v/>
      </c>
      <c r="S666" s="5" t="str">
        <f>'Ingest Template'!G666</f>
        <v/>
      </c>
      <c r="T666" s="5" t="str">
        <f>'Ingest Template'!H666</f>
        <v/>
      </c>
      <c r="U666" s="5" t="str">
        <f>LOWER(SUBSTITUTE(SUBSTITUTE(SUBSTITUTE(SUBSTITUTE(SUBSTITUTE('Ingest Template'!I666,"https:",""),"www.",""),"/",""),"?hl=en",""),"instagram.com",""))</f>
        <v/>
      </c>
      <c r="V666" s="10" t="str">
        <f>'Ingest Template'!J666</f>
        <v/>
      </c>
      <c r="W666" s="10" t="str">
        <f>'Ingest Template'!K666</f>
        <v/>
      </c>
      <c r="X666" s="5"/>
      <c r="Y666" s="5" t="str">
        <f>SUBSTITUTE(SUBSTITUTE(SUBSTITUTE('Ingest Template'!L666,"http:",""),"https:",""),"/","")</f>
        <v/>
      </c>
      <c r="Z666" s="5" t="str">
        <f t="array" ref="Z666">IF('Ingest Template'!A666="Standard",(IF(ISBLANK('Ingest Template'!M666),"", 'Ingest Template'!M666&amp;"|DAR")),(IF(ISBLANK('Ingest Template'!M666),"", 'Ingest Template'!M666&amp;"|Operations - Core Title")))</f>
        <v/>
      </c>
      <c r="AA666" s="5"/>
      <c r="AB666" s="5" t="str">
        <f>'Ingest Template'!F666</f>
        <v/>
      </c>
      <c r="AC666" s="5"/>
      <c r="AD666" s="5"/>
      <c r="AE666" s="5"/>
      <c r="AF666" s="8"/>
      <c r="AG666" s="5" t="str">
        <f t="array" ref="AG666">IF('Ingest Template'!A666="Standard",(CONCATENATE(IF(ISBLANK('Ingest Template'!N666),"", 'Ingest Template'!N666&amp;"|DAR"),CHAR(10), IF(ISBLANK('Ingest Template'!O666),"", 'Ingest Template'!O666&amp;"|DAR"),CHAR(10), IF(ISBLANK('Ingest Template'!P666),"", 'Ingest Template'!P666&amp;"|DAR"))),(CONCATENATE(IF(ISBLANK('Ingest Template'!N666),"", 'Ingest Template'!N666&amp;"|Operations - Core Title"),CHAR(10), IF(ISBLANK('Ingest Template'!O666),"", 'Ingest Template'!O666&amp;"|Operations - Core Title"),CHAR(10), IF(ISBLANK('Ingest Template'!P666),"", 'Ingest Template'!P666&amp;"|Operations - Core Title"))))</f>
        <v>#|Operations - Core Title
</v>
      </c>
      <c r="AH666" s="5"/>
      <c r="AI666" s="5"/>
      <c r="AJ666" s="5"/>
      <c r="AK666" s="5"/>
      <c r="AL666" s="5"/>
    </row>
    <row r="667">
      <c r="A667" s="5"/>
      <c r="B667" s="5" t="str">
        <f>'Ingest Template'!B667&amp;IF('Ingest Template'!A667 = "Standard", " - DAR","")</f>
        <v/>
      </c>
      <c r="C667" s="6" t="str">
        <f>'Ingest Template'!C667</f>
        <v/>
      </c>
      <c r="D667" s="7" t="str">
        <f>'Ingest Template'!E667</f>
        <v/>
      </c>
      <c r="E667" s="5"/>
      <c r="F667" s="5"/>
      <c r="G667" s="5"/>
      <c r="H667" s="7"/>
      <c r="I667" s="5"/>
      <c r="J667" s="7" t="str">
        <f>'Ingest Template'!Q667</f>
        <v/>
      </c>
      <c r="K667" s="5" t="str">
        <f>'Ingest Template'!R667</f>
        <v/>
      </c>
      <c r="L667" s="8" t="s">
        <v>38</v>
      </c>
      <c r="M667" s="9"/>
      <c r="N667" s="5"/>
      <c r="O667" s="5"/>
      <c r="P667" s="5"/>
      <c r="Q667" s="5"/>
      <c r="R667" s="5" t="str">
        <f>'Ingest Template'!D667</f>
        <v/>
      </c>
      <c r="S667" s="5" t="str">
        <f>'Ingest Template'!G667</f>
        <v/>
      </c>
      <c r="T667" s="5" t="str">
        <f>'Ingest Template'!H667</f>
        <v/>
      </c>
      <c r="U667" s="5" t="str">
        <f>LOWER(SUBSTITUTE(SUBSTITUTE(SUBSTITUTE(SUBSTITUTE(SUBSTITUTE('Ingest Template'!I667,"https:",""),"www.",""),"/",""),"?hl=en",""),"instagram.com",""))</f>
        <v/>
      </c>
      <c r="V667" s="10" t="str">
        <f>'Ingest Template'!J667</f>
        <v/>
      </c>
      <c r="W667" s="10" t="str">
        <f>'Ingest Template'!K667</f>
        <v/>
      </c>
      <c r="X667" s="5"/>
      <c r="Y667" s="5" t="str">
        <f>SUBSTITUTE(SUBSTITUTE(SUBSTITUTE('Ingest Template'!L667,"http:",""),"https:",""),"/","")</f>
        <v/>
      </c>
      <c r="Z667" s="5" t="str">
        <f t="array" ref="Z667">IF('Ingest Template'!A667="Standard",(IF(ISBLANK('Ingest Template'!M667),"", 'Ingest Template'!M667&amp;"|DAR")),(IF(ISBLANK('Ingest Template'!M667),"", 'Ingest Template'!M667&amp;"|Operations - Core Title")))</f>
        <v/>
      </c>
      <c r="AA667" s="5"/>
      <c r="AB667" s="5" t="str">
        <f>'Ingest Template'!F667</f>
        <v/>
      </c>
      <c r="AC667" s="5"/>
      <c r="AD667" s="5"/>
      <c r="AE667" s="5"/>
      <c r="AF667" s="8"/>
      <c r="AG667" s="5" t="str">
        <f t="array" ref="AG667">IF('Ingest Template'!A667="Standard",(CONCATENATE(IF(ISBLANK('Ingest Template'!N667),"", 'Ingest Template'!N667&amp;"|DAR"),CHAR(10), IF(ISBLANK('Ingest Template'!O667),"", 'Ingest Template'!O667&amp;"|DAR"),CHAR(10), IF(ISBLANK('Ingest Template'!P667),"", 'Ingest Template'!P667&amp;"|DAR"))),(CONCATENATE(IF(ISBLANK('Ingest Template'!N667),"", 'Ingest Template'!N667&amp;"|Operations - Core Title"),CHAR(10), IF(ISBLANK('Ingest Template'!O667),"", 'Ingest Template'!O667&amp;"|Operations - Core Title"),CHAR(10), IF(ISBLANK('Ingest Template'!P667),"", 'Ingest Template'!P667&amp;"|Operations - Core Title"))))</f>
        <v>#|Operations - Core Title
</v>
      </c>
      <c r="AH667" s="5"/>
      <c r="AI667" s="5"/>
      <c r="AJ667" s="5"/>
      <c r="AK667" s="5"/>
      <c r="AL667" s="5"/>
    </row>
    <row r="668">
      <c r="A668" s="5"/>
      <c r="B668" s="5" t="str">
        <f>'Ingest Template'!B668&amp;IF('Ingest Template'!A668 = "Standard", " - DAR","")</f>
        <v/>
      </c>
      <c r="C668" s="6" t="str">
        <f>'Ingest Template'!C668</f>
        <v/>
      </c>
      <c r="D668" s="7" t="str">
        <f>'Ingest Template'!E668</f>
        <v/>
      </c>
      <c r="E668" s="5"/>
      <c r="F668" s="5"/>
      <c r="G668" s="5"/>
      <c r="H668" s="7"/>
      <c r="I668" s="5"/>
      <c r="J668" s="7" t="str">
        <f>'Ingest Template'!Q668</f>
        <v/>
      </c>
      <c r="K668" s="5" t="str">
        <f>'Ingest Template'!R668</f>
        <v/>
      </c>
      <c r="L668" s="8" t="s">
        <v>38</v>
      </c>
      <c r="M668" s="9"/>
      <c r="N668" s="5"/>
      <c r="O668" s="5"/>
      <c r="P668" s="5"/>
      <c r="Q668" s="5"/>
      <c r="R668" s="5" t="str">
        <f>'Ingest Template'!D668</f>
        <v/>
      </c>
      <c r="S668" s="5" t="str">
        <f>'Ingest Template'!G668</f>
        <v/>
      </c>
      <c r="T668" s="5" t="str">
        <f>'Ingest Template'!H668</f>
        <v/>
      </c>
      <c r="U668" s="5" t="str">
        <f>LOWER(SUBSTITUTE(SUBSTITUTE(SUBSTITUTE(SUBSTITUTE(SUBSTITUTE('Ingest Template'!I668,"https:",""),"www.",""),"/",""),"?hl=en",""),"instagram.com",""))</f>
        <v/>
      </c>
      <c r="V668" s="10" t="str">
        <f>'Ingest Template'!J668</f>
        <v/>
      </c>
      <c r="W668" s="10" t="str">
        <f>'Ingest Template'!K668</f>
        <v/>
      </c>
      <c r="X668" s="5"/>
      <c r="Y668" s="5" t="str">
        <f>SUBSTITUTE(SUBSTITUTE(SUBSTITUTE('Ingest Template'!L668,"http:",""),"https:",""),"/","")</f>
        <v/>
      </c>
      <c r="Z668" s="5" t="str">
        <f t="array" ref="Z668">IF('Ingest Template'!A668="Standard",(IF(ISBLANK('Ingest Template'!M668),"", 'Ingest Template'!M668&amp;"|DAR")),(IF(ISBLANK('Ingest Template'!M668),"", 'Ingest Template'!M668&amp;"|Operations - Core Title")))</f>
        <v/>
      </c>
      <c r="AA668" s="5"/>
      <c r="AB668" s="5" t="str">
        <f>'Ingest Template'!F668</f>
        <v/>
      </c>
      <c r="AC668" s="5"/>
      <c r="AD668" s="5"/>
      <c r="AE668" s="5"/>
      <c r="AF668" s="8"/>
      <c r="AG668" s="5" t="str">
        <f t="array" ref="AG668">IF('Ingest Template'!A668="Standard",(CONCATENATE(IF(ISBLANK('Ingest Template'!N668),"", 'Ingest Template'!N668&amp;"|DAR"),CHAR(10), IF(ISBLANK('Ingest Template'!O668),"", 'Ingest Template'!O668&amp;"|DAR"),CHAR(10), IF(ISBLANK('Ingest Template'!P668),"", 'Ingest Template'!P668&amp;"|DAR"))),(CONCATENATE(IF(ISBLANK('Ingest Template'!N668),"", 'Ingest Template'!N668&amp;"|Operations - Core Title"),CHAR(10), IF(ISBLANK('Ingest Template'!O668),"", 'Ingest Template'!O668&amp;"|Operations - Core Title"),CHAR(10), IF(ISBLANK('Ingest Template'!P668),"", 'Ingest Template'!P668&amp;"|Operations - Core Title"))))</f>
        <v>#|Operations - Core Title
</v>
      </c>
      <c r="AH668" s="5"/>
      <c r="AI668" s="5"/>
      <c r="AJ668" s="5"/>
      <c r="AK668" s="5"/>
      <c r="AL668" s="5"/>
    </row>
    <row r="669">
      <c r="A669" s="5"/>
      <c r="B669" s="5" t="str">
        <f>'Ingest Template'!B669&amp;IF('Ingest Template'!A669 = "Standard", " - DAR","")</f>
        <v/>
      </c>
      <c r="C669" s="6" t="str">
        <f>'Ingest Template'!C669</f>
        <v/>
      </c>
      <c r="D669" s="7" t="str">
        <f>'Ingest Template'!E669</f>
        <v/>
      </c>
      <c r="E669" s="5"/>
      <c r="F669" s="5"/>
      <c r="G669" s="5"/>
      <c r="H669" s="7"/>
      <c r="I669" s="5"/>
      <c r="J669" s="7" t="str">
        <f>'Ingest Template'!Q669</f>
        <v/>
      </c>
      <c r="K669" s="5" t="str">
        <f>'Ingest Template'!R669</f>
        <v/>
      </c>
      <c r="L669" s="8" t="s">
        <v>38</v>
      </c>
      <c r="M669" s="9"/>
      <c r="N669" s="5"/>
      <c r="O669" s="5"/>
      <c r="P669" s="5"/>
      <c r="Q669" s="5"/>
      <c r="R669" s="5" t="str">
        <f>'Ingest Template'!D669</f>
        <v/>
      </c>
      <c r="S669" s="5" t="str">
        <f>'Ingest Template'!G669</f>
        <v/>
      </c>
      <c r="T669" s="5" t="str">
        <f>'Ingest Template'!H669</f>
        <v/>
      </c>
      <c r="U669" s="5" t="str">
        <f>LOWER(SUBSTITUTE(SUBSTITUTE(SUBSTITUTE(SUBSTITUTE(SUBSTITUTE('Ingest Template'!I669,"https:",""),"www.",""),"/",""),"?hl=en",""),"instagram.com",""))</f>
        <v/>
      </c>
      <c r="V669" s="10" t="str">
        <f>'Ingest Template'!J669</f>
        <v/>
      </c>
      <c r="W669" s="10" t="str">
        <f>'Ingest Template'!K669</f>
        <v/>
      </c>
      <c r="X669" s="5"/>
      <c r="Y669" s="5" t="str">
        <f>SUBSTITUTE(SUBSTITUTE(SUBSTITUTE('Ingest Template'!L669,"http:",""),"https:",""),"/","")</f>
        <v/>
      </c>
      <c r="Z669" s="5" t="str">
        <f t="array" ref="Z669">IF('Ingest Template'!A669="Standard",(IF(ISBLANK('Ingest Template'!M669),"", 'Ingest Template'!M669&amp;"|DAR")),(IF(ISBLANK('Ingest Template'!M669),"", 'Ingest Template'!M669&amp;"|Operations - Core Title")))</f>
        <v/>
      </c>
      <c r="AA669" s="5"/>
      <c r="AB669" s="5" t="str">
        <f>'Ingest Template'!F669</f>
        <v/>
      </c>
      <c r="AC669" s="5"/>
      <c r="AD669" s="5"/>
      <c r="AE669" s="5"/>
      <c r="AF669" s="8"/>
      <c r="AG669" s="5" t="str">
        <f t="array" ref="AG669">IF('Ingest Template'!A669="Standard",(CONCATENATE(IF(ISBLANK('Ingest Template'!N669),"", 'Ingest Template'!N669&amp;"|DAR"),CHAR(10), IF(ISBLANK('Ingest Template'!O669),"", 'Ingest Template'!O669&amp;"|DAR"),CHAR(10), IF(ISBLANK('Ingest Template'!P669),"", 'Ingest Template'!P669&amp;"|DAR"))),(CONCATENATE(IF(ISBLANK('Ingest Template'!N669),"", 'Ingest Template'!N669&amp;"|Operations - Core Title"),CHAR(10), IF(ISBLANK('Ingest Template'!O669),"", 'Ingest Template'!O669&amp;"|Operations - Core Title"),CHAR(10), IF(ISBLANK('Ingest Template'!P669),"", 'Ingest Template'!P669&amp;"|Operations - Core Title"))))</f>
        <v>#|Operations - Core Title
</v>
      </c>
      <c r="AH669" s="5"/>
      <c r="AI669" s="5"/>
      <c r="AJ669" s="5"/>
      <c r="AK669" s="5"/>
      <c r="AL669" s="5"/>
    </row>
    <row r="670">
      <c r="A670" s="5"/>
      <c r="B670" s="5" t="str">
        <f>'Ingest Template'!B670&amp;IF('Ingest Template'!A670 = "Standard", " - DAR","")</f>
        <v/>
      </c>
      <c r="C670" s="6" t="str">
        <f>'Ingest Template'!C670</f>
        <v/>
      </c>
      <c r="D670" s="7" t="str">
        <f>'Ingest Template'!E670</f>
        <v/>
      </c>
      <c r="E670" s="5"/>
      <c r="F670" s="5"/>
      <c r="G670" s="5"/>
      <c r="H670" s="7"/>
      <c r="I670" s="5"/>
      <c r="J670" s="7" t="str">
        <f>'Ingest Template'!Q670</f>
        <v/>
      </c>
      <c r="K670" s="5" t="str">
        <f>'Ingest Template'!R670</f>
        <v/>
      </c>
      <c r="L670" s="8" t="s">
        <v>38</v>
      </c>
      <c r="M670" s="9"/>
      <c r="N670" s="5"/>
      <c r="O670" s="5"/>
      <c r="P670" s="5"/>
      <c r="Q670" s="5"/>
      <c r="R670" s="5" t="str">
        <f>'Ingest Template'!D670</f>
        <v/>
      </c>
      <c r="S670" s="5" t="str">
        <f>'Ingest Template'!G670</f>
        <v/>
      </c>
      <c r="T670" s="5" t="str">
        <f>'Ingest Template'!H670</f>
        <v/>
      </c>
      <c r="U670" s="5" t="str">
        <f>LOWER(SUBSTITUTE(SUBSTITUTE(SUBSTITUTE(SUBSTITUTE(SUBSTITUTE('Ingest Template'!I670,"https:",""),"www.",""),"/",""),"?hl=en",""),"instagram.com",""))</f>
        <v/>
      </c>
      <c r="V670" s="10" t="str">
        <f>'Ingest Template'!J670</f>
        <v/>
      </c>
      <c r="W670" s="10" t="str">
        <f>'Ingest Template'!K670</f>
        <v/>
      </c>
      <c r="X670" s="5"/>
      <c r="Y670" s="5" t="str">
        <f>SUBSTITUTE(SUBSTITUTE(SUBSTITUTE('Ingest Template'!L670,"http:",""),"https:",""),"/","")</f>
        <v/>
      </c>
      <c r="Z670" s="5" t="str">
        <f t="array" ref="Z670">IF('Ingest Template'!A670="Standard",(IF(ISBLANK('Ingest Template'!M670),"", 'Ingest Template'!M670&amp;"|DAR")),(IF(ISBLANK('Ingest Template'!M670),"", 'Ingest Template'!M670&amp;"|Operations - Core Title")))</f>
        <v/>
      </c>
      <c r="AA670" s="5"/>
      <c r="AB670" s="5" t="str">
        <f>'Ingest Template'!F670</f>
        <v/>
      </c>
      <c r="AC670" s="5"/>
      <c r="AD670" s="5"/>
      <c r="AE670" s="5"/>
      <c r="AF670" s="8"/>
      <c r="AG670" s="5" t="str">
        <f t="array" ref="AG670">IF('Ingest Template'!A670="Standard",(CONCATENATE(IF(ISBLANK('Ingest Template'!N670),"", 'Ingest Template'!N670&amp;"|DAR"),CHAR(10), IF(ISBLANK('Ingest Template'!O670),"", 'Ingest Template'!O670&amp;"|DAR"),CHAR(10), IF(ISBLANK('Ingest Template'!P670),"", 'Ingest Template'!P670&amp;"|DAR"))),(CONCATENATE(IF(ISBLANK('Ingest Template'!N670),"", 'Ingest Template'!N670&amp;"|Operations - Core Title"),CHAR(10), IF(ISBLANK('Ingest Template'!O670),"", 'Ingest Template'!O670&amp;"|Operations - Core Title"),CHAR(10), IF(ISBLANK('Ingest Template'!P670),"", 'Ingest Template'!P670&amp;"|Operations - Core Title"))))</f>
        <v>#|Operations - Core Title
</v>
      </c>
      <c r="AH670" s="5"/>
      <c r="AI670" s="5"/>
      <c r="AJ670" s="5"/>
      <c r="AK670" s="5"/>
      <c r="AL670" s="5"/>
    </row>
    <row r="671">
      <c r="A671" s="5"/>
      <c r="B671" s="5" t="str">
        <f>'Ingest Template'!B671&amp;IF('Ingest Template'!A671 = "Standard", " - DAR","")</f>
        <v/>
      </c>
      <c r="C671" s="6" t="str">
        <f>'Ingest Template'!C671</f>
        <v/>
      </c>
      <c r="D671" s="7" t="str">
        <f>'Ingest Template'!E671</f>
        <v/>
      </c>
      <c r="E671" s="5"/>
      <c r="F671" s="5"/>
      <c r="G671" s="5"/>
      <c r="H671" s="7"/>
      <c r="I671" s="5"/>
      <c r="J671" s="7" t="str">
        <f>'Ingest Template'!Q671</f>
        <v/>
      </c>
      <c r="K671" s="5" t="str">
        <f>'Ingest Template'!R671</f>
        <v/>
      </c>
      <c r="L671" s="8" t="s">
        <v>38</v>
      </c>
      <c r="M671" s="9"/>
      <c r="N671" s="5"/>
      <c r="O671" s="5"/>
      <c r="P671" s="5"/>
      <c r="Q671" s="5"/>
      <c r="R671" s="5" t="str">
        <f>'Ingest Template'!D671</f>
        <v/>
      </c>
      <c r="S671" s="5" t="str">
        <f>'Ingest Template'!G671</f>
        <v/>
      </c>
      <c r="T671" s="5" t="str">
        <f>'Ingest Template'!H671</f>
        <v/>
      </c>
      <c r="U671" s="5" t="str">
        <f>LOWER(SUBSTITUTE(SUBSTITUTE(SUBSTITUTE(SUBSTITUTE(SUBSTITUTE('Ingest Template'!I671,"https:",""),"www.",""),"/",""),"?hl=en",""),"instagram.com",""))</f>
        <v/>
      </c>
      <c r="V671" s="10" t="str">
        <f>'Ingest Template'!J671</f>
        <v/>
      </c>
      <c r="W671" s="10" t="str">
        <f>'Ingest Template'!K671</f>
        <v/>
      </c>
      <c r="X671" s="5"/>
      <c r="Y671" s="5" t="str">
        <f>SUBSTITUTE(SUBSTITUTE(SUBSTITUTE('Ingest Template'!L671,"http:",""),"https:",""),"/","")</f>
        <v/>
      </c>
      <c r="Z671" s="5" t="str">
        <f t="array" ref="Z671">IF('Ingest Template'!A671="Standard",(IF(ISBLANK('Ingest Template'!M671),"", 'Ingest Template'!M671&amp;"|DAR")),(IF(ISBLANK('Ingest Template'!M671),"", 'Ingest Template'!M671&amp;"|Operations - Core Title")))</f>
        <v/>
      </c>
      <c r="AA671" s="5"/>
      <c r="AB671" s="5" t="str">
        <f>'Ingest Template'!F671</f>
        <v/>
      </c>
      <c r="AC671" s="5"/>
      <c r="AD671" s="5"/>
      <c r="AE671" s="5"/>
      <c r="AF671" s="8"/>
      <c r="AG671" s="5" t="str">
        <f t="array" ref="AG671">IF('Ingest Template'!A671="Standard",(CONCATENATE(IF(ISBLANK('Ingest Template'!N671),"", 'Ingest Template'!N671&amp;"|DAR"),CHAR(10), IF(ISBLANK('Ingest Template'!O671),"", 'Ingest Template'!O671&amp;"|DAR"),CHAR(10), IF(ISBLANK('Ingest Template'!P671),"", 'Ingest Template'!P671&amp;"|DAR"))),(CONCATENATE(IF(ISBLANK('Ingest Template'!N671),"", 'Ingest Template'!N671&amp;"|Operations - Core Title"),CHAR(10), IF(ISBLANK('Ingest Template'!O671),"", 'Ingest Template'!O671&amp;"|Operations - Core Title"),CHAR(10), IF(ISBLANK('Ingest Template'!P671),"", 'Ingest Template'!P671&amp;"|Operations - Core Title"))))</f>
        <v>#|Operations - Core Title
</v>
      </c>
      <c r="AH671" s="5"/>
      <c r="AI671" s="5"/>
      <c r="AJ671" s="5"/>
      <c r="AK671" s="5"/>
      <c r="AL671" s="5"/>
    </row>
    <row r="672">
      <c r="A672" s="5"/>
      <c r="B672" s="5" t="str">
        <f>'Ingest Template'!B672&amp;IF('Ingest Template'!A672 = "Standard", " - DAR","")</f>
        <v/>
      </c>
      <c r="C672" s="6" t="str">
        <f>'Ingest Template'!C672</f>
        <v/>
      </c>
      <c r="D672" s="7" t="str">
        <f>'Ingest Template'!E672</f>
        <v/>
      </c>
      <c r="E672" s="5"/>
      <c r="F672" s="5"/>
      <c r="G672" s="5"/>
      <c r="H672" s="7"/>
      <c r="I672" s="5"/>
      <c r="J672" s="7" t="str">
        <f>'Ingest Template'!Q672</f>
        <v/>
      </c>
      <c r="K672" s="5" t="str">
        <f>'Ingest Template'!R672</f>
        <v/>
      </c>
      <c r="L672" s="8" t="s">
        <v>38</v>
      </c>
      <c r="M672" s="9"/>
      <c r="N672" s="5"/>
      <c r="O672" s="5"/>
      <c r="P672" s="5"/>
      <c r="Q672" s="5"/>
      <c r="R672" s="5" t="str">
        <f>'Ingest Template'!D672</f>
        <v/>
      </c>
      <c r="S672" s="5" t="str">
        <f>'Ingest Template'!G672</f>
        <v/>
      </c>
      <c r="T672" s="5" t="str">
        <f>'Ingest Template'!H672</f>
        <v/>
      </c>
      <c r="U672" s="5" t="str">
        <f>LOWER(SUBSTITUTE(SUBSTITUTE(SUBSTITUTE(SUBSTITUTE(SUBSTITUTE('Ingest Template'!I672,"https:",""),"www.",""),"/",""),"?hl=en",""),"instagram.com",""))</f>
        <v/>
      </c>
      <c r="V672" s="10" t="str">
        <f>'Ingest Template'!J672</f>
        <v/>
      </c>
      <c r="W672" s="10" t="str">
        <f>'Ingest Template'!K672</f>
        <v/>
      </c>
      <c r="X672" s="5"/>
      <c r="Y672" s="5" t="str">
        <f>SUBSTITUTE(SUBSTITUTE(SUBSTITUTE('Ingest Template'!L672,"http:",""),"https:",""),"/","")</f>
        <v/>
      </c>
      <c r="Z672" s="5" t="str">
        <f t="array" ref="Z672">IF('Ingest Template'!A672="Standard",(IF(ISBLANK('Ingest Template'!M672),"", 'Ingest Template'!M672&amp;"|DAR")),(IF(ISBLANK('Ingest Template'!M672),"", 'Ingest Template'!M672&amp;"|Operations - Core Title")))</f>
        <v/>
      </c>
      <c r="AA672" s="5"/>
      <c r="AB672" s="5" t="str">
        <f>'Ingest Template'!F672</f>
        <v/>
      </c>
      <c r="AC672" s="5"/>
      <c r="AD672" s="5"/>
      <c r="AE672" s="5"/>
      <c r="AF672" s="8"/>
      <c r="AG672" s="5" t="str">
        <f t="array" ref="AG672">IF('Ingest Template'!A672="Standard",(CONCATENATE(IF(ISBLANK('Ingest Template'!N672),"", 'Ingest Template'!N672&amp;"|DAR"),CHAR(10), IF(ISBLANK('Ingest Template'!O672),"", 'Ingest Template'!O672&amp;"|DAR"),CHAR(10), IF(ISBLANK('Ingest Template'!P672),"", 'Ingest Template'!P672&amp;"|DAR"))),(CONCATENATE(IF(ISBLANK('Ingest Template'!N672),"", 'Ingest Template'!N672&amp;"|Operations - Core Title"),CHAR(10), IF(ISBLANK('Ingest Template'!O672),"", 'Ingest Template'!O672&amp;"|Operations - Core Title"),CHAR(10), IF(ISBLANK('Ingest Template'!P672),"", 'Ingest Template'!P672&amp;"|Operations - Core Title"))))</f>
        <v>#|Operations - Core Title
</v>
      </c>
      <c r="AH672" s="5"/>
      <c r="AI672" s="5"/>
      <c r="AJ672" s="5"/>
      <c r="AK672" s="5"/>
      <c r="AL672" s="5"/>
    </row>
    <row r="673">
      <c r="A673" s="5"/>
      <c r="B673" s="5" t="str">
        <f>'Ingest Template'!B673&amp;IF('Ingest Template'!A673 = "Standard", " - DAR","")</f>
        <v/>
      </c>
      <c r="C673" s="6" t="str">
        <f>'Ingest Template'!C673</f>
        <v/>
      </c>
      <c r="D673" s="7" t="str">
        <f>'Ingest Template'!E673</f>
        <v/>
      </c>
      <c r="E673" s="5"/>
      <c r="F673" s="5"/>
      <c r="G673" s="5"/>
      <c r="H673" s="7"/>
      <c r="I673" s="5"/>
      <c r="J673" s="7" t="str">
        <f>'Ingest Template'!Q673</f>
        <v/>
      </c>
      <c r="K673" s="5" t="str">
        <f>'Ingest Template'!R673</f>
        <v/>
      </c>
      <c r="L673" s="8" t="s">
        <v>38</v>
      </c>
      <c r="M673" s="9"/>
      <c r="N673" s="5"/>
      <c r="O673" s="5"/>
      <c r="P673" s="5"/>
      <c r="Q673" s="5"/>
      <c r="R673" s="5" t="str">
        <f>'Ingest Template'!D673</f>
        <v/>
      </c>
      <c r="S673" s="5" t="str">
        <f>'Ingest Template'!G673</f>
        <v/>
      </c>
      <c r="T673" s="5" t="str">
        <f>'Ingest Template'!H673</f>
        <v/>
      </c>
      <c r="U673" s="5" t="str">
        <f>LOWER(SUBSTITUTE(SUBSTITUTE(SUBSTITUTE(SUBSTITUTE(SUBSTITUTE('Ingest Template'!I673,"https:",""),"www.",""),"/",""),"?hl=en",""),"instagram.com",""))</f>
        <v/>
      </c>
      <c r="V673" s="10" t="str">
        <f>'Ingest Template'!J673</f>
        <v/>
      </c>
      <c r="W673" s="10" t="str">
        <f>'Ingest Template'!K673</f>
        <v/>
      </c>
      <c r="X673" s="5"/>
      <c r="Y673" s="5" t="str">
        <f>SUBSTITUTE(SUBSTITUTE(SUBSTITUTE('Ingest Template'!L673,"http:",""),"https:",""),"/","")</f>
        <v/>
      </c>
      <c r="Z673" s="5" t="str">
        <f t="array" ref="Z673">IF('Ingest Template'!A673="Standard",(IF(ISBLANK('Ingest Template'!M673),"", 'Ingest Template'!M673&amp;"|DAR")),(IF(ISBLANK('Ingest Template'!M673),"", 'Ingest Template'!M673&amp;"|Operations - Core Title")))</f>
        <v/>
      </c>
      <c r="AA673" s="5"/>
      <c r="AB673" s="5" t="str">
        <f>'Ingest Template'!F673</f>
        <v/>
      </c>
      <c r="AC673" s="5"/>
      <c r="AD673" s="5"/>
      <c r="AE673" s="5"/>
      <c r="AF673" s="8"/>
      <c r="AG673" s="5" t="str">
        <f t="array" ref="AG673">IF('Ingest Template'!A673="Standard",(CONCATENATE(IF(ISBLANK('Ingest Template'!N673),"", 'Ingest Template'!N673&amp;"|DAR"),CHAR(10), IF(ISBLANK('Ingest Template'!O673),"", 'Ingest Template'!O673&amp;"|DAR"),CHAR(10), IF(ISBLANK('Ingest Template'!P673),"", 'Ingest Template'!P673&amp;"|DAR"))),(CONCATENATE(IF(ISBLANK('Ingest Template'!N673),"", 'Ingest Template'!N673&amp;"|Operations - Core Title"),CHAR(10), IF(ISBLANK('Ingest Template'!O673),"", 'Ingest Template'!O673&amp;"|Operations - Core Title"),CHAR(10), IF(ISBLANK('Ingest Template'!P673),"", 'Ingest Template'!P673&amp;"|Operations - Core Title"))))</f>
        <v>#|Operations - Core Title
</v>
      </c>
      <c r="AH673" s="5"/>
      <c r="AI673" s="5"/>
      <c r="AJ673" s="5"/>
      <c r="AK673" s="5"/>
      <c r="AL673" s="5"/>
    </row>
    <row r="674">
      <c r="A674" s="5"/>
      <c r="B674" s="5" t="str">
        <f>'Ingest Template'!B674&amp;IF('Ingest Template'!A674 = "Standard", " - DAR","")</f>
        <v/>
      </c>
      <c r="C674" s="6" t="str">
        <f>'Ingest Template'!C674</f>
        <v/>
      </c>
      <c r="D674" s="7" t="str">
        <f>'Ingest Template'!E674</f>
        <v/>
      </c>
      <c r="E674" s="5"/>
      <c r="F674" s="5"/>
      <c r="G674" s="5"/>
      <c r="H674" s="7"/>
      <c r="I674" s="5"/>
      <c r="J674" s="7" t="str">
        <f>'Ingest Template'!Q674</f>
        <v/>
      </c>
      <c r="K674" s="5" t="str">
        <f>'Ingest Template'!R674</f>
        <v/>
      </c>
      <c r="L674" s="8" t="s">
        <v>38</v>
      </c>
      <c r="M674" s="9"/>
      <c r="N674" s="5"/>
      <c r="O674" s="5"/>
      <c r="P674" s="5"/>
      <c r="Q674" s="5"/>
      <c r="R674" s="5" t="str">
        <f>'Ingest Template'!D674</f>
        <v/>
      </c>
      <c r="S674" s="5" t="str">
        <f>'Ingest Template'!G674</f>
        <v/>
      </c>
      <c r="T674" s="5" t="str">
        <f>'Ingest Template'!H674</f>
        <v/>
      </c>
      <c r="U674" s="5" t="str">
        <f>LOWER(SUBSTITUTE(SUBSTITUTE(SUBSTITUTE(SUBSTITUTE(SUBSTITUTE('Ingest Template'!I674,"https:",""),"www.",""),"/",""),"?hl=en",""),"instagram.com",""))</f>
        <v/>
      </c>
      <c r="V674" s="10" t="str">
        <f>'Ingest Template'!J674</f>
        <v/>
      </c>
      <c r="W674" s="10" t="str">
        <f>'Ingest Template'!K674</f>
        <v/>
      </c>
      <c r="X674" s="5"/>
      <c r="Y674" s="5" t="str">
        <f>SUBSTITUTE(SUBSTITUTE(SUBSTITUTE('Ingest Template'!L674,"http:",""),"https:",""),"/","")</f>
        <v/>
      </c>
      <c r="Z674" s="5" t="str">
        <f t="array" ref="Z674">IF('Ingest Template'!A674="Standard",(IF(ISBLANK('Ingest Template'!M674),"", 'Ingest Template'!M674&amp;"|DAR")),(IF(ISBLANK('Ingest Template'!M674),"", 'Ingest Template'!M674&amp;"|Operations - Core Title")))</f>
        <v/>
      </c>
      <c r="AA674" s="5"/>
      <c r="AB674" s="5" t="str">
        <f>'Ingest Template'!F674</f>
        <v/>
      </c>
      <c r="AC674" s="5"/>
      <c r="AD674" s="5"/>
      <c r="AE674" s="5"/>
      <c r="AF674" s="8"/>
      <c r="AG674" s="5" t="str">
        <f t="array" ref="AG674">IF('Ingest Template'!A674="Standard",(CONCATENATE(IF(ISBLANK('Ingest Template'!N674),"", 'Ingest Template'!N674&amp;"|DAR"),CHAR(10), IF(ISBLANK('Ingest Template'!O674),"", 'Ingest Template'!O674&amp;"|DAR"),CHAR(10), IF(ISBLANK('Ingest Template'!P674),"", 'Ingest Template'!P674&amp;"|DAR"))),(CONCATENATE(IF(ISBLANK('Ingest Template'!N674),"", 'Ingest Template'!N674&amp;"|Operations - Core Title"),CHAR(10), IF(ISBLANK('Ingest Template'!O674),"", 'Ingest Template'!O674&amp;"|Operations - Core Title"),CHAR(10), IF(ISBLANK('Ingest Template'!P674),"", 'Ingest Template'!P674&amp;"|Operations - Core Title"))))</f>
        <v>#|Operations - Core Title
</v>
      </c>
      <c r="AH674" s="5"/>
      <c r="AI674" s="5"/>
      <c r="AJ674" s="5"/>
      <c r="AK674" s="5"/>
      <c r="AL674" s="5"/>
    </row>
    <row r="675">
      <c r="A675" s="5"/>
      <c r="B675" s="5" t="str">
        <f>'Ingest Template'!B675&amp;IF('Ingest Template'!A675 = "Standard", " - DAR","")</f>
        <v/>
      </c>
      <c r="C675" s="6" t="str">
        <f>'Ingest Template'!C675</f>
        <v/>
      </c>
      <c r="D675" s="7" t="str">
        <f>'Ingest Template'!E675</f>
        <v/>
      </c>
      <c r="E675" s="5"/>
      <c r="F675" s="5"/>
      <c r="G675" s="5"/>
      <c r="H675" s="7"/>
      <c r="I675" s="5"/>
      <c r="J675" s="7" t="str">
        <f>'Ingest Template'!Q675</f>
        <v/>
      </c>
      <c r="K675" s="5" t="str">
        <f>'Ingest Template'!R675</f>
        <v/>
      </c>
      <c r="L675" s="8" t="s">
        <v>38</v>
      </c>
      <c r="M675" s="9"/>
      <c r="N675" s="5"/>
      <c r="O675" s="5"/>
      <c r="P675" s="5"/>
      <c r="Q675" s="5"/>
      <c r="R675" s="5" t="str">
        <f>'Ingest Template'!D675</f>
        <v/>
      </c>
      <c r="S675" s="5" t="str">
        <f>'Ingest Template'!G675</f>
        <v/>
      </c>
      <c r="T675" s="5" t="str">
        <f>'Ingest Template'!H675</f>
        <v/>
      </c>
      <c r="U675" s="5" t="str">
        <f>LOWER(SUBSTITUTE(SUBSTITUTE(SUBSTITUTE(SUBSTITUTE(SUBSTITUTE('Ingest Template'!I675,"https:",""),"www.",""),"/",""),"?hl=en",""),"instagram.com",""))</f>
        <v/>
      </c>
      <c r="V675" s="10" t="str">
        <f>'Ingest Template'!J675</f>
        <v/>
      </c>
      <c r="W675" s="10" t="str">
        <f>'Ingest Template'!K675</f>
        <v/>
      </c>
      <c r="X675" s="5"/>
      <c r="Y675" s="5" t="str">
        <f>SUBSTITUTE(SUBSTITUTE(SUBSTITUTE('Ingest Template'!L675,"http:",""),"https:",""),"/","")</f>
        <v/>
      </c>
      <c r="Z675" s="5" t="str">
        <f t="array" ref="Z675">IF('Ingest Template'!A675="Standard",(IF(ISBLANK('Ingest Template'!M675),"", 'Ingest Template'!M675&amp;"|DAR")),(IF(ISBLANK('Ingest Template'!M675),"", 'Ingest Template'!M675&amp;"|Operations - Core Title")))</f>
        <v/>
      </c>
      <c r="AA675" s="5"/>
      <c r="AB675" s="5" t="str">
        <f>'Ingest Template'!F675</f>
        <v/>
      </c>
      <c r="AC675" s="5"/>
      <c r="AD675" s="5"/>
      <c r="AE675" s="5"/>
      <c r="AF675" s="8"/>
      <c r="AG675" s="5" t="str">
        <f t="array" ref="AG675">IF('Ingest Template'!A675="Standard",(CONCATENATE(IF(ISBLANK('Ingest Template'!N675),"", 'Ingest Template'!N675&amp;"|DAR"),CHAR(10), IF(ISBLANK('Ingest Template'!O675),"", 'Ingest Template'!O675&amp;"|DAR"),CHAR(10), IF(ISBLANK('Ingest Template'!P675),"", 'Ingest Template'!P675&amp;"|DAR"))),(CONCATENATE(IF(ISBLANK('Ingest Template'!N675),"", 'Ingest Template'!N675&amp;"|Operations - Core Title"),CHAR(10), IF(ISBLANK('Ingest Template'!O675),"", 'Ingest Template'!O675&amp;"|Operations - Core Title"),CHAR(10), IF(ISBLANK('Ingest Template'!P675),"", 'Ingest Template'!P675&amp;"|Operations - Core Title"))))</f>
        <v>#|Operations - Core Title
</v>
      </c>
      <c r="AH675" s="5"/>
      <c r="AI675" s="5"/>
      <c r="AJ675" s="5"/>
      <c r="AK675" s="5"/>
      <c r="AL675" s="5"/>
    </row>
    <row r="676">
      <c r="A676" s="5"/>
      <c r="B676" s="5" t="str">
        <f>'Ingest Template'!B676&amp;IF('Ingest Template'!A676 = "Standard", " - DAR","")</f>
        <v/>
      </c>
      <c r="C676" s="6" t="str">
        <f>'Ingest Template'!C676</f>
        <v/>
      </c>
      <c r="D676" s="7" t="str">
        <f>'Ingest Template'!E676</f>
        <v/>
      </c>
      <c r="E676" s="5"/>
      <c r="F676" s="5"/>
      <c r="G676" s="5"/>
      <c r="H676" s="7"/>
      <c r="I676" s="5"/>
      <c r="J676" s="7" t="str">
        <f>'Ingest Template'!Q676</f>
        <v/>
      </c>
      <c r="K676" s="5" t="str">
        <f>'Ingest Template'!R676</f>
        <v/>
      </c>
      <c r="L676" s="8" t="s">
        <v>38</v>
      </c>
      <c r="M676" s="9"/>
      <c r="N676" s="5"/>
      <c r="O676" s="5"/>
      <c r="P676" s="5"/>
      <c r="Q676" s="5"/>
      <c r="R676" s="5" t="str">
        <f>'Ingest Template'!D676</f>
        <v/>
      </c>
      <c r="S676" s="5" t="str">
        <f>'Ingest Template'!G676</f>
        <v/>
      </c>
      <c r="T676" s="5" t="str">
        <f>'Ingest Template'!H676</f>
        <v/>
      </c>
      <c r="U676" s="5" t="str">
        <f>LOWER(SUBSTITUTE(SUBSTITUTE(SUBSTITUTE(SUBSTITUTE(SUBSTITUTE('Ingest Template'!I676,"https:",""),"www.",""),"/",""),"?hl=en",""),"instagram.com",""))</f>
        <v/>
      </c>
      <c r="V676" s="10" t="str">
        <f>'Ingest Template'!J676</f>
        <v/>
      </c>
      <c r="W676" s="10" t="str">
        <f>'Ingest Template'!K676</f>
        <v/>
      </c>
      <c r="X676" s="5"/>
      <c r="Y676" s="5" t="str">
        <f>SUBSTITUTE(SUBSTITUTE(SUBSTITUTE('Ingest Template'!L676,"http:",""),"https:",""),"/","")</f>
        <v/>
      </c>
      <c r="Z676" s="5" t="str">
        <f t="array" ref="Z676">IF('Ingest Template'!A676="Standard",(IF(ISBLANK('Ingest Template'!M676),"", 'Ingest Template'!M676&amp;"|DAR")),(IF(ISBLANK('Ingest Template'!M676),"", 'Ingest Template'!M676&amp;"|Operations - Core Title")))</f>
        <v/>
      </c>
      <c r="AA676" s="5"/>
      <c r="AB676" s="5" t="str">
        <f>'Ingest Template'!F676</f>
        <v/>
      </c>
      <c r="AC676" s="5"/>
      <c r="AD676" s="5"/>
      <c r="AE676" s="5"/>
      <c r="AF676" s="8"/>
      <c r="AG676" s="5" t="str">
        <f t="array" ref="AG676">IF('Ingest Template'!A676="Standard",(CONCATENATE(IF(ISBLANK('Ingest Template'!N676),"", 'Ingest Template'!N676&amp;"|DAR"),CHAR(10), IF(ISBLANK('Ingest Template'!O676),"", 'Ingest Template'!O676&amp;"|DAR"),CHAR(10), IF(ISBLANK('Ingest Template'!P676),"", 'Ingest Template'!P676&amp;"|DAR"))),(CONCATENATE(IF(ISBLANK('Ingest Template'!N676),"", 'Ingest Template'!N676&amp;"|Operations - Core Title"),CHAR(10), IF(ISBLANK('Ingest Template'!O676),"", 'Ingest Template'!O676&amp;"|Operations - Core Title"),CHAR(10), IF(ISBLANK('Ingest Template'!P676),"", 'Ingest Template'!P676&amp;"|Operations - Core Title"))))</f>
        <v>#|Operations - Core Title
</v>
      </c>
      <c r="AH676" s="5"/>
      <c r="AI676" s="5"/>
      <c r="AJ676" s="5"/>
      <c r="AK676" s="5"/>
      <c r="AL676" s="5"/>
    </row>
    <row r="677">
      <c r="A677" s="5"/>
      <c r="B677" s="5" t="str">
        <f>'Ingest Template'!B677&amp;IF('Ingest Template'!A677 = "Standard", " - DAR","")</f>
        <v/>
      </c>
      <c r="C677" s="6" t="str">
        <f>'Ingest Template'!C677</f>
        <v/>
      </c>
      <c r="D677" s="7" t="str">
        <f>'Ingest Template'!E677</f>
        <v/>
      </c>
      <c r="E677" s="5"/>
      <c r="F677" s="5"/>
      <c r="G677" s="5"/>
      <c r="H677" s="7"/>
      <c r="I677" s="5"/>
      <c r="J677" s="7" t="str">
        <f>'Ingest Template'!Q677</f>
        <v/>
      </c>
      <c r="K677" s="5" t="str">
        <f>'Ingest Template'!R677</f>
        <v/>
      </c>
      <c r="L677" s="8" t="s">
        <v>38</v>
      </c>
      <c r="M677" s="9"/>
      <c r="N677" s="5"/>
      <c r="O677" s="5"/>
      <c r="P677" s="5"/>
      <c r="Q677" s="5"/>
      <c r="R677" s="5" t="str">
        <f>'Ingest Template'!D677</f>
        <v/>
      </c>
      <c r="S677" s="5" t="str">
        <f>'Ingest Template'!G677</f>
        <v/>
      </c>
      <c r="T677" s="5" t="str">
        <f>'Ingest Template'!H677</f>
        <v/>
      </c>
      <c r="U677" s="5" t="str">
        <f>LOWER(SUBSTITUTE(SUBSTITUTE(SUBSTITUTE(SUBSTITUTE(SUBSTITUTE('Ingest Template'!I677,"https:",""),"www.",""),"/",""),"?hl=en",""),"instagram.com",""))</f>
        <v/>
      </c>
      <c r="V677" s="10" t="str">
        <f>'Ingest Template'!J677</f>
        <v/>
      </c>
      <c r="W677" s="10" t="str">
        <f>'Ingest Template'!K677</f>
        <v/>
      </c>
      <c r="X677" s="5"/>
      <c r="Y677" s="5" t="str">
        <f>SUBSTITUTE(SUBSTITUTE(SUBSTITUTE('Ingest Template'!L677,"http:",""),"https:",""),"/","")</f>
        <v/>
      </c>
      <c r="Z677" s="5" t="str">
        <f t="array" ref="Z677">IF('Ingest Template'!A677="Standard",(IF(ISBLANK('Ingest Template'!M677),"", 'Ingest Template'!M677&amp;"|DAR")),(IF(ISBLANK('Ingest Template'!M677),"", 'Ingest Template'!M677&amp;"|Operations - Core Title")))</f>
        <v/>
      </c>
      <c r="AA677" s="5"/>
      <c r="AB677" s="5" t="str">
        <f>'Ingest Template'!F677</f>
        <v/>
      </c>
      <c r="AC677" s="5"/>
      <c r="AD677" s="5"/>
      <c r="AE677" s="5"/>
      <c r="AF677" s="8"/>
      <c r="AG677" s="5" t="str">
        <f t="array" ref="AG677">IF('Ingest Template'!A677="Standard",(CONCATENATE(IF(ISBLANK('Ingest Template'!N677),"", 'Ingest Template'!N677&amp;"|DAR"),CHAR(10), IF(ISBLANK('Ingest Template'!O677),"", 'Ingest Template'!O677&amp;"|DAR"),CHAR(10), IF(ISBLANK('Ingest Template'!P677),"", 'Ingest Template'!P677&amp;"|DAR"))),(CONCATENATE(IF(ISBLANK('Ingest Template'!N677),"", 'Ingest Template'!N677&amp;"|Operations - Core Title"),CHAR(10), IF(ISBLANK('Ingest Template'!O677),"", 'Ingest Template'!O677&amp;"|Operations - Core Title"),CHAR(10), IF(ISBLANK('Ingest Template'!P677),"", 'Ingest Template'!P677&amp;"|Operations - Core Title"))))</f>
        <v>#|Operations - Core Title
</v>
      </c>
      <c r="AH677" s="5"/>
      <c r="AI677" s="5"/>
      <c r="AJ677" s="5"/>
      <c r="AK677" s="5"/>
      <c r="AL677" s="5"/>
    </row>
    <row r="678">
      <c r="A678" s="5"/>
      <c r="B678" s="5" t="str">
        <f>'Ingest Template'!B678&amp;IF('Ingest Template'!A678 = "Standard", " - DAR","")</f>
        <v/>
      </c>
      <c r="C678" s="6" t="str">
        <f>'Ingest Template'!C678</f>
        <v/>
      </c>
      <c r="D678" s="7" t="str">
        <f>'Ingest Template'!E678</f>
        <v/>
      </c>
      <c r="E678" s="5"/>
      <c r="F678" s="5"/>
      <c r="G678" s="5"/>
      <c r="H678" s="7"/>
      <c r="I678" s="5"/>
      <c r="J678" s="7" t="str">
        <f>'Ingest Template'!Q678</f>
        <v/>
      </c>
      <c r="K678" s="5" t="str">
        <f>'Ingest Template'!R678</f>
        <v/>
      </c>
      <c r="L678" s="8" t="s">
        <v>38</v>
      </c>
      <c r="M678" s="9"/>
      <c r="N678" s="5"/>
      <c r="O678" s="5"/>
      <c r="P678" s="5"/>
      <c r="Q678" s="5"/>
      <c r="R678" s="5" t="str">
        <f>'Ingest Template'!D678</f>
        <v/>
      </c>
      <c r="S678" s="5" t="str">
        <f>'Ingest Template'!G678</f>
        <v/>
      </c>
      <c r="T678" s="5" t="str">
        <f>'Ingest Template'!H678</f>
        <v/>
      </c>
      <c r="U678" s="5" t="str">
        <f>LOWER(SUBSTITUTE(SUBSTITUTE(SUBSTITUTE(SUBSTITUTE(SUBSTITUTE('Ingest Template'!I678,"https:",""),"www.",""),"/",""),"?hl=en",""),"instagram.com",""))</f>
        <v/>
      </c>
      <c r="V678" s="10" t="str">
        <f>'Ingest Template'!J678</f>
        <v/>
      </c>
      <c r="W678" s="10" t="str">
        <f>'Ingest Template'!K678</f>
        <v/>
      </c>
      <c r="X678" s="5"/>
      <c r="Y678" s="5" t="str">
        <f>SUBSTITUTE(SUBSTITUTE(SUBSTITUTE('Ingest Template'!L678,"http:",""),"https:",""),"/","")</f>
        <v/>
      </c>
      <c r="Z678" s="5" t="str">
        <f t="array" ref="Z678">IF('Ingest Template'!A678="Standard",(IF(ISBLANK('Ingest Template'!M678),"", 'Ingest Template'!M678&amp;"|DAR")),(IF(ISBLANK('Ingest Template'!M678),"", 'Ingest Template'!M678&amp;"|Operations - Core Title")))</f>
        <v/>
      </c>
      <c r="AA678" s="5"/>
      <c r="AB678" s="5" t="str">
        <f>'Ingest Template'!F678</f>
        <v/>
      </c>
      <c r="AC678" s="5"/>
      <c r="AD678" s="5"/>
      <c r="AE678" s="5"/>
      <c r="AF678" s="8"/>
      <c r="AG678" s="5" t="str">
        <f t="array" ref="AG678">IF('Ingest Template'!A678="Standard",(CONCATENATE(IF(ISBLANK('Ingest Template'!N678),"", 'Ingest Template'!N678&amp;"|DAR"),CHAR(10), IF(ISBLANK('Ingest Template'!O678),"", 'Ingest Template'!O678&amp;"|DAR"),CHAR(10), IF(ISBLANK('Ingest Template'!P678),"", 'Ingest Template'!P678&amp;"|DAR"))),(CONCATENATE(IF(ISBLANK('Ingest Template'!N678),"", 'Ingest Template'!N678&amp;"|Operations - Core Title"),CHAR(10), IF(ISBLANK('Ingest Template'!O678),"", 'Ingest Template'!O678&amp;"|Operations - Core Title"),CHAR(10), IF(ISBLANK('Ingest Template'!P678),"", 'Ingest Template'!P678&amp;"|Operations - Core Title"))))</f>
        <v>#|Operations - Core Title
</v>
      </c>
      <c r="AH678" s="5"/>
      <c r="AI678" s="5"/>
      <c r="AJ678" s="5"/>
      <c r="AK678" s="5"/>
      <c r="AL678" s="5"/>
    </row>
    <row r="679">
      <c r="A679" s="5"/>
      <c r="B679" s="5" t="str">
        <f>'Ingest Template'!B679&amp;IF('Ingest Template'!A679 = "Standard", " - DAR","")</f>
        <v/>
      </c>
      <c r="C679" s="6" t="str">
        <f>'Ingest Template'!C679</f>
        <v/>
      </c>
      <c r="D679" s="7" t="str">
        <f>'Ingest Template'!E679</f>
        <v/>
      </c>
      <c r="E679" s="5"/>
      <c r="F679" s="5"/>
      <c r="G679" s="5"/>
      <c r="H679" s="7"/>
      <c r="I679" s="5"/>
      <c r="J679" s="7" t="str">
        <f>'Ingest Template'!Q679</f>
        <v/>
      </c>
      <c r="K679" s="5" t="str">
        <f>'Ingest Template'!R679</f>
        <v/>
      </c>
      <c r="L679" s="8" t="s">
        <v>38</v>
      </c>
      <c r="M679" s="9"/>
      <c r="N679" s="5"/>
      <c r="O679" s="5"/>
      <c r="P679" s="5"/>
      <c r="Q679" s="5"/>
      <c r="R679" s="5" t="str">
        <f>'Ingest Template'!D679</f>
        <v/>
      </c>
      <c r="S679" s="5" t="str">
        <f>'Ingest Template'!G679</f>
        <v/>
      </c>
      <c r="T679" s="5" t="str">
        <f>'Ingest Template'!H679</f>
        <v/>
      </c>
      <c r="U679" s="5" t="str">
        <f>LOWER(SUBSTITUTE(SUBSTITUTE(SUBSTITUTE(SUBSTITUTE(SUBSTITUTE('Ingest Template'!I679,"https:",""),"www.",""),"/",""),"?hl=en",""),"instagram.com",""))</f>
        <v/>
      </c>
      <c r="V679" s="10" t="str">
        <f>'Ingest Template'!J679</f>
        <v/>
      </c>
      <c r="W679" s="10" t="str">
        <f>'Ingest Template'!K679</f>
        <v/>
      </c>
      <c r="X679" s="5"/>
      <c r="Y679" s="5" t="str">
        <f>SUBSTITUTE(SUBSTITUTE(SUBSTITUTE('Ingest Template'!L679,"http:",""),"https:",""),"/","")</f>
        <v/>
      </c>
      <c r="Z679" s="5" t="str">
        <f t="array" ref="Z679">IF('Ingest Template'!A679="Standard",(IF(ISBLANK('Ingest Template'!M679),"", 'Ingest Template'!M679&amp;"|DAR")),(IF(ISBLANK('Ingest Template'!M679),"", 'Ingest Template'!M679&amp;"|Operations - Core Title")))</f>
        <v/>
      </c>
      <c r="AA679" s="5"/>
      <c r="AB679" s="5" t="str">
        <f>'Ingest Template'!F679</f>
        <v/>
      </c>
      <c r="AC679" s="5"/>
      <c r="AD679" s="5"/>
      <c r="AE679" s="5"/>
      <c r="AF679" s="8"/>
      <c r="AG679" s="5" t="str">
        <f t="array" ref="AG679">IF('Ingest Template'!A679="Standard",(CONCATENATE(IF(ISBLANK('Ingest Template'!N679),"", 'Ingest Template'!N679&amp;"|DAR"),CHAR(10), IF(ISBLANK('Ingest Template'!O679),"", 'Ingest Template'!O679&amp;"|DAR"),CHAR(10), IF(ISBLANK('Ingest Template'!P679),"", 'Ingest Template'!P679&amp;"|DAR"))),(CONCATENATE(IF(ISBLANK('Ingest Template'!N679),"", 'Ingest Template'!N679&amp;"|Operations - Core Title"),CHAR(10), IF(ISBLANK('Ingest Template'!O679),"", 'Ingest Template'!O679&amp;"|Operations - Core Title"),CHAR(10), IF(ISBLANK('Ingest Template'!P679),"", 'Ingest Template'!P679&amp;"|Operations - Core Title"))))</f>
        <v>#|Operations - Core Title
</v>
      </c>
      <c r="AH679" s="5"/>
      <c r="AI679" s="5"/>
      <c r="AJ679" s="5"/>
      <c r="AK679" s="5"/>
      <c r="AL679" s="5"/>
    </row>
    <row r="680">
      <c r="A680" s="5"/>
      <c r="B680" s="5" t="str">
        <f>'Ingest Template'!B680&amp;IF('Ingest Template'!A680 = "Standard", " - DAR","")</f>
        <v/>
      </c>
      <c r="C680" s="6" t="str">
        <f>'Ingest Template'!C680</f>
        <v/>
      </c>
      <c r="D680" s="7" t="str">
        <f>'Ingest Template'!E680</f>
        <v/>
      </c>
      <c r="E680" s="5"/>
      <c r="F680" s="5"/>
      <c r="G680" s="5"/>
      <c r="H680" s="7"/>
      <c r="I680" s="5"/>
      <c r="J680" s="7" t="str">
        <f>'Ingest Template'!Q680</f>
        <v/>
      </c>
      <c r="K680" s="5" t="str">
        <f>'Ingest Template'!R680</f>
        <v/>
      </c>
      <c r="L680" s="8" t="s">
        <v>38</v>
      </c>
      <c r="M680" s="9"/>
      <c r="N680" s="5"/>
      <c r="O680" s="5"/>
      <c r="P680" s="5"/>
      <c r="Q680" s="5"/>
      <c r="R680" s="5" t="str">
        <f>'Ingest Template'!D680</f>
        <v/>
      </c>
      <c r="S680" s="5" t="str">
        <f>'Ingest Template'!G680</f>
        <v/>
      </c>
      <c r="T680" s="5" t="str">
        <f>'Ingest Template'!H680</f>
        <v/>
      </c>
      <c r="U680" s="5" t="str">
        <f>LOWER(SUBSTITUTE(SUBSTITUTE(SUBSTITUTE(SUBSTITUTE(SUBSTITUTE('Ingest Template'!I680,"https:",""),"www.",""),"/",""),"?hl=en",""),"instagram.com",""))</f>
        <v/>
      </c>
      <c r="V680" s="10" t="str">
        <f>'Ingest Template'!J680</f>
        <v/>
      </c>
      <c r="W680" s="10" t="str">
        <f>'Ingest Template'!K680</f>
        <v/>
      </c>
      <c r="X680" s="5"/>
      <c r="Y680" s="5" t="str">
        <f>SUBSTITUTE(SUBSTITUTE(SUBSTITUTE('Ingest Template'!L680,"http:",""),"https:",""),"/","")</f>
        <v/>
      </c>
      <c r="Z680" s="5" t="str">
        <f t="array" ref="Z680">IF('Ingest Template'!A680="Standard",(IF(ISBLANK('Ingest Template'!M680),"", 'Ingest Template'!M680&amp;"|DAR")),(IF(ISBLANK('Ingest Template'!M680),"", 'Ingest Template'!M680&amp;"|Operations - Core Title")))</f>
        <v/>
      </c>
      <c r="AA680" s="5"/>
      <c r="AB680" s="5" t="str">
        <f>'Ingest Template'!F680</f>
        <v/>
      </c>
      <c r="AC680" s="5"/>
      <c r="AD680" s="5"/>
      <c r="AE680" s="5"/>
      <c r="AF680" s="8"/>
      <c r="AG680" s="5" t="str">
        <f t="array" ref="AG680">IF('Ingest Template'!A680="Standard",(CONCATENATE(IF(ISBLANK('Ingest Template'!N680),"", 'Ingest Template'!N680&amp;"|DAR"),CHAR(10), IF(ISBLANK('Ingest Template'!O680),"", 'Ingest Template'!O680&amp;"|DAR"),CHAR(10), IF(ISBLANK('Ingest Template'!P680),"", 'Ingest Template'!P680&amp;"|DAR"))),(CONCATENATE(IF(ISBLANK('Ingest Template'!N680),"", 'Ingest Template'!N680&amp;"|Operations - Core Title"),CHAR(10), IF(ISBLANK('Ingest Template'!O680),"", 'Ingest Template'!O680&amp;"|Operations - Core Title"),CHAR(10), IF(ISBLANK('Ingest Template'!P680),"", 'Ingest Template'!P680&amp;"|Operations - Core Title"))))</f>
        <v>#|Operations - Core Title
</v>
      </c>
      <c r="AH680" s="5"/>
      <c r="AI680" s="5"/>
      <c r="AJ680" s="5"/>
      <c r="AK680" s="5"/>
      <c r="AL680" s="5"/>
    </row>
    <row r="681">
      <c r="A681" s="5"/>
      <c r="B681" s="5" t="str">
        <f>'Ingest Template'!B681&amp;IF('Ingest Template'!A681 = "Standard", " - DAR","")</f>
        <v/>
      </c>
      <c r="C681" s="6" t="str">
        <f>'Ingest Template'!C681</f>
        <v/>
      </c>
      <c r="D681" s="7" t="str">
        <f>'Ingest Template'!E681</f>
        <v/>
      </c>
      <c r="E681" s="5"/>
      <c r="F681" s="5"/>
      <c r="G681" s="5"/>
      <c r="H681" s="7"/>
      <c r="I681" s="5"/>
      <c r="J681" s="7" t="str">
        <f>'Ingest Template'!Q681</f>
        <v/>
      </c>
      <c r="K681" s="5" t="str">
        <f>'Ingest Template'!R681</f>
        <v/>
      </c>
      <c r="L681" s="8" t="s">
        <v>38</v>
      </c>
      <c r="M681" s="9"/>
      <c r="N681" s="5"/>
      <c r="O681" s="5"/>
      <c r="P681" s="5"/>
      <c r="Q681" s="5"/>
      <c r="R681" s="5" t="str">
        <f>'Ingest Template'!D681</f>
        <v/>
      </c>
      <c r="S681" s="5" t="str">
        <f>'Ingest Template'!G681</f>
        <v/>
      </c>
      <c r="T681" s="5" t="str">
        <f>'Ingest Template'!H681</f>
        <v/>
      </c>
      <c r="U681" s="5" t="str">
        <f>LOWER(SUBSTITUTE(SUBSTITUTE(SUBSTITUTE(SUBSTITUTE(SUBSTITUTE('Ingest Template'!I681,"https:",""),"www.",""),"/",""),"?hl=en",""),"instagram.com",""))</f>
        <v/>
      </c>
      <c r="V681" s="10" t="str">
        <f>'Ingest Template'!J681</f>
        <v/>
      </c>
      <c r="W681" s="10" t="str">
        <f>'Ingest Template'!K681</f>
        <v/>
      </c>
      <c r="X681" s="5"/>
      <c r="Y681" s="5" t="str">
        <f>SUBSTITUTE(SUBSTITUTE(SUBSTITUTE('Ingest Template'!L681,"http:",""),"https:",""),"/","")</f>
        <v/>
      </c>
      <c r="Z681" s="5" t="str">
        <f t="array" ref="Z681">IF('Ingest Template'!A681="Standard",(IF(ISBLANK('Ingest Template'!M681),"", 'Ingest Template'!M681&amp;"|DAR")),(IF(ISBLANK('Ingest Template'!M681),"", 'Ingest Template'!M681&amp;"|Operations - Core Title")))</f>
        <v/>
      </c>
      <c r="AA681" s="5"/>
      <c r="AB681" s="5" t="str">
        <f>'Ingest Template'!F681</f>
        <v/>
      </c>
      <c r="AC681" s="5"/>
      <c r="AD681" s="5"/>
      <c r="AE681" s="5"/>
      <c r="AF681" s="8"/>
      <c r="AG681" s="5" t="str">
        <f t="array" ref="AG681">IF('Ingest Template'!A681="Standard",(CONCATENATE(IF(ISBLANK('Ingest Template'!N681),"", 'Ingest Template'!N681&amp;"|DAR"),CHAR(10), IF(ISBLANK('Ingest Template'!O681),"", 'Ingest Template'!O681&amp;"|DAR"),CHAR(10), IF(ISBLANK('Ingest Template'!P681),"", 'Ingest Template'!P681&amp;"|DAR"))),(CONCATENATE(IF(ISBLANK('Ingest Template'!N681),"", 'Ingest Template'!N681&amp;"|Operations - Core Title"),CHAR(10), IF(ISBLANK('Ingest Template'!O681),"", 'Ingest Template'!O681&amp;"|Operations - Core Title"),CHAR(10), IF(ISBLANK('Ingest Template'!P681),"", 'Ingest Template'!P681&amp;"|Operations - Core Title"))))</f>
        <v>#|Operations - Core Title
</v>
      </c>
      <c r="AH681" s="5"/>
      <c r="AI681" s="5"/>
      <c r="AJ681" s="5"/>
      <c r="AK681" s="5"/>
      <c r="AL681" s="5"/>
    </row>
    <row r="682">
      <c r="A682" s="5"/>
      <c r="B682" s="5" t="str">
        <f>'Ingest Template'!B682&amp;IF('Ingest Template'!A682 = "Standard", " - DAR","")</f>
        <v/>
      </c>
      <c r="C682" s="6" t="str">
        <f>'Ingest Template'!C682</f>
        <v/>
      </c>
      <c r="D682" s="7" t="str">
        <f>'Ingest Template'!E682</f>
        <v/>
      </c>
      <c r="E682" s="5"/>
      <c r="F682" s="5"/>
      <c r="G682" s="5"/>
      <c r="H682" s="7"/>
      <c r="I682" s="5"/>
      <c r="J682" s="7" t="str">
        <f>'Ingest Template'!Q682</f>
        <v/>
      </c>
      <c r="K682" s="5" t="str">
        <f>'Ingest Template'!R682</f>
        <v/>
      </c>
      <c r="L682" s="8" t="s">
        <v>38</v>
      </c>
      <c r="M682" s="9"/>
      <c r="N682" s="5"/>
      <c r="O682" s="5"/>
      <c r="P682" s="5"/>
      <c r="Q682" s="5"/>
      <c r="R682" s="5" t="str">
        <f>'Ingest Template'!D682</f>
        <v/>
      </c>
      <c r="S682" s="5" t="str">
        <f>'Ingest Template'!G682</f>
        <v/>
      </c>
      <c r="T682" s="5" t="str">
        <f>'Ingest Template'!H682</f>
        <v/>
      </c>
      <c r="U682" s="5" t="str">
        <f>LOWER(SUBSTITUTE(SUBSTITUTE(SUBSTITUTE(SUBSTITUTE(SUBSTITUTE('Ingest Template'!I682,"https:",""),"www.",""),"/",""),"?hl=en",""),"instagram.com",""))</f>
        <v/>
      </c>
      <c r="V682" s="10" t="str">
        <f>'Ingest Template'!J682</f>
        <v/>
      </c>
      <c r="W682" s="10" t="str">
        <f>'Ingest Template'!K682</f>
        <v/>
      </c>
      <c r="X682" s="5"/>
      <c r="Y682" s="5" t="str">
        <f>SUBSTITUTE(SUBSTITUTE(SUBSTITUTE('Ingest Template'!L682,"http:",""),"https:",""),"/","")</f>
        <v/>
      </c>
      <c r="Z682" s="5" t="str">
        <f t="array" ref="Z682">IF('Ingest Template'!A682="Standard",(IF(ISBLANK('Ingest Template'!M682),"", 'Ingest Template'!M682&amp;"|DAR")),(IF(ISBLANK('Ingest Template'!M682),"", 'Ingest Template'!M682&amp;"|Operations - Core Title")))</f>
        <v/>
      </c>
      <c r="AA682" s="5"/>
      <c r="AB682" s="5" t="str">
        <f>'Ingest Template'!F682</f>
        <v/>
      </c>
      <c r="AC682" s="5"/>
      <c r="AD682" s="5"/>
      <c r="AE682" s="5"/>
      <c r="AF682" s="8"/>
      <c r="AG682" s="5" t="str">
        <f t="array" ref="AG682">IF('Ingest Template'!A682="Standard",(CONCATENATE(IF(ISBLANK('Ingest Template'!N682),"", 'Ingest Template'!N682&amp;"|DAR"),CHAR(10), IF(ISBLANK('Ingest Template'!O682),"", 'Ingest Template'!O682&amp;"|DAR"),CHAR(10), IF(ISBLANK('Ingest Template'!P682),"", 'Ingest Template'!P682&amp;"|DAR"))),(CONCATENATE(IF(ISBLANK('Ingest Template'!N682),"", 'Ingest Template'!N682&amp;"|Operations - Core Title"),CHAR(10), IF(ISBLANK('Ingest Template'!O682),"", 'Ingest Template'!O682&amp;"|Operations - Core Title"),CHAR(10), IF(ISBLANK('Ingest Template'!P682),"", 'Ingest Template'!P682&amp;"|Operations - Core Title"))))</f>
        <v>#|Operations - Core Title
</v>
      </c>
      <c r="AH682" s="5"/>
      <c r="AI682" s="5"/>
      <c r="AJ682" s="5"/>
      <c r="AK682" s="5"/>
      <c r="AL682" s="5"/>
    </row>
    <row r="683">
      <c r="A683" s="5"/>
      <c r="B683" s="5" t="str">
        <f>'Ingest Template'!B683&amp;IF('Ingest Template'!A683 = "Standard", " - DAR","")</f>
        <v/>
      </c>
      <c r="C683" s="6" t="str">
        <f>'Ingest Template'!C683</f>
        <v/>
      </c>
      <c r="D683" s="7" t="str">
        <f>'Ingest Template'!E683</f>
        <v/>
      </c>
      <c r="E683" s="5"/>
      <c r="F683" s="5"/>
      <c r="G683" s="5"/>
      <c r="H683" s="7"/>
      <c r="I683" s="5"/>
      <c r="J683" s="7" t="str">
        <f>'Ingest Template'!Q683</f>
        <v/>
      </c>
      <c r="K683" s="5" t="str">
        <f>'Ingest Template'!R683</f>
        <v/>
      </c>
      <c r="L683" s="8" t="s">
        <v>38</v>
      </c>
      <c r="M683" s="9"/>
      <c r="N683" s="5"/>
      <c r="O683" s="5"/>
      <c r="P683" s="5"/>
      <c r="Q683" s="5"/>
      <c r="R683" s="5" t="str">
        <f>'Ingest Template'!D683</f>
        <v/>
      </c>
      <c r="S683" s="5" t="str">
        <f>'Ingest Template'!G683</f>
        <v/>
      </c>
      <c r="T683" s="5" t="str">
        <f>'Ingest Template'!H683</f>
        <v/>
      </c>
      <c r="U683" s="5" t="str">
        <f>LOWER(SUBSTITUTE(SUBSTITUTE(SUBSTITUTE(SUBSTITUTE(SUBSTITUTE('Ingest Template'!I683,"https:",""),"www.",""),"/",""),"?hl=en",""),"instagram.com",""))</f>
        <v/>
      </c>
      <c r="V683" s="10" t="str">
        <f>'Ingest Template'!J683</f>
        <v/>
      </c>
      <c r="W683" s="10" t="str">
        <f>'Ingest Template'!K683</f>
        <v/>
      </c>
      <c r="X683" s="5"/>
      <c r="Y683" s="5" t="str">
        <f>SUBSTITUTE(SUBSTITUTE(SUBSTITUTE('Ingest Template'!L683,"http:",""),"https:",""),"/","")</f>
        <v/>
      </c>
      <c r="Z683" s="5" t="str">
        <f t="array" ref="Z683">IF('Ingest Template'!A683="Standard",(IF(ISBLANK('Ingest Template'!M683),"", 'Ingest Template'!M683&amp;"|DAR")),(IF(ISBLANK('Ingest Template'!M683),"", 'Ingest Template'!M683&amp;"|Operations - Core Title")))</f>
        <v/>
      </c>
      <c r="AA683" s="5"/>
      <c r="AB683" s="5" t="str">
        <f>'Ingest Template'!F683</f>
        <v/>
      </c>
      <c r="AC683" s="5"/>
      <c r="AD683" s="5"/>
      <c r="AE683" s="5"/>
      <c r="AF683" s="8"/>
      <c r="AG683" s="5" t="str">
        <f t="array" ref="AG683">IF('Ingest Template'!A683="Standard",(CONCATENATE(IF(ISBLANK('Ingest Template'!N683),"", 'Ingest Template'!N683&amp;"|DAR"),CHAR(10), IF(ISBLANK('Ingest Template'!O683),"", 'Ingest Template'!O683&amp;"|DAR"),CHAR(10), IF(ISBLANK('Ingest Template'!P683),"", 'Ingest Template'!P683&amp;"|DAR"))),(CONCATENATE(IF(ISBLANK('Ingest Template'!N683),"", 'Ingest Template'!N683&amp;"|Operations - Core Title"),CHAR(10), IF(ISBLANK('Ingest Template'!O683),"", 'Ingest Template'!O683&amp;"|Operations - Core Title"),CHAR(10), IF(ISBLANK('Ingest Template'!P683),"", 'Ingest Template'!P683&amp;"|Operations - Core Title"))))</f>
        <v>#|Operations - Core Title
</v>
      </c>
      <c r="AH683" s="5"/>
      <c r="AI683" s="5"/>
      <c r="AJ683" s="5"/>
      <c r="AK683" s="5"/>
      <c r="AL683" s="5"/>
    </row>
    <row r="684">
      <c r="A684" s="5"/>
      <c r="B684" s="5" t="str">
        <f>'Ingest Template'!B684&amp;IF('Ingest Template'!A684 = "Standard", " - DAR","")</f>
        <v/>
      </c>
      <c r="C684" s="6" t="str">
        <f>'Ingest Template'!C684</f>
        <v/>
      </c>
      <c r="D684" s="7" t="str">
        <f>'Ingest Template'!E684</f>
        <v/>
      </c>
      <c r="E684" s="5"/>
      <c r="F684" s="5"/>
      <c r="G684" s="5"/>
      <c r="H684" s="7"/>
      <c r="I684" s="5"/>
      <c r="J684" s="7" t="str">
        <f>'Ingest Template'!Q684</f>
        <v/>
      </c>
      <c r="K684" s="5" t="str">
        <f>'Ingest Template'!R684</f>
        <v/>
      </c>
      <c r="L684" s="8" t="s">
        <v>38</v>
      </c>
      <c r="M684" s="9"/>
      <c r="N684" s="5"/>
      <c r="O684" s="5"/>
      <c r="P684" s="5"/>
      <c r="Q684" s="5"/>
      <c r="R684" s="5" t="str">
        <f>'Ingest Template'!D684</f>
        <v/>
      </c>
      <c r="S684" s="5" t="str">
        <f>'Ingest Template'!G684</f>
        <v/>
      </c>
      <c r="T684" s="5" t="str">
        <f>'Ingest Template'!H684</f>
        <v/>
      </c>
      <c r="U684" s="5" t="str">
        <f>LOWER(SUBSTITUTE(SUBSTITUTE(SUBSTITUTE(SUBSTITUTE(SUBSTITUTE('Ingest Template'!I684,"https:",""),"www.",""),"/",""),"?hl=en",""),"instagram.com",""))</f>
        <v/>
      </c>
      <c r="V684" s="10" t="str">
        <f>'Ingest Template'!J684</f>
        <v/>
      </c>
      <c r="W684" s="10" t="str">
        <f>'Ingest Template'!K684</f>
        <v/>
      </c>
      <c r="X684" s="5"/>
      <c r="Y684" s="5" t="str">
        <f>SUBSTITUTE(SUBSTITUTE(SUBSTITUTE('Ingest Template'!L684,"http:",""),"https:",""),"/","")</f>
        <v/>
      </c>
      <c r="Z684" s="5" t="str">
        <f t="array" ref="Z684">IF('Ingest Template'!A684="Standard",(IF(ISBLANK('Ingest Template'!M684),"", 'Ingest Template'!M684&amp;"|DAR")),(IF(ISBLANK('Ingest Template'!M684),"", 'Ingest Template'!M684&amp;"|Operations - Core Title")))</f>
        <v/>
      </c>
      <c r="AA684" s="5"/>
      <c r="AB684" s="5" t="str">
        <f>'Ingest Template'!F684</f>
        <v/>
      </c>
      <c r="AC684" s="5"/>
      <c r="AD684" s="5"/>
      <c r="AE684" s="5"/>
      <c r="AF684" s="8"/>
      <c r="AG684" s="5" t="str">
        <f t="array" ref="AG684">IF('Ingest Template'!A684="Standard",(CONCATENATE(IF(ISBLANK('Ingest Template'!N684),"", 'Ingest Template'!N684&amp;"|DAR"),CHAR(10), IF(ISBLANK('Ingest Template'!O684),"", 'Ingest Template'!O684&amp;"|DAR"),CHAR(10), IF(ISBLANK('Ingest Template'!P684),"", 'Ingest Template'!P684&amp;"|DAR"))),(CONCATENATE(IF(ISBLANK('Ingest Template'!N684),"", 'Ingest Template'!N684&amp;"|Operations - Core Title"),CHAR(10), IF(ISBLANK('Ingest Template'!O684),"", 'Ingest Template'!O684&amp;"|Operations - Core Title"),CHAR(10), IF(ISBLANK('Ingest Template'!P684),"", 'Ingest Template'!P684&amp;"|Operations - Core Title"))))</f>
        <v>#|Operations - Core Title
</v>
      </c>
      <c r="AH684" s="5"/>
      <c r="AI684" s="5"/>
      <c r="AJ684" s="5"/>
      <c r="AK684" s="5"/>
      <c r="AL684" s="5"/>
    </row>
    <row r="685">
      <c r="A685" s="5"/>
      <c r="B685" s="5" t="str">
        <f>'Ingest Template'!B685&amp;IF('Ingest Template'!A685 = "Standard", " - DAR","")</f>
        <v/>
      </c>
      <c r="C685" s="6" t="str">
        <f>'Ingest Template'!C685</f>
        <v/>
      </c>
      <c r="D685" s="7" t="str">
        <f>'Ingest Template'!E685</f>
        <v/>
      </c>
      <c r="E685" s="5"/>
      <c r="F685" s="5"/>
      <c r="G685" s="5"/>
      <c r="H685" s="7"/>
      <c r="I685" s="5"/>
      <c r="J685" s="7" t="str">
        <f>'Ingest Template'!Q685</f>
        <v/>
      </c>
      <c r="K685" s="5" t="str">
        <f>'Ingest Template'!R685</f>
        <v/>
      </c>
      <c r="L685" s="8" t="s">
        <v>38</v>
      </c>
      <c r="M685" s="9"/>
      <c r="N685" s="5"/>
      <c r="O685" s="5"/>
      <c r="P685" s="5"/>
      <c r="Q685" s="5"/>
      <c r="R685" s="5" t="str">
        <f>'Ingest Template'!D685</f>
        <v/>
      </c>
      <c r="S685" s="5" t="str">
        <f>'Ingest Template'!G685</f>
        <v/>
      </c>
      <c r="T685" s="5" t="str">
        <f>'Ingest Template'!H685</f>
        <v/>
      </c>
      <c r="U685" s="5" t="str">
        <f>LOWER(SUBSTITUTE(SUBSTITUTE(SUBSTITUTE(SUBSTITUTE(SUBSTITUTE('Ingest Template'!I685,"https:",""),"www.",""),"/",""),"?hl=en",""),"instagram.com",""))</f>
        <v/>
      </c>
      <c r="V685" s="10" t="str">
        <f>'Ingest Template'!J685</f>
        <v/>
      </c>
      <c r="W685" s="10" t="str">
        <f>'Ingest Template'!K685</f>
        <v/>
      </c>
      <c r="X685" s="5"/>
      <c r="Y685" s="5" t="str">
        <f>SUBSTITUTE(SUBSTITUTE(SUBSTITUTE('Ingest Template'!L685,"http:",""),"https:",""),"/","")</f>
        <v/>
      </c>
      <c r="Z685" s="5" t="str">
        <f t="array" ref="Z685">IF('Ingest Template'!A685="Standard",(IF(ISBLANK('Ingest Template'!M685),"", 'Ingest Template'!M685&amp;"|DAR")),(IF(ISBLANK('Ingest Template'!M685),"", 'Ingest Template'!M685&amp;"|Operations - Core Title")))</f>
        <v/>
      </c>
      <c r="AA685" s="5"/>
      <c r="AB685" s="5" t="str">
        <f>'Ingest Template'!F685</f>
        <v/>
      </c>
      <c r="AC685" s="5"/>
      <c r="AD685" s="5"/>
      <c r="AE685" s="5"/>
      <c r="AF685" s="8"/>
      <c r="AG685" s="5" t="str">
        <f t="array" ref="AG685">IF('Ingest Template'!A685="Standard",(CONCATENATE(IF(ISBLANK('Ingest Template'!N685),"", 'Ingest Template'!N685&amp;"|DAR"),CHAR(10), IF(ISBLANK('Ingest Template'!O685),"", 'Ingest Template'!O685&amp;"|DAR"),CHAR(10), IF(ISBLANK('Ingest Template'!P685),"", 'Ingest Template'!P685&amp;"|DAR"))),(CONCATENATE(IF(ISBLANK('Ingest Template'!N685),"", 'Ingest Template'!N685&amp;"|Operations - Core Title"),CHAR(10), IF(ISBLANK('Ingest Template'!O685),"", 'Ingest Template'!O685&amp;"|Operations - Core Title"),CHAR(10), IF(ISBLANK('Ingest Template'!P685),"", 'Ingest Template'!P685&amp;"|Operations - Core Title"))))</f>
        <v>#|Operations - Core Title
</v>
      </c>
      <c r="AH685" s="5"/>
      <c r="AI685" s="5"/>
      <c r="AJ685" s="5"/>
      <c r="AK685" s="5"/>
      <c r="AL685" s="5"/>
    </row>
    <row r="686">
      <c r="A686" s="5"/>
      <c r="B686" s="5" t="str">
        <f>'Ingest Template'!B686&amp;IF('Ingest Template'!A686 = "Standard", " - DAR","")</f>
        <v/>
      </c>
      <c r="C686" s="6" t="str">
        <f>'Ingest Template'!C686</f>
        <v/>
      </c>
      <c r="D686" s="7" t="str">
        <f>'Ingest Template'!E686</f>
        <v/>
      </c>
      <c r="E686" s="5"/>
      <c r="F686" s="5"/>
      <c r="G686" s="5"/>
      <c r="H686" s="7"/>
      <c r="I686" s="5"/>
      <c r="J686" s="7" t="str">
        <f>'Ingest Template'!Q686</f>
        <v/>
      </c>
      <c r="K686" s="5" t="str">
        <f>'Ingest Template'!R686</f>
        <v/>
      </c>
      <c r="L686" s="8" t="s">
        <v>38</v>
      </c>
      <c r="M686" s="9"/>
      <c r="N686" s="5"/>
      <c r="O686" s="5"/>
      <c r="P686" s="5"/>
      <c r="Q686" s="5"/>
      <c r="R686" s="5" t="str">
        <f>'Ingest Template'!D686</f>
        <v/>
      </c>
      <c r="S686" s="5" t="str">
        <f>'Ingest Template'!G686</f>
        <v/>
      </c>
      <c r="T686" s="5" t="str">
        <f>'Ingest Template'!H686</f>
        <v/>
      </c>
      <c r="U686" s="5" t="str">
        <f>LOWER(SUBSTITUTE(SUBSTITUTE(SUBSTITUTE(SUBSTITUTE(SUBSTITUTE('Ingest Template'!I686,"https:",""),"www.",""),"/",""),"?hl=en",""),"instagram.com",""))</f>
        <v/>
      </c>
      <c r="V686" s="10" t="str">
        <f>'Ingest Template'!J686</f>
        <v/>
      </c>
      <c r="W686" s="10" t="str">
        <f>'Ingest Template'!K686</f>
        <v/>
      </c>
      <c r="X686" s="5"/>
      <c r="Y686" s="5" t="str">
        <f>SUBSTITUTE(SUBSTITUTE(SUBSTITUTE('Ingest Template'!L686,"http:",""),"https:",""),"/","")</f>
        <v/>
      </c>
      <c r="Z686" s="5" t="str">
        <f t="array" ref="Z686">IF('Ingest Template'!A686="Standard",(IF(ISBLANK('Ingest Template'!M686),"", 'Ingest Template'!M686&amp;"|DAR")),(IF(ISBLANK('Ingest Template'!M686),"", 'Ingest Template'!M686&amp;"|Operations - Core Title")))</f>
        <v/>
      </c>
      <c r="AA686" s="5"/>
      <c r="AB686" s="5" t="str">
        <f>'Ingest Template'!F686</f>
        <v/>
      </c>
      <c r="AC686" s="5"/>
      <c r="AD686" s="5"/>
      <c r="AE686" s="5"/>
      <c r="AF686" s="8"/>
      <c r="AG686" s="5" t="str">
        <f t="array" ref="AG686">IF('Ingest Template'!A686="Standard",(CONCATENATE(IF(ISBLANK('Ingest Template'!N686),"", 'Ingest Template'!N686&amp;"|DAR"),CHAR(10), IF(ISBLANK('Ingest Template'!O686),"", 'Ingest Template'!O686&amp;"|DAR"),CHAR(10), IF(ISBLANK('Ingest Template'!P686),"", 'Ingest Template'!P686&amp;"|DAR"))),(CONCATENATE(IF(ISBLANK('Ingest Template'!N686),"", 'Ingest Template'!N686&amp;"|Operations - Core Title"),CHAR(10), IF(ISBLANK('Ingest Template'!O686),"", 'Ingest Template'!O686&amp;"|Operations - Core Title"),CHAR(10), IF(ISBLANK('Ingest Template'!P686),"", 'Ingest Template'!P686&amp;"|Operations - Core Title"))))</f>
        <v>#|Operations - Core Title
</v>
      </c>
      <c r="AH686" s="5"/>
      <c r="AI686" s="5"/>
      <c r="AJ686" s="5"/>
      <c r="AK686" s="5"/>
      <c r="AL686" s="5"/>
    </row>
    <row r="687">
      <c r="A687" s="5"/>
      <c r="B687" s="5" t="str">
        <f>'Ingest Template'!B687&amp;IF('Ingest Template'!A687 = "Standard", " - DAR","")</f>
        <v/>
      </c>
      <c r="C687" s="6" t="str">
        <f>'Ingest Template'!C687</f>
        <v/>
      </c>
      <c r="D687" s="7" t="str">
        <f>'Ingest Template'!E687</f>
        <v/>
      </c>
      <c r="E687" s="5"/>
      <c r="F687" s="5"/>
      <c r="G687" s="5"/>
      <c r="H687" s="7"/>
      <c r="I687" s="5"/>
      <c r="J687" s="7" t="str">
        <f>'Ingest Template'!Q687</f>
        <v/>
      </c>
      <c r="K687" s="5" t="str">
        <f>'Ingest Template'!R687</f>
        <v/>
      </c>
      <c r="L687" s="8" t="s">
        <v>38</v>
      </c>
      <c r="M687" s="9"/>
      <c r="N687" s="5"/>
      <c r="O687" s="5"/>
      <c r="P687" s="5"/>
      <c r="Q687" s="5"/>
      <c r="R687" s="5" t="str">
        <f>'Ingest Template'!D687</f>
        <v/>
      </c>
      <c r="S687" s="5" t="str">
        <f>'Ingest Template'!G687</f>
        <v/>
      </c>
      <c r="T687" s="5" t="str">
        <f>'Ingest Template'!H687</f>
        <v/>
      </c>
      <c r="U687" s="5" t="str">
        <f>LOWER(SUBSTITUTE(SUBSTITUTE(SUBSTITUTE(SUBSTITUTE(SUBSTITUTE('Ingest Template'!I687,"https:",""),"www.",""),"/",""),"?hl=en",""),"instagram.com",""))</f>
        <v/>
      </c>
      <c r="V687" s="10" t="str">
        <f>'Ingest Template'!J687</f>
        <v/>
      </c>
      <c r="W687" s="10" t="str">
        <f>'Ingest Template'!K687</f>
        <v/>
      </c>
      <c r="X687" s="5"/>
      <c r="Y687" s="5" t="str">
        <f>SUBSTITUTE(SUBSTITUTE(SUBSTITUTE('Ingest Template'!L687,"http:",""),"https:",""),"/","")</f>
        <v/>
      </c>
      <c r="Z687" s="5" t="str">
        <f t="array" ref="Z687">IF('Ingest Template'!A687="Standard",(IF(ISBLANK('Ingest Template'!M687),"", 'Ingest Template'!M687&amp;"|DAR")),(IF(ISBLANK('Ingest Template'!M687),"", 'Ingest Template'!M687&amp;"|Operations - Core Title")))</f>
        <v/>
      </c>
      <c r="AA687" s="5"/>
      <c r="AB687" s="5" t="str">
        <f>'Ingest Template'!F687</f>
        <v/>
      </c>
      <c r="AC687" s="5"/>
      <c r="AD687" s="5"/>
      <c r="AE687" s="5"/>
      <c r="AF687" s="8"/>
      <c r="AG687" s="5" t="str">
        <f t="array" ref="AG687">IF('Ingest Template'!A687="Standard",(CONCATENATE(IF(ISBLANK('Ingest Template'!N687),"", 'Ingest Template'!N687&amp;"|DAR"),CHAR(10), IF(ISBLANK('Ingest Template'!O687),"", 'Ingest Template'!O687&amp;"|DAR"),CHAR(10), IF(ISBLANK('Ingest Template'!P687),"", 'Ingest Template'!P687&amp;"|DAR"))),(CONCATENATE(IF(ISBLANK('Ingest Template'!N687),"", 'Ingest Template'!N687&amp;"|Operations - Core Title"),CHAR(10), IF(ISBLANK('Ingest Template'!O687),"", 'Ingest Template'!O687&amp;"|Operations - Core Title"),CHAR(10), IF(ISBLANK('Ingest Template'!P687),"", 'Ingest Template'!P687&amp;"|Operations - Core Title"))))</f>
        <v>#|Operations - Core Title
</v>
      </c>
      <c r="AH687" s="5"/>
      <c r="AI687" s="5"/>
      <c r="AJ687" s="5"/>
      <c r="AK687" s="5"/>
      <c r="AL687" s="5"/>
    </row>
    <row r="688">
      <c r="A688" s="5"/>
      <c r="B688" s="5" t="str">
        <f>'Ingest Template'!B688&amp;IF('Ingest Template'!A688 = "Standard", " - DAR","")</f>
        <v/>
      </c>
      <c r="C688" s="6" t="str">
        <f>'Ingest Template'!C688</f>
        <v/>
      </c>
      <c r="D688" s="7" t="str">
        <f>'Ingest Template'!E688</f>
        <v/>
      </c>
      <c r="E688" s="5"/>
      <c r="F688" s="5"/>
      <c r="G688" s="5"/>
      <c r="H688" s="7"/>
      <c r="I688" s="5"/>
      <c r="J688" s="7" t="str">
        <f>'Ingest Template'!Q688</f>
        <v/>
      </c>
      <c r="K688" s="5" t="str">
        <f>'Ingest Template'!R688</f>
        <v/>
      </c>
      <c r="L688" s="8" t="s">
        <v>38</v>
      </c>
      <c r="M688" s="9"/>
      <c r="N688" s="5"/>
      <c r="O688" s="5"/>
      <c r="P688" s="5"/>
      <c r="Q688" s="5"/>
      <c r="R688" s="5" t="str">
        <f>'Ingest Template'!D688</f>
        <v/>
      </c>
      <c r="S688" s="5" t="str">
        <f>'Ingest Template'!G688</f>
        <v/>
      </c>
      <c r="T688" s="5" t="str">
        <f>'Ingest Template'!H688</f>
        <v/>
      </c>
      <c r="U688" s="5" t="str">
        <f>LOWER(SUBSTITUTE(SUBSTITUTE(SUBSTITUTE(SUBSTITUTE(SUBSTITUTE('Ingest Template'!I688,"https:",""),"www.",""),"/",""),"?hl=en",""),"instagram.com",""))</f>
        <v/>
      </c>
      <c r="V688" s="10" t="str">
        <f>'Ingest Template'!J688</f>
        <v/>
      </c>
      <c r="W688" s="10" t="str">
        <f>'Ingest Template'!K688</f>
        <v/>
      </c>
      <c r="X688" s="5"/>
      <c r="Y688" s="5" t="str">
        <f>SUBSTITUTE(SUBSTITUTE(SUBSTITUTE('Ingest Template'!L688,"http:",""),"https:",""),"/","")</f>
        <v/>
      </c>
      <c r="Z688" s="5" t="str">
        <f t="array" ref="Z688">IF('Ingest Template'!A688="Standard",(IF(ISBLANK('Ingest Template'!M688),"", 'Ingest Template'!M688&amp;"|DAR")),(IF(ISBLANK('Ingest Template'!M688),"", 'Ingest Template'!M688&amp;"|Operations - Core Title")))</f>
        <v/>
      </c>
      <c r="AA688" s="5"/>
      <c r="AB688" s="5" t="str">
        <f>'Ingest Template'!F688</f>
        <v/>
      </c>
      <c r="AC688" s="5"/>
      <c r="AD688" s="5"/>
      <c r="AE688" s="5"/>
      <c r="AF688" s="8"/>
      <c r="AG688" s="5" t="str">
        <f t="array" ref="AG688">IF('Ingest Template'!A688="Standard",(CONCATENATE(IF(ISBLANK('Ingest Template'!N688),"", 'Ingest Template'!N688&amp;"|DAR"),CHAR(10), IF(ISBLANK('Ingest Template'!O688),"", 'Ingest Template'!O688&amp;"|DAR"),CHAR(10), IF(ISBLANK('Ingest Template'!P688),"", 'Ingest Template'!P688&amp;"|DAR"))),(CONCATENATE(IF(ISBLANK('Ingest Template'!N688),"", 'Ingest Template'!N688&amp;"|Operations - Core Title"),CHAR(10), IF(ISBLANK('Ingest Template'!O688),"", 'Ingest Template'!O688&amp;"|Operations - Core Title"),CHAR(10), IF(ISBLANK('Ingest Template'!P688),"", 'Ingest Template'!P688&amp;"|Operations - Core Title"))))</f>
        <v>#|Operations - Core Title
</v>
      </c>
      <c r="AH688" s="5"/>
      <c r="AI688" s="5"/>
      <c r="AJ688" s="5"/>
      <c r="AK688" s="5"/>
      <c r="AL688" s="5"/>
    </row>
    <row r="689">
      <c r="A689" s="5"/>
      <c r="B689" s="5" t="str">
        <f>'Ingest Template'!B689&amp;IF('Ingest Template'!A689 = "Standard", " - DAR","")</f>
        <v/>
      </c>
      <c r="C689" s="6" t="str">
        <f>'Ingest Template'!C689</f>
        <v/>
      </c>
      <c r="D689" s="7" t="str">
        <f>'Ingest Template'!E689</f>
        <v/>
      </c>
      <c r="E689" s="5"/>
      <c r="F689" s="5"/>
      <c r="G689" s="5"/>
      <c r="H689" s="7"/>
      <c r="I689" s="5"/>
      <c r="J689" s="7" t="str">
        <f>'Ingest Template'!Q689</f>
        <v/>
      </c>
      <c r="K689" s="5" t="str">
        <f>'Ingest Template'!R689</f>
        <v/>
      </c>
      <c r="L689" s="8" t="s">
        <v>38</v>
      </c>
      <c r="M689" s="9"/>
      <c r="N689" s="5"/>
      <c r="O689" s="5"/>
      <c r="P689" s="5"/>
      <c r="Q689" s="5"/>
      <c r="R689" s="5" t="str">
        <f>'Ingest Template'!D689</f>
        <v/>
      </c>
      <c r="S689" s="5" t="str">
        <f>'Ingest Template'!G689</f>
        <v/>
      </c>
      <c r="T689" s="5" t="str">
        <f>'Ingest Template'!H689</f>
        <v/>
      </c>
      <c r="U689" s="5" t="str">
        <f>LOWER(SUBSTITUTE(SUBSTITUTE(SUBSTITUTE(SUBSTITUTE(SUBSTITUTE('Ingest Template'!I689,"https:",""),"www.",""),"/",""),"?hl=en",""),"instagram.com",""))</f>
        <v/>
      </c>
      <c r="V689" s="10" t="str">
        <f>'Ingest Template'!J689</f>
        <v/>
      </c>
      <c r="W689" s="10" t="str">
        <f>'Ingest Template'!K689</f>
        <v/>
      </c>
      <c r="X689" s="5"/>
      <c r="Y689" s="5" t="str">
        <f>SUBSTITUTE(SUBSTITUTE(SUBSTITUTE('Ingest Template'!L689,"http:",""),"https:",""),"/","")</f>
        <v/>
      </c>
      <c r="Z689" s="5" t="str">
        <f t="array" ref="Z689">IF('Ingest Template'!A689="Standard",(IF(ISBLANK('Ingest Template'!M689),"", 'Ingest Template'!M689&amp;"|DAR")),(IF(ISBLANK('Ingest Template'!M689),"", 'Ingest Template'!M689&amp;"|Operations - Core Title")))</f>
        <v/>
      </c>
      <c r="AA689" s="5"/>
      <c r="AB689" s="5" t="str">
        <f>'Ingest Template'!F689</f>
        <v/>
      </c>
      <c r="AC689" s="5"/>
      <c r="AD689" s="5"/>
      <c r="AE689" s="5"/>
      <c r="AF689" s="8"/>
      <c r="AG689" s="5" t="str">
        <f t="array" ref="AG689">IF('Ingest Template'!A689="Standard",(CONCATENATE(IF(ISBLANK('Ingest Template'!N689),"", 'Ingest Template'!N689&amp;"|DAR"),CHAR(10), IF(ISBLANK('Ingest Template'!O689),"", 'Ingest Template'!O689&amp;"|DAR"),CHAR(10), IF(ISBLANK('Ingest Template'!P689),"", 'Ingest Template'!P689&amp;"|DAR"))),(CONCATENATE(IF(ISBLANK('Ingest Template'!N689),"", 'Ingest Template'!N689&amp;"|Operations - Core Title"),CHAR(10), IF(ISBLANK('Ingest Template'!O689),"", 'Ingest Template'!O689&amp;"|Operations - Core Title"),CHAR(10), IF(ISBLANK('Ingest Template'!P689),"", 'Ingest Template'!P689&amp;"|Operations - Core Title"))))</f>
        <v>#|Operations - Core Title
</v>
      </c>
      <c r="AH689" s="5"/>
      <c r="AI689" s="5"/>
      <c r="AJ689" s="5"/>
      <c r="AK689" s="5"/>
      <c r="AL689" s="5"/>
    </row>
    <row r="690">
      <c r="A690" s="5"/>
      <c r="B690" s="5" t="str">
        <f>'Ingest Template'!B690&amp;IF('Ingest Template'!A690 = "Standard", " - DAR","")</f>
        <v/>
      </c>
      <c r="C690" s="6" t="str">
        <f>'Ingest Template'!C690</f>
        <v/>
      </c>
      <c r="D690" s="7" t="str">
        <f>'Ingest Template'!E690</f>
        <v/>
      </c>
      <c r="E690" s="5"/>
      <c r="F690" s="5"/>
      <c r="G690" s="5"/>
      <c r="H690" s="7"/>
      <c r="I690" s="5"/>
      <c r="J690" s="7" t="str">
        <f>'Ingest Template'!Q690</f>
        <v/>
      </c>
      <c r="K690" s="5" t="str">
        <f>'Ingest Template'!R690</f>
        <v/>
      </c>
      <c r="L690" s="8" t="s">
        <v>38</v>
      </c>
      <c r="M690" s="9"/>
      <c r="N690" s="5"/>
      <c r="O690" s="5"/>
      <c r="P690" s="5"/>
      <c r="Q690" s="5"/>
      <c r="R690" s="5" t="str">
        <f>'Ingest Template'!D690</f>
        <v/>
      </c>
      <c r="S690" s="5" t="str">
        <f>'Ingest Template'!G690</f>
        <v/>
      </c>
      <c r="T690" s="5" t="str">
        <f>'Ingest Template'!H690</f>
        <v/>
      </c>
      <c r="U690" s="5" t="str">
        <f>LOWER(SUBSTITUTE(SUBSTITUTE(SUBSTITUTE(SUBSTITUTE(SUBSTITUTE('Ingest Template'!I690,"https:",""),"www.",""),"/",""),"?hl=en",""),"instagram.com",""))</f>
        <v/>
      </c>
      <c r="V690" s="10" t="str">
        <f>'Ingest Template'!J690</f>
        <v/>
      </c>
      <c r="W690" s="10" t="str">
        <f>'Ingest Template'!K690</f>
        <v/>
      </c>
      <c r="X690" s="5"/>
      <c r="Y690" s="5" t="str">
        <f>SUBSTITUTE(SUBSTITUTE(SUBSTITUTE('Ingest Template'!L690,"http:",""),"https:",""),"/","")</f>
        <v/>
      </c>
      <c r="Z690" s="5" t="str">
        <f t="array" ref="Z690">IF('Ingest Template'!A690="Standard",(IF(ISBLANK('Ingest Template'!M690),"", 'Ingest Template'!M690&amp;"|DAR")),(IF(ISBLANK('Ingest Template'!M690),"", 'Ingest Template'!M690&amp;"|Operations - Core Title")))</f>
        <v/>
      </c>
      <c r="AA690" s="5"/>
      <c r="AB690" s="5" t="str">
        <f>'Ingest Template'!F690</f>
        <v/>
      </c>
      <c r="AC690" s="5"/>
      <c r="AD690" s="5"/>
      <c r="AE690" s="5"/>
      <c r="AF690" s="8"/>
      <c r="AG690" s="5" t="str">
        <f t="array" ref="AG690">IF('Ingest Template'!A690="Standard",(CONCATENATE(IF(ISBLANK('Ingest Template'!N690),"", 'Ingest Template'!N690&amp;"|DAR"),CHAR(10), IF(ISBLANK('Ingest Template'!O690),"", 'Ingest Template'!O690&amp;"|DAR"),CHAR(10), IF(ISBLANK('Ingest Template'!P690),"", 'Ingest Template'!P690&amp;"|DAR"))),(CONCATENATE(IF(ISBLANK('Ingest Template'!N690),"", 'Ingest Template'!N690&amp;"|Operations - Core Title"),CHAR(10), IF(ISBLANK('Ingest Template'!O690),"", 'Ingest Template'!O690&amp;"|Operations - Core Title"),CHAR(10), IF(ISBLANK('Ingest Template'!P690),"", 'Ingest Template'!P690&amp;"|Operations - Core Title"))))</f>
        <v>#|Operations - Core Title
</v>
      </c>
      <c r="AH690" s="5"/>
      <c r="AI690" s="5"/>
      <c r="AJ690" s="5"/>
      <c r="AK690" s="5"/>
      <c r="AL690" s="5"/>
    </row>
    <row r="691">
      <c r="A691" s="5"/>
      <c r="B691" s="5" t="str">
        <f>'Ingest Template'!B691&amp;IF('Ingest Template'!A691 = "Standard", " - DAR","")</f>
        <v/>
      </c>
      <c r="C691" s="6" t="str">
        <f>'Ingest Template'!C691</f>
        <v/>
      </c>
      <c r="D691" s="7" t="str">
        <f>'Ingest Template'!E691</f>
        <v/>
      </c>
      <c r="E691" s="5"/>
      <c r="F691" s="5"/>
      <c r="G691" s="5"/>
      <c r="H691" s="7"/>
      <c r="I691" s="5"/>
      <c r="J691" s="7" t="str">
        <f>'Ingest Template'!Q691</f>
        <v/>
      </c>
      <c r="K691" s="5" t="str">
        <f>'Ingest Template'!R691</f>
        <v/>
      </c>
      <c r="L691" s="8" t="s">
        <v>38</v>
      </c>
      <c r="M691" s="9"/>
      <c r="N691" s="5"/>
      <c r="O691" s="5"/>
      <c r="P691" s="5"/>
      <c r="Q691" s="5"/>
      <c r="R691" s="5" t="str">
        <f>'Ingest Template'!D691</f>
        <v/>
      </c>
      <c r="S691" s="5" t="str">
        <f>'Ingest Template'!G691</f>
        <v/>
      </c>
      <c r="T691" s="5" t="str">
        <f>'Ingest Template'!H691</f>
        <v/>
      </c>
      <c r="U691" s="5" t="str">
        <f>LOWER(SUBSTITUTE(SUBSTITUTE(SUBSTITUTE(SUBSTITUTE(SUBSTITUTE('Ingest Template'!I691,"https:",""),"www.",""),"/",""),"?hl=en",""),"instagram.com",""))</f>
        <v/>
      </c>
      <c r="V691" s="10" t="str">
        <f>'Ingest Template'!J691</f>
        <v/>
      </c>
      <c r="W691" s="10" t="str">
        <f>'Ingest Template'!K691</f>
        <v/>
      </c>
      <c r="X691" s="5"/>
      <c r="Y691" s="5" t="str">
        <f>SUBSTITUTE(SUBSTITUTE(SUBSTITUTE('Ingest Template'!L691,"http:",""),"https:",""),"/","")</f>
        <v/>
      </c>
      <c r="Z691" s="5" t="str">
        <f t="array" ref="Z691">IF('Ingest Template'!A691="Standard",(IF(ISBLANK('Ingest Template'!M691),"", 'Ingest Template'!M691&amp;"|DAR")),(IF(ISBLANK('Ingest Template'!M691),"", 'Ingest Template'!M691&amp;"|Operations - Core Title")))</f>
        <v/>
      </c>
      <c r="AA691" s="5"/>
      <c r="AB691" s="5" t="str">
        <f>'Ingest Template'!F691</f>
        <v/>
      </c>
      <c r="AC691" s="5"/>
      <c r="AD691" s="5"/>
      <c r="AE691" s="5"/>
      <c r="AF691" s="8"/>
      <c r="AG691" s="5" t="str">
        <f t="array" ref="AG691">IF('Ingest Template'!A691="Standard",(CONCATENATE(IF(ISBLANK('Ingest Template'!N691),"", 'Ingest Template'!N691&amp;"|DAR"),CHAR(10), IF(ISBLANK('Ingest Template'!O691),"", 'Ingest Template'!O691&amp;"|DAR"),CHAR(10), IF(ISBLANK('Ingest Template'!P691),"", 'Ingest Template'!P691&amp;"|DAR"))),(CONCATENATE(IF(ISBLANK('Ingest Template'!N691),"", 'Ingest Template'!N691&amp;"|Operations - Core Title"),CHAR(10), IF(ISBLANK('Ingest Template'!O691),"", 'Ingest Template'!O691&amp;"|Operations - Core Title"),CHAR(10), IF(ISBLANK('Ingest Template'!P691),"", 'Ingest Template'!P691&amp;"|Operations - Core Title"))))</f>
        <v>#|Operations - Core Title
</v>
      </c>
      <c r="AH691" s="5"/>
      <c r="AI691" s="5"/>
      <c r="AJ691" s="5"/>
      <c r="AK691" s="5"/>
      <c r="AL691" s="5"/>
    </row>
    <row r="692">
      <c r="A692" s="5"/>
      <c r="B692" s="5" t="str">
        <f>'Ingest Template'!B692&amp;IF('Ingest Template'!A692 = "Standard", " - DAR","")</f>
        <v/>
      </c>
      <c r="C692" s="6" t="str">
        <f>'Ingest Template'!C692</f>
        <v/>
      </c>
      <c r="D692" s="7" t="str">
        <f>'Ingest Template'!E692</f>
        <v/>
      </c>
      <c r="E692" s="5"/>
      <c r="F692" s="5"/>
      <c r="G692" s="5"/>
      <c r="H692" s="7"/>
      <c r="I692" s="5"/>
      <c r="J692" s="7" t="str">
        <f>'Ingest Template'!Q692</f>
        <v/>
      </c>
      <c r="K692" s="5" t="str">
        <f>'Ingest Template'!R692</f>
        <v/>
      </c>
      <c r="L692" s="8" t="s">
        <v>38</v>
      </c>
      <c r="M692" s="9"/>
      <c r="N692" s="5"/>
      <c r="O692" s="5"/>
      <c r="P692" s="5"/>
      <c r="Q692" s="5"/>
      <c r="R692" s="5" t="str">
        <f>'Ingest Template'!D692</f>
        <v/>
      </c>
      <c r="S692" s="5" t="str">
        <f>'Ingest Template'!G692</f>
        <v/>
      </c>
      <c r="T692" s="5" t="str">
        <f>'Ingest Template'!H692</f>
        <v/>
      </c>
      <c r="U692" s="5" t="str">
        <f>LOWER(SUBSTITUTE(SUBSTITUTE(SUBSTITUTE(SUBSTITUTE(SUBSTITUTE('Ingest Template'!I692,"https:",""),"www.",""),"/",""),"?hl=en",""),"instagram.com",""))</f>
        <v/>
      </c>
      <c r="V692" s="10" t="str">
        <f>'Ingest Template'!J692</f>
        <v/>
      </c>
      <c r="W692" s="10" t="str">
        <f>'Ingest Template'!K692</f>
        <v/>
      </c>
      <c r="X692" s="5"/>
      <c r="Y692" s="5" t="str">
        <f>SUBSTITUTE(SUBSTITUTE(SUBSTITUTE('Ingest Template'!L692,"http:",""),"https:",""),"/","")</f>
        <v/>
      </c>
      <c r="Z692" s="5" t="str">
        <f t="array" ref="Z692">IF('Ingest Template'!A692="Standard",(IF(ISBLANK('Ingest Template'!M692),"", 'Ingest Template'!M692&amp;"|DAR")),(IF(ISBLANK('Ingest Template'!M692),"", 'Ingest Template'!M692&amp;"|Operations - Core Title")))</f>
        <v/>
      </c>
      <c r="AA692" s="5"/>
      <c r="AB692" s="5" t="str">
        <f>'Ingest Template'!F692</f>
        <v/>
      </c>
      <c r="AC692" s="5"/>
      <c r="AD692" s="5"/>
      <c r="AE692" s="5"/>
      <c r="AF692" s="8"/>
      <c r="AG692" s="5" t="str">
        <f t="array" ref="AG692">IF('Ingest Template'!A692="Standard",(CONCATENATE(IF(ISBLANK('Ingest Template'!N692),"", 'Ingest Template'!N692&amp;"|DAR"),CHAR(10), IF(ISBLANK('Ingest Template'!O692),"", 'Ingest Template'!O692&amp;"|DAR"),CHAR(10), IF(ISBLANK('Ingest Template'!P692),"", 'Ingest Template'!P692&amp;"|DAR"))),(CONCATENATE(IF(ISBLANK('Ingest Template'!N692),"", 'Ingest Template'!N692&amp;"|Operations - Core Title"),CHAR(10), IF(ISBLANK('Ingest Template'!O692),"", 'Ingest Template'!O692&amp;"|Operations - Core Title"),CHAR(10), IF(ISBLANK('Ingest Template'!P692),"", 'Ingest Template'!P692&amp;"|Operations - Core Title"))))</f>
        <v>#|Operations - Core Title
</v>
      </c>
      <c r="AH692" s="5"/>
      <c r="AI692" s="5"/>
      <c r="AJ692" s="5"/>
      <c r="AK692" s="5"/>
      <c r="AL692" s="5"/>
    </row>
    <row r="693">
      <c r="A693" s="5"/>
      <c r="B693" s="5" t="str">
        <f>'Ingest Template'!B693&amp;IF('Ingest Template'!A693 = "Standard", " - DAR","")</f>
        <v/>
      </c>
      <c r="C693" s="6" t="str">
        <f>'Ingest Template'!C693</f>
        <v/>
      </c>
      <c r="D693" s="7" t="str">
        <f>'Ingest Template'!E693</f>
        <v/>
      </c>
      <c r="E693" s="5"/>
      <c r="F693" s="5"/>
      <c r="G693" s="5"/>
      <c r="H693" s="7"/>
      <c r="I693" s="5"/>
      <c r="J693" s="7" t="str">
        <f>'Ingest Template'!Q693</f>
        <v/>
      </c>
      <c r="K693" s="5" t="str">
        <f>'Ingest Template'!R693</f>
        <v/>
      </c>
      <c r="L693" s="8" t="s">
        <v>38</v>
      </c>
      <c r="M693" s="9"/>
      <c r="N693" s="5"/>
      <c r="O693" s="5"/>
      <c r="P693" s="5"/>
      <c r="Q693" s="5"/>
      <c r="R693" s="5" t="str">
        <f>'Ingest Template'!D693</f>
        <v/>
      </c>
      <c r="S693" s="5" t="str">
        <f>'Ingest Template'!G693</f>
        <v/>
      </c>
      <c r="T693" s="5" t="str">
        <f>'Ingest Template'!H693</f>
        <v/>
      </c>
      <c r="U693" s="5" t="str">
        <f>LOWER(SUBSTITUTE(SUBSTITUTE(SUBSTITUTE(SUBSTITUTE(SUBSTITUTE('Ingest Template'!I693,"https:",""),"www.",""),"/",""),"?hl=en",""),"instagram.com",""))</f>
        <v/>
      </c>
      <c r="V693" s="10" t="str">
        <f>'Ingest Template'!J693</f>
        <v/>
      </c>
      <c r="W693" s="10" t="str">
        <f>'Ingest Template'!K693</f>
        <v/>
      </c>
      <c r="X693" s="5"/>
      <c r="Y693" s="5" t="str">
        <f>SUBSTITUTE(SUBSTITUTE(SUBSTITUTE('Ingest Template'!L693,"http:",""),"https:",""),"/","")</f>
        <v/>
      </c>
      <c r="Z693" s="5" t="str">
        <f t="array" ref="Z693">IF('Ingest Template'!A693="Standard",(IF(ISBLANK('Ingest Template'!M693),"", 'Ingest Template'!M693&amp;"|DAR")),(IF(ISBLANK('Ingest Template'!M693),"", 'Ingest Template'!M693&amp;"|Operations - Core Title")))</f>
        <v/>
      </c>
      <c r="AA693" s="5"/>
      <c r="AB693" s="5" t="str">
        <f>'Ingest Template'!F693</f>
        <v/>
      </c>
      <c r="AC693" s="5"/>
      <c r="AD693" s="5"/>
      <c r="AE693" s="5"/>
      <c r="AF693" s="8"/>
      <c r="AG693" s="5" t="str">
        <f t="array" ref="AG693">IF('Ingest Template'!A693="Standard",(CONCATENATE(IF(ISBLANK('Ingest Template'!N693),"", 'Ingest Template'!N693&amp;"|DAR"),CHAR(10), IF(ISBLANK('Ingest Template'!O693),"", 'Ingest Template'!O693&amp;"|DAR"),CHAR(10), IF(ISBLANK('Ingest Template'!P693),"", 'Ingest Template'!P693&amp;"|DAR"))),(CONCATENATE(IF(ISBLANK('Ingest Template'!N693),"", 'Ingest Template'!N693&amp;"|Operations - Core Title"),CHAR(10), IF(ISBLANK('Ingest Template'!O693),"", 'Ingest Template'!O693&amp;"|Operations - Core Title"),CHAR(10), IF(ISBLANK('Ingest Template'!P693),"", 'Ingest Template'!P693&amp;"|Operations - Core Title"))))</f>
        <v>#|Operations - Core Title
</v>
      </c>
      <c r="AH693" s="5"/>
      <c r="AI693" s="5"/>
      <c r="AJ693" s="5"/>
      <c r="AK693" s="5"/>
      <c r="AL693" s="5"/>
    </row>
    <row r="694">
      <c r="A694" s="5"/>
      <c r="B694" s="5" t="str">
        <f>'Ingest Template'!B694&amp;IF('Ingest Template'!A694 = "Standard", " - DAR","")</f>
        <v/>
      </c>
      <c r="C694" s="6" t="str">
        <f>'Ingest Template'!C694</f>
        <v/>
      </c>
      <c r="D694" s="7" t="str">
        <f>'Ingest Template'!E694</f>
        <v/>
      </c>
      <c r="E694" s="5"/>
      <c r="F694" s="5"/>
      <c r="G694" s="5"/>
      <c r="H694" s="7"/>
      <c r="I694" s="5"/>
      <c r="J694" s="7" t="str">
        <f>'Ingest Template'!Q694</f>
        <v/>
      </c>
      <c r="K694" s="5" t="str">
        <f>'Ingest Template'!R694</f>
        <v/>
      </c>
      <c r="L694" s="8" t="s">
        <v>38</v>
      </c>
      <c r="M694" s="9"/>
      <c r="N694" s="5"/>
      <c r="O694" s="5"/>
      <c r="P694" s="5"/>
      <c r="Q694" s="5"/>
      <c r="R694" s="5" t="str">
        <f>'Ingest Template'!D694</f>
        <v/>
      </c>
      <c r="S694" s="5" t="str">
        <f>'Ingest Template'!G694</f>
        <v/>
      </c>
      <c r="T694" s="5" t="str">
        <f>'Ingest Template'!H694</f>
        <v/>
      </c>
      <c r="U694" s="5" t="str">
        <f>LOWER(SUBSTITUTE(SUBSTITUTE(SUBSTITUTE(SUBSTITUTE(SUBSTITUTE('Ingest Template'!I694,"https:",""),"www.",""),"/",""),"?hl=en",""),"instagram.com",""))</f>
        <v/>
      </c>
      <c r="V694" s="10" t="str">
        <f>'Ingest Template'!J694</f>
        <v/>
      </c>
      <c r="W694" s="10" t="str">
        <f>'Ingest Template'!K694</f>
        <v/>
      </c>
      <c r="X694" s="5"/>
      <c r="Y694" s="5" t="str">
        <f>SUBSTITUTE(SUBSTITUTE(SUBSTITUTE('Ingest Template'!L694,"http:",""),"https:",""),"/","")</f>
        <v/>
      </c>
      <c r="Z694" s="5" t="str">
        <f t="array" ref="Z694">IF('Ingest Template'!A694="Standard",(IF(ISBLANK('Ingest Template'!M694),"", 'Ingest Template'!M694&amp;"|DAR")),(IF(ISBLANK('Ingest Template'!M694),"", 'Ingest Template'!M694&amp;"|Operations - Core Title")))</f>
        <v/>
      </c>
      <c r="AA694" s="5"/>
      <c r="AB694" s="5" t="str">
        <f>'Ingest Template'!F694</f>
        <v/>
      </c>
      <c r="AC694" s="5"/>
      <c r="AD694" s="5"/>
      <c r="AE694" s="5"/>
      <c r="AF694" s="8"/>
      <c r="AG694" s="5" t="str">
        <f t="array" ref="AG694">IF('Ingest Template'!A694="Standard",(CONCATENATE(IF(ISBLANK('Ingest Template'!N694),"", 'Ingest Template'!N694&amp;"|DAR"),CHAR(10), IF(ISBLANK('Ingest Template'!O694),"", 'Ingest Template'!O694&amp;"|DAR"),CHAR(10), IF(ISBLANK('Ingest Template'!P694),"", 'Ingest Template'!P694&amp;"|DAR"))),(CONCATENATE(IF(ISBLANK('Ingest Template'!N694),"", 'Ingest Template'!N694&amp;"|Operations - Core Title"),CHAR(10), IF(ISBLANK('Ingest Template'!O694),"", 'Ingest Template'!O694&amp;"|Operations - Core Title"),CHAR(10), IF(ISBLANK('Ingest Template'!P694),"", 'Ingest Template'!P694&amp;"|Operations - Core Title"))))</f>
        <v>#|Operations - Core Title
</v>
      </c>
      <c r="AH694" s="5"/>
      <c r="AI694" s="5"/>
      <c r="AJ694" s="5"/>
      <c r="AK694" s="5"/>
      <c r="AL694" s="5"/>
    </row>
    <row r="695">
      <c r="A695" s="5"/>
      <c r="B695" s="5" t="str">
        <f>'Ingest Template'!B695&amp;IF('Ingest Template'!A695 = "Standard", " - DAR","")</f>
        <v/>
      </c>
      <c r="C695" s="6" t="str">
        <f>'Ingest Template'!C695</f>
        <v/>
      </c>
      <c r="D695" s="7" t="str">
        <f>'Ingest Template'!E695</f>
        <v/>
      </c>
      <c r="E695" s="5"/>
      <c r="F695" s="5"/>
      <c r="G695" s="5"/>
      <c r="H695" s="7"/>
      <c r="I695" s="5"/>
      <c r="J695" s="7" t="str">
        <f>'Ingest Template'!Q695</f>
        <v/>
      </c>
      <c r="K695" s="5" t="str">
        <f>'Ingest Template'!R695</f>
        <v/>
      </c>
      <c r="L695" s="8" t="s">
        <v>38</v>
      </c>
      <c r="M695" s="9"/>
      <c r="N695" s="5"/>
      <c r="O695" s="5"/>
      <c r="P695" s="5"/>
      <c r="Q695" s="5"/>
      <c r="R695" s="5" t="str">
        <f>'Ingest Template'!D695</f>
        <v/>
      </c>
      <c r="S695" s="5" t="str">
        <f>'Ingest Template'!G695</f>
        <v/>
      </c>
      <c r="T695" s="5" t="str">
        <f>'Ingest Template'!H695</f>
        <v/>
      </c>
      <c r="U695" s="5" t="str">
        <f>LOWER(SUBSTITUTE(SUBSTITUTE(SUBSTITUTE(SUBSTITUTE(SUBSTITUTE('Ingest Template'!I695,"https:",""),"www.",""),"/",""),"?hl=en",""),"instagram.com",""))</f>
        <v/>
      </c>
      <c r="V695" s="10" t="str">
        <f>'Ingest Template'!J695</f>
        <v/>
      </c>
      <c r="W695" s="10" t="str">
        <f>'Ingest Template'!K695</f>
        <v/>
      </c>
      <c r="X695" s="5"/>
      <c r="Y695" s="5" t="str">
        <f>SUBSTITUTE(SUBSTITUTE(SUBSTITUTE('Ingest Template'!L695,"http:",""),"https:",""),"/","")</f>
        <v/>
      </c>
      <c r="Z695" s="5" t="str">
        <f t="array" ref="Z695">IF('Ingest Template'!A695="Standard",(IF(ISBLANK('Ingest Template'!M695),"", 'Ingest Template'!M695&amp;"|DAR")),(IF(ISBLANK('Ingest Template'!M695),"", 'Ingest Template'!M695&amp;"|Operations - Core Title")))</f>
        <v/>
      </c>
      <c r="AA695" s="5"/>
      <c r="AB695" s="5" t="str">
        <f>'Ingest Template'!F695</f>
        <v/>
      </c>
      <c r="AC695" s="5"/>
      <c r="AD695" s="5"/>
      <c r="AE695" s="5"/>
      <c r="AF695" s="8"/>
      <c r="AG695" s="5" t="str">
        <f t="array" ref="AG695">IF('Ingest Template'!A695="Standard",(CONCATENATE(IF(ISBLANK('Ingest Template'!N695),"", 'Ingest Template'!N695&amp;"|DAR"),CHAR(10), IF(ISBLANK('Ingest Template'!O695),"", 'Ingest Template'!O695&amp;"|DAR"),CHAR(10), IF(ISBLANK('Ingest Template'!P695),"", 'Ingest Template'!P695&amp;"|DAR"))),(CONCATENATE(IF(ISBLANK('Ingest Template'!N695),"", 'Ingest Template'!N695&amp;"|Operations - Core Title"),CHAR(10), IF(ISBLANK('Ingest Template'!O695),"", 'Ingest Template'!O695&amp;"|Operations - Core Title"),CHAR(10), IF(ISBLANK('Ingest Template'!P695),"", 'Ingest Template'!P695&amp;"|Operations - Core Title"))))</f>
        <v>#|Operations - Core Title
</v>
      </c>
      <c r="AH695" s="5"/>
      <c r="AI695" s="5"/>
      <c r="AJ695" s="5"/>
      <c r="AK695" s="5"/>
      <c r="AL695" s="5"/>
    </row>
    <row r="696">
      <c r="A696" s="5"/>
      <c r="B696" s="5" t="str">
        <f>'Ingest Template'!B696&amp;IF('Ingest Template'!A696 = "Standard", " - DAR","")</f>
        <v/>
      </c>
      <c r="C696" s="6" t="str">
        <f>'Ingest Template'!C696</f>
        <v/>
      </c>
      <c r="D696" s="7" t="str">
        <f>'Ingest Template'!E696</f>
        <v/>
      </c>
      <c r="E696" s="5"/>
      <c r="F696" s="5"/>
      <c r="G696" s="5"/>
      <c r="H696" s="7"/>
      <c r="I696" s="5"/>
      <c r="J696" s="7" t="str">
        <f>'Ingest Template'!Q696</f>
        <v/>
      </c>
      <c r="K696" s="5" t="str">
        <f>'Ingest Template'!R696</f>
        <v/>
      </c>
      <c r="L696" s="8" t="s">
        <v>38</v>
      </c>
      <c r="M696" s="9"/>
      <c r="N696" s="5"/>
      <c r="O696" s="5"/>
      <c r="P696" s="5"/>
      <c r="Q696" s="5"/>
      <c r="R696" s="5" t="str">
        <f>'Ingest Template'!D696</f>
        <v/>
      </c>
      <c r="S696" s="5" t="str">
        <f>'Ingest Template'!G696</f>
        <v/>
      </c>
      <c r="T696" s="5" t="str">
        <f>'Ingest Template'!H696</f>
        <v/>
      </c>
      <c r="U696" s="5" t="str">
        <f>LOWER(SUBSTITUTE(SUBSTITUTE(SUBSTITUTE(SUBSTITUTE(SUBSTITUTE('Ingest Template'!I696,"https:",""),"www.",""),"/",""),"?hl=en",""),"instagram.com",""))</f>
        <v/>
      </c>
      <c r="V696" s="10" t="str">
        <f>'Ingest Template'!J696</f>
        <v/>
      </c>
      <c r="W696" s="10" t="str">
        <f>'Ingest Template'!K696</f>
        <v/>
      </c>
      <c r="X696" s="5"/>
      <c r="Y696" s="5" t="str">
        <f>SUBSTITUTE(SUBSTITUTE(SUBSTITUTE('Ingest Template'!L696,"http:",""),"https:",""),"/","")</f>
        <v/>
      </c>
      <c r="Z696" s="5" t="str">
        <f t="array" ref="Z696">IF('Ingest Template'!A696="Standard",(IF(ISBLANK('Ingest Template'!M696),"", 'Ingest Template'!M696&amp;"|DAR")),(IF(ISBLANK('Ingest Template'!M696),"", 'Ingest Template'!M696&amp;"|Operations - Core Title")))</f>
        <v/>
      </c>
      <c r="AA696" s="5"/>
      <c r="AB696" s="5" t="str">
        <f>'Ingest Template'!F696</f>
        <v/>
      </c>
      <c r="AC696" s="5"/>
      <c r="AD696" s="5"/>
      <c r="AE696" s="5"/>
      <c r="AF696" s="8"/>
      <c r="AG696" s="5" t="str">
        <f t="array" ref="AG696">IF('Ingest Template'!A696="Standard",(CONCATENATE(IF(ISBLANK('Ingest Template'!N696),"", 'Ingest Template'!N696&amp;"|DAR"),CHAR(10), IF(ISBLANK('Ingest Template'!O696),"", 'Ingest Template'!O696&amp;"|DAR"),CHAR(10), IF(ISBLANK('Ingest Template'!P696),"", 'Ingest Template'!P696&amp;"|DAR"))),(CONCATENATE(IF(ISBLANK('Ingest Template'!N696),"", 'Ingest Template'!N696&amp;"|Operations - Core Title"),CHAR(10), IF(ISBLANK('Ingest Template'!O696),"", 'Ingest Template'!O696&amp;"|Operations - Core Title"),CHAR(10), IF(ISBLANK('Ingest Template'!P696),"", 'Ingest Template'!P696&amp;"|Operations - Core Title"))))</f>
        <v>#|Operations - Core Title
</v>
      </c>
      <c r="AH696" s="5"/>
      <c r="AI696" s="5"/>
      <c r="AJ696" s="5"/>
      <c r="AK696" s="5"/>
      <c r="AL696" s="5"/>
    </row>
    <row r="697">
      <c r="A697" s="5"/>
      <c r="B697" s="5" t="str">
        <f>'Ingest Template'!B697&amp;IF('Ingest Template'!A697 = "Standard", " - DAR","")</f>
        <v/>
      </c>
      <c r="C697" s="6" t="str">
        <f>'Ingest Template'!C697</f>
        <v/>
      </c>
      <c r="D697" s="7" t="str">
        <f>'Ingest Template'!E697</f>
        <v/>
      </c>
      <c r="E697" s="5"/>
      <c r="F697" s="5"/>
      <c r="G697" s="5"/>
      <c r="H697" s="7"/>
      <c r="I697" s="5"/>
      <c r="J697" s="7" t="str">
        <f>'Ingest Template'!Q697</f>
        <v/>
      </c>
      <c r="K697" s="5" t="str">
        <f>'Ingest Template'!R697</f>
        <v/>
      </c>
      <c r="L697" s="8" t="s">
        <v>38</v>
      </c>
      <c r="M697" s="9"/>
      <c r="N697" s="5"/>
      <c r="O697" s="5"/>
      <c r="P697" s="5"/>
      <c r="Q697" s="5"/>
      <c r="R697" s="5" t="str">
        <f>'Ingest Template'!D697</f>
        <v/>
      </c>
      <c r="S697" s="5" t="str">
        <f>'Ingest Template'!G697</f>
        <v/>
      </c>
      <c r="T697" s="5" t="str">
        <f>'Ingest Template'!H697</f>
        <v/>
      </c>
      <c r="U697" s="5" t="str">
        <f>LOWER(SUBSTITUTE(SUBSTITUTE(SUBSTITUTE(SUBSTITUTE(SUBSTITUTE('Ingest Template'!I697,"https:",""),"www.",""),"/",""),"?hl=en",""),"instagram.com",""))</f>
        <v/>
      </c>
      <c r="V697" s="10" t="str">
        <f>'Ingest Template'!J697</f>
        <v/>
      </c>
      <c r="W697" s="10" t="str">
        <f>'Ingest Template'!K697</f>
        <v/>
      </c>
      <c r="X697" s="5"/>
      <c r="Y697" s="5" t="str">
        <f>SUBSTITUTE(SUBSTITUTE(SUBSTITUTE('Ingest Template'!L697,"http:",""),"https:",""),"/","")</f>
        <v/>
      </c>
      <c r="Z697" s="5" t="str">
        <f t="array" ref="Z697">IF('Ingest Template'!A697="Standard",(IF(ISBLANK('Ingest Template'!M697),"", 'Ingest Template'!M697&amp;"|DAR")),(IF(ISBLANK('Ingest Template'!M697),"", 'Ingest Template'!M697&amp;"|Operations - Core Title")))</f>
        <v/>
      </c>
      <c r="AA697" s="5"/>
      <c r="AB697" s="5" t="str">
        <f>'Ingest Template'!F697</f>
        <v/>
      </c>
      <c r="AC697" s="5"/>
      <c r="AD697" s="5"/>
      <c r="AE697" s="5"/>
      <c r="AF697" s="8"/>
      <c r="AG697" s="5" t="str">
        <f t="array" ref="AG697">IF('Ingest Template'!A697="Standard",(CONCATENATE(IF(ISBLANK('Ingest Template'!N697),"", 'Ingest Template'!N697&amp;"|DAR"),CHAR(10), IF(ISBLANK('Ingest Template'!O697),"", 'Ingest Template'!O697&amp;"|DAR"),CHAR(10), IF(ISBLANK('Ingest Template'!P697),"", 'Ingest Template'!P697&amp;"|DAR"))),(CONCATENATE(IF(ISBLANK('Ingest Template'!N697),"", 'Ingest Template'!N697&amp;"|Operations - Core Title"),CHAR(10), IF(ISBLANK('Ingest Template'!O697),"", 'Ingest Template'!O697&amp;"|Operations - Core Title"),CHAR(10), IF(ISBLANK('Ingest Template'!P697),"", 'Ingest Template'!P697&amp;"|Operations - Core Title"))))</f>
        <v>#|Operations - Core Title
</v>
      </c>
      <c r="AH697" s="5"/>
      <c r="AI697" s="5"/>
      <c r="AJ697" s="5"/>
      <c r="AK697" s="5"/>
      <c r="AL697" s="5"/>
    </row>
    <row r="698">
      <c r="A698" s="5"/>
      <c r="B698" s="5" t="str">
        <f>'Ingest Template'!B698&amp;IF('Ingest Template'!A698 = "Standard", " - DAR","")</f>
        <v/>
      </c>
      <c r="C698" s="6" t="str">
        <f>'Ingest Template'!C698</f>
        <v/>
      </c>
      <c r="D698" s="7" t="str">
        <f>'Ingest Template'!E698</f>
        <v/>
      </c>
      <c r="E698" s="5"/>
      <c r="F698" s="5"/>
      <c r="G698" s="5"/>
      <c r="H698" s="7"/>
      <c r="I698" s="5"/>
      <c r="J698" s="7" t="str">
        <f>'Ingest Template'!Q698</f>
        <v/>
      </c>
      <c r="K698" s="5" t="str">
        <f>'Ingest Template'!R698</f>
        <v/>
      </c>
      <c r="L698" s="8" t="s">
        <v>38</v>
      </c>
      <c r="M698" s="9"/>
      <c r="N698" s="5"/>
      <c r="O698" s="5"/>
      <c r="P698" s="5"/>
      <c r="Q698" s="5"/>
      <c r="R698" s="5" t="str">
        <f>'Ingest Template'!D698</f>
        <v/>
      </c>
      <c r="S698" s="5" t="str">
        <f>'Ingest Template'!G698</f>
        <v/>
      </c>
      <c r="T698" s="5" t="str">
        <f>'Ingest Template'!H698</f>
        <v/>
      </c>
      <c r="U698" s="5" t="str">
        <f>LOWER(SUBSTITUTE(SUBSTITUTE(SUBSTITUTE(SUBSTITUTE(SUBSTITUTE('Ingest Template'!I698,"https:",""),"www.",""),"/",""),"?hl=en",""),"instagram.com",""))</f>
        <v/>
      </c>
      <c r="V698" s="10" t="str">
        <f>'Ingest Template'!J698</f>
        <v/>
      </c>
      <c r="W698" s="10" t="str">
        <f>'Ingest Template'!K698</f>
        <v/>
      </c>
      <c r="X698" s="5"/>
      <c r="Y698" s="5" t="str">
        <f>SUBSTITUTE(SUBSTITUTE(SUBSTITUTE('Ingest Template'!L698,"http:",""),"https:",""),"/","")</f>
        <v/>
      </c>
      <c r="Z698" s="5" t="str">
        <f t="array" ref="Z698">IF('Ingest Template'!A698="Standard",(IF(ISBLANK('Ingest Template'!M698),"", 'Ingest Template'!M698&amp;"|DAR")),(IF(ISBLANK('Ingest Template'!M698),"", 'Ingest Template'!M698&amp;"|Operations - Core Title")))</f>
        <v/>
      </c>
      <c r="AA698" s="5"/>
      <c r="AB698" s="5" t="str">
        <f>'Ingest Template'!F698</f>
        <v/>
      </c>
      <c r="AC698" s="5"/>
      <c r="AD698" s="5"/>
      <c r="AE698" s="5"/>
      <c r="AF698" s="8"/>
      <c r="AG698" s="5" t="str">
        <f t="array" ref="AG698">IF('Ingest Template'!A698="Standard",(CONCATENATE(IF(ISBLANK('Ingest Template'!N698),"", 'Ingest Template'!N698&amp;"|DAR"),CHAR(10), IF(ISBLANK('Ingest Template'!O698),"", 'Ingest Template'!O698&amp;"|DAR"),CHAR(10), IF(ISBLANK('Ingest Template'!P698),"", 'Ingest Template'!P698&amp;"|DAR"))),(CONCATENATE(IF(ISBLANK('Ingest Template'!N698),"", 'Ingest Template'!N698&amp;"|Operations - Core Title"),CHAR(10), IF(ISBLANK('Ingest Template'!O698),"", 'Ingest Template'!O698&amp;"|Operations - Core Title"),CHAR(10), IF(ISBLANK('Ingest Template'!P698),"", 'Ingest Template'!P698&amp;"|Operations - Core Title"))))</f>
        <v>#|Operations - Core Title
</v>
      </c>
      <c r="AH698" s="5"/>
      <c r="AI698" s="5"/>
      <c r="AJ698" s="5"/>
      <c r="AK698" s="5"/>
      <c r="AL698" s="5"/>
    </row>
    <row r="699">
      <c r="A699" s="5"/>
      <c r="B699" s="5" t="str">
        <f>'Ingest Template'!B699&amp;IF('Ingest Template'!A699 = "Standard", " - DAR","")</f>
        <v/>
      </c>
      <c r="C699" s="6" t="str">
        <f>'Ingest Template'!C699</f>
        <v/>
      </c>
      <c r="D699" s="7" t="str">
        <f>'Ingest Template'!E699</f>
        <v/>
      </c>
      <c r="E699" s="5"/>
      <c r="F699" s="5"/>
      <c r="G699" s="5"/>
      <c r="H699" s="7"/>
      <c r="I699" s="5"/>
      <c r="J699" s="7" t="str">
        <f>'Ingest Template'!Q699</f>
        <v/>
      </c>
      <c r="K699" s="5" t="str">
        <f>'Ingest Template'!R699</f>
        <v/>
      </c>
      <c r="L699" s="8" t="s">
        <v>38</v>
      </c>
      <c r="M699" s="9"/>
      <c r="N699" s="5"/>
      <c r="O699" s="5"/>
      <c r="P699" s="5"/>
      <c r="Q699" s="5"/>
      <c r="R699" s="5" t="str">
        <f>'Ingest Template'!D699</f>
        <v/>
      </c>
      <c r="S699" s="5" t="str">
        <f>'Ingest Template'!G699</f>
        <v/>
      </c>
      <c r="T699" s="5" t="str">
        <f>'Ingest Template'!H699</f>
        <v/>
      </c>
      <c r="U699" s="5" t="str">
        <f>LOWER(SUBSTITUTE(SUBSTITUTE(SUBSTITUTE(SUBSTITUTE(SUBSTITUTE('Ingest Template'!I699,"https:",""),"www.",""),"/",""),"?hl=en",""),"instagram.com",""))</f>
        <v/>
      </c>
      <c r="V699" s="10" t="str">
        <f>'Ingest Template'!J699</f>
        <v/>
      </c>
      <c r="W699" s="10" t="str">
        <f>'Ingest Template'!K699</f>
        <v/>
      </c>
      <c r="X699" s="5"/>
      <c r="Y699" s="5" t="str">
        <f>SUBSTITUTE(SUBSTITUTE(SUBSTITUTE('Ingest Template'!L699,"http:",""),"https:",""),"/","")</f>
        <v/>
      </c>
      <c r="Z699" s="5" t="str">
        <f t="array" ref="Z699">IF('Ingest Template'!A699="Standard",(IF(ISBLANK('Ingest Template'!M699),"", 'Ingest Template'!M699&amp;"|DAR")),(IF(ISBLANK('Ingest Template'!M699),"", 'Ingest Template'!M699&amp;"|Operations - Core Title")))</f>
        <v/>
      </c>
      <c r="AA699" s="5"/>
      <c r="AB699" s="5" t="str">
        <f>'Ingest Template'!F699</f>
        <v/>
      </c>
      <c r="AC699" s="5"/>
      <c r="AD699" s="5"/>
      <c r="AE699" s="5"/>
      <c r="AF699" s="8"/>
      <c r="AG699" s="5" t="str">
        <f t="array" ref="AG699">IF('Ingest Template'!A699="Standard",(CONCATENATE(IF(ISBLANK('Ingest Template'!N699),"", 'Ingest Template'!N699&amp;"|DAR"),CHAR(10), IF(ISBLANK('Ingest Template'!O699),"", 'Ingest Template'!O699&amp;"|DAR"),CHAR(10), IF(ISBLANK('Ingest Template'!P699),"", 'Ingest Template'!P699&amp;"|DAR"))),(CONCATENATE(IF(ISBLANK('Ingest Template'!N699),"", 'Ingest Template'!N699&amp;"|Operations - Core Title"),CHAR(10), IF(ISBLANK('Ingest Template'!O699),"", 'Ingest Template'!O699&amp;"|Operations - Core Title"),CHAR(10), IF(ISBLANK('Ingest Template'!P699),"", 'Ingest Template'!P699&amp;"|Operations - Core Title"))))</f>
        <v>#|Operations - Core Title
</v>
      </c>
      <c r="AH699" s="5"/>
      <c r="AI699" s="5"/>
      <c r="AJ699" s="5"/>
      <c r="AK699" s="5"/>
      <c r="AL699" s="5"/>
    </row>
    <row r="700">
      <c r="A700" s="5"/>
      <c r="B700" s="5" t="str">
        <f>'Ingest Template'!B700&amp;IF('Ingest Template'!A700 = "Standard", " - DAR","")</f>
        <v/>
      </c>
      <c r="C700" s="6" t="str">
        <f>'Ingest Template'!C700</f>
        <v/>
      </c>
      <c r="D700" s="7" t="str">
        <f>'Ingest Template'!E700</f>
        <v/>
      </c>
      <c r="E700" s="5"/>
      <c r="F700" s="5"/>
      <c r="G700" s="5"/>
      <c r="H700" s="7"/>
      <c r="I700" s="5"/>
      <c r="J700" s="7" t="str">
        <f>'Ingest Template'!Q700</f>
        <v/>
      </c>
      <c r="K700" s="5" t="str">
        <f>'Ingest Template'!R700</f>
        <v/>
      </c>
      <c r="L700" s="8" t="s">
        <v>38</v>
      </c>
      <c r="M700" s="9"/>
      <c r="N700" s="5"/>
      <c r="O700" s="5"/>
      <c r="P700" s="5"/>
      <c r="Q700" s="5"/>
      <c r="R700" s="5" t="str">
        <f>'Ingest Template'!D700</f>
        <v/>
      </c>
      <c r="S700" s="5" t="str">
        <f>'Ingest Template'!G700</f>
        <v/>
      </c>
      <c r="T700" s="5" t="str">
        <f>'Ingest Template'!H700</f>
        <v/>
      </c>
      <c r="U700" s="5" t="str">
        <f>LOWER(SUBSTITUTE(SUBSTITUTE(SUBSTITUTE(SUBSTITUTE(SUBSTITUTE('Ingest Template'!I700,"https:",""),"www.",""),"/",""),"?hl=en",""),"instagram.com",""))</f>
        <v/>
      </c>
      <c r="V700" s="10" t="str">
        <f>'Ingest Template'!J700</f>
        <v/>
      </c>
      <c r="W700" s="10" t="str">
        <f>'Ingest Template'!K700</f>
        <v/>
      </c>
      <c r="X700" s="5"/>
      <c r="Y700" s="5" t="str">
        <f>SUBSTITUTE(SUBSTITUTE(SUBSTITUTE('Ingest Template'!L700,"http:",""),"https:",""),"/","")</f>
        <v/>
      </c>
      <c r="Z700" s="5" t="str">
        <f t="array" ref="Z700">IF('Ingest Template'!A700="Standard",(IF(ISBLANK('Ingest Template'!M700),"", 'Ingest Template'!M700&amp;"|DAR")),(IF(ISBLANK('Ingest Template'!M700),"", 'Ingest Template'!M700&amp;"|Operations - Core Title")))</f>
        <v/>
      </c>
      <c r="AA700" s="5"/>
      <c r="AB700" s="5" t="str">
        <f>'Ingest Template'!F700</f>
        <v/>
      </c>
      <c r="AC700" s="5"/>
      <c r="AD700" s="5"/>
      <c r="AE700" s="5"/>
      <c r="AF700" s="8"/>
      <c r="AG700" s="5" t="str">
        <f t="array" ref="AG700">IF('Ingest Template'!A700="Standard",(CONCATENATE(IF(ISBLANK('Ingest Template'!N700),"", 'Ingest Template'!N700&amp;"|DAR"),CHAR(10), IF(ISBLANK('Ingest Template'!O700),"", 'Ingest Template'!O700&amp;"|DAR"),CHAR(10), IF(ISBLANK('Ingest Template'!P700),"", 'Ingest Template'!P700&amp;"|DAR"))),(CONCATENATE(IF(ISBLANK('Ingest Template'!N700),"", 'Ingest Template'!N700&amp;"|Operations - Core Title"),CHAR(10), IF(ISBLANK('Ingest Template'!O700),"", 'Ingest Template'!O700&amp;"|Operations - Core Title"),CHAR(10), IF(ISBLANK('Ingest Template'!P700),"", 'Ingest Template'!P700&amp;"|Operations - Core Title"))))</f>
        <v>#|Operations - Core Title
</v>
      </c>
      <c r="AH700" s="5"/>
      <c r="AI700" s="5"/>
      <c r="AJ700" s="5"/>
      <c r="AK700" s="5"/>
      <c r="AL700" s="5"/>
    </row>
    <row r="701">
      <c r="A701" s="5"/>
      <c r="B701" s="5" t="str">
        <f>'Ingest Template'!B701&amp;IF('Ingest Template'!A701 = "Standard", " - DAR","")</f>
        <v/>
      </c>
      <c r="C701" s="6" t="str">
        <f>'Ingest Template'!C701</f>
        <v/>
      </c>
      <c r="D701" s="7" t="str">
        <f>'Ingest Template'!E701</f>
        <v/>
      </c>
      <c r="E701" s="5"/>
      <c r="F701" s="5"/>
      <c r="G701" s="5"/>
      <c r="H701" s="7"/>
      <c r="I701" s="5"/>
      <c r="J701" s="7" t="str">
        <f>'Ingest Template'!Q701</f>
        <v/>
      </c>
      <c r="K701" s="5" t="str">
        <f>'Ingest Template'!R701</f>
        <v/>
      </c>
      <c r="L701" s="8" t="s">
        <v>38</v>
      </c>
      <c r="M701" s="9"/>
      <c r="N701" s="5"/>
      <c r="O701" s="5"/>
      <c r="P701" s="5"/>
      <c r="Q701" s="5"/>
      <c r="R701" s="5" t="str">
        <f>'Ingest Template'!D701</f>
        <v/>
      </c>
      <c r="S701" s="5" t="str">
        <f>'Ingest Template'!G701</f>
        <v/>
      </c>
      <c r="T701" s="5" t="str">
        <f>'Ingest Template'!H701</f>
        <v/>
      </c>
      <c r="U701" s="5" t="str">
        <f>LOWER(SUBSTITUTE(SUBSTITUTE(SUBSTITUTE(SUBSTITUTE(SUBSTITUTE('Ingest Template'!I701,"https:",""),"www.",""),"/",""),"?hl=en",""),"instagram.com",""))</f>
        <v/>
      </c>
      <c r="V701" s="10" t="str">
        <f>'Ingest Template'!J701</f>
        <v/>
      </c>
      <c r="W701" s="10" t="str">
        <f>'Ingest Template'!K701</f>
        <v/>
      </c>
      <c r="X701" s="5"/>
      <c r="Y701" s="5" t="str">
        <f>SUBSTITUTE(SUBSTITUTE(SUBSTITUTE('Ingest Template'!L701,"http:",""),"https:",""),"/","")</f>
        <v/>
      </c>
      <c r="Z701" s="5" t="str">
        <f t="array" ref="Z701">IF('Ingest Template'!A701="Standard",(IF(ISBLANK('Ingest Template'!M701),"", 'Ingest Template'!M701&amp;"|DAR")),(IF(ISBLANK('Ingest Template'!M701),"", 'Ingest Template'!M701&amp;"|Operations - Core Title")))</f>
        <v/>
      </c>
      <c r="AA701" s="5"/>
      <c r="AB701" s="5" t="str">
        <f>'Ingest Template'!F701</f>
        <v/>
      </c>
      <c r="AC701" s="5"/>
      <c r="AD701" s="5"/>
      <c r="AE701" s="5"/>
      <c r="AF701" s="8"/>
      <c r="AG701" s="5" t="str">
        <f t="array" ref="AG701">IF('Ingest Template'!A701="Standard",(CONCATENATE(IF(ISBLANK('Ingest Template'!N701),"", 'Ingest Template'!N701&amp;"|DAR"),CHAR(10), IF(ISBLANK('Ingest Template'!O701),"", 'Ingest Template'!O701&amp;"|DAR"),CHAR(10), IF(ISBLANK('Ingest Template'!P701),"", 'Ingest Template'!P701&amp;"|DAR"))),(CONCATENATE(IF(ISBLANK('Ingest Template'!N701),"", 'Ingest Template'!N701&amp;"|Operations - Core Title"),CHAR(10), IF(ISBLANK('Ingest Template'!O701),"", 'Ingest Template'!O701&amp;"|Operations - Core Title"),CHAR(10), IF(ISBLANK('Ingest Template'!P701),"", 'Ingest Template'!P701&amp;"|Operations - Core Title"))))</f>
        <v>#|Operations - Core Title
</v>
      </c>
      <c r="AH701" s="5"/>
      <c r="AI701" s="5"/>
      <c r="AJ701" s="5"/>
      <c r="AK701" s="5"/>
      <c r="AL701" s="5"/>
    </row>
    <row r="702">
      <c r="A702" s="5"/>
      <c r="B702" s="5" t="str">
        <f>'Ingest Template'!B702&amp;IF('Ingest Template'!A702 = "Standard", " - DAR","")</f>
        <v/>
      </c>
      <c r="C702" s="6" t="str">
        <f>'Ingest Template'!C702</f>
        <v/>
      </c>
      <c r="D702" s="7" t="str">
        <f>'Ingest Template'!E702</f>
        <v/>
      </c>
      <c r="E702" s="5"/>
      <c r="F702" s="5"/>
      <c r="G702" s="5"/>
      <c r="H702" s="7"/>
      <c r="I702" s="5"/>
      <c r="J702" s="7" t="str">
        <f>'Ingest Template'!Q702</f>
        <v/>
      </c>
      <c r="K702" s="5" t="str">
        <f>'Ingest Template'!R702</f>
        <v/>
      </c>
      <c r="L702" s="8" t="s">
        <v>38</v>
      </c>
      <c r="M702" s="9"/>
      <c r="N702" s="5"/>
      <c r="O702" s="5"/>
      <c r="P702" s="5"/>
      <c r="Q702" s="5"/>
      <c r="R702" s="5" t="str">
        <f>'Ingest Template'!D702</f>
        <v/>
      </c>
      <c r="S702" s="5" t="str">
        <f>'Ingest Template'!G702</f>
        <v/>
      </c>
      <c r="T702" s="5" t="str">
        <f>'Ingest Template'!H702</f>
        <v/>
      </c>
      <c r="U702" s="5" t="str">
        <f>LOWER(SUBSTITUTE(SUBSTITUTE(SUBSTITUTE(SUBSTITUTE(SUBSTITUTE('Ingest Template'!I702,"https:",""),"www.",""),"/",""),"?hl=en",""),"instagram.com",""))</f>
        <v/>
      </c>
      <c r="V702" s="10" t="str">
        <f>'Ingest Template'!J702</f>
        <v/>
      </c>
      <c r="W702" s="10" t="str">
        <f>'Ingest Template'!K702</f>
        <v/>
      </c>
      <c r="X702" s="5"/>
      <c r="Y702" s="5" t="str">
        <f>SUBSTITUTE(SUBSTITUTE(SUBSTITUTE('Ingest Template'!L702,"http:",""),"https:",""),"/","")</f>
        <v/>
      </c>
      <c r="Z702" s="5" t="str">
        <f t="array" ref="Z702">IF('Ingest Template'!A702="Standard",(IF(ISBLANK('Ingest Template'!M702),"", 'Ingest Template'!M702&amp;"|DAR")),(IF(ISBLANK('Ingest Template'!M702),"", 'Ingest Template'!M702&amp;"|Operations - Core Title")))</f>
        <v/>
      </c>
      <c r="AA702" s="5"/>
      <c r="AB702" s="5" t="str">
        <f>'Ingest Template'!F702</f>
        <v/>
      </c>
      <c r="AC702" s="5"/>
      <c r="AD702" s="5"/>
      <c r="AE702" s="5"/>
      <c r="AF702" s="8"/>
      <c r="AG702" s="5" t="str">
        <f t="array" ref="AG702">IF('Ingest Template'!A702="Standard",(CONCATENATE(IF(ISBLANK('Ingest Template'!N702),"", 'Ingest Template'!N702&amp;"|DAR"),CHAR(10), IF(ISBLANK('Ingest Template'!O702),"", 'Ingest Template'!O702&amp;"|DAR"),CHAR(10), IF(ISBLANK('Ingest Template'!P702),"", 'Ingest Template'!P702&amp;"|DAR"))),(CONCATENATE(IF(ISBLANK('Ingest Template'!N702),"", 'Ingest Template'!N702&amp;"|Operations - Core Title"),CHAR(10), IF(ISBLANK('Ingest Template'!O702),"", 'Ingest Template'!O702&amp;"|Operations - Core Title"),CHAR(10), IF(ISBLANK('Ingest Template'!P702),"", 'Ingest Template'!P702&amp;"|Operations - Core Title"))))</f>
        <v>#|Operations - Core Title
</v>
      </c>
      <c r="AH702" s="5"/>
      <c r="AI702" s="5"/>
      <c r="AJ702" s="5"/>
      <c r="AK702" s="5"/>
      <c r="AL702" s="5"/>
    </row>
    <row r="703">
      <c r="A703" s="5"/>
      <c r="B703" s="5" t="str">
        <f>'Ingest Template'!B703&amp;IF('Ingest Template'!A703 = "Standard", " - DAR","")</f>
        <v/>
      </c>
      <c r="C703" s="6" t="str">
        <f>'Ingest Template'!C703</f>
        <v/>
      </c>
      <c r="D703" s="7" t="str">
        <f>'Ingest Template'!E703</f>
        <v/>
      </c>
      <c r="E703" s="5"/>
      <c r="F703" s="5"/>
      <c r="G703" s="5"/>
      <c r="H703" s="7"/>
      <c r="I703" s="5"/>
      <c r="J703" s="7" t="str">
        <f>'Ingest Template'!Q703</f>
        <v/>
      </c>
      <c r="K703" s="5" t="str">
        <f>'Ingest Template'!R703</f>
        <v/>
      </c>
      <c r="L703" s="8" t="s">
        <v>38</v>
      </c>
      <c r="M703" s="9"/>
      <c r="N703" s="5"/>
      <c r="O703" s="5"/>
      <c r="P703" s="5"/>
      <c r="Q703" s="5"/>
      <c r="R703" s="5" t="str">
        <f>'Ingest Template'!D703</f>
        <v/>
      </c>
      <c r="S703" s="5" t="str">
        <f>'Ingest Template'!G703</f>
        <v/>
      </c>
      <c r="T703" s="5" t="str">
        <f>'Ingest Template'!H703</f>
        <v/>
      </c>
      <c r="U703" s="5" t="str">
        <f>LOWER(SUBSTITUTE(SUBSTITUTE(SUBSTITUTE(SUBSTITUTE(SUBSTITUTE('Ingest Template'!I703,"https:",""),"www.",""),"/",""),"?hl=en",""),"instagram.com",""))</f>
        <v/>
      </c>
      <c r="V703" s="10" t="str">
        <f>'Ingest Template'!J703</f>
        <v/>
      </c>
      <c r="W703" s="10" t="str">
        <f>'Ingest Template'!K703</f>
        <v/>
      </c>
      <c r="X703" s="5"/>
      <c r="Y703" s="5" t="str">
        <f>SUBSTITUTE(SUBSTITUTE(SUBSTITUTE('Ingest Template'!L703,"http:",""),"https:",""),"/","")</f>
        <v/>
      </c>
      <c r="Z703" s="5" t="str">
        <f t="array" ref="Z703">IF('Ingest Template'!A703="Standard",(IF(ISBLANK('Ingest Template'!M703),"", 'Ingest Template'!M703&amp;"|DAR")),(IF(ISBLANK('Ingest Template'!M703),"", 'Ingest Template'!M703&amp;"|Operations - Core Title")))</f>
        <v/>
      </c>
      <c r="AA703" s="5"/>
      <c r="AB703" s="5" t="str">
        <f>'Ingest Template'!F703</f>
        <v/>
      </c>
      <c r="AC703" s="5"/>
      <c r="AD703" s="5"/>
      <c r="AE703" s="5"/>
      <c r="AF703" s="8"/>
      <c r="AG703" s="5" t="str">
        <f t="array" ref="AG703">IF('Ingest Template'!A703="Standard",(CONCATENATE(IF(ISBLANK('Ingest Template'!N703),"", 'Ingest Template'!N703&amp;"|DAR"),CHAR(10), IF(ISBLANK('Ingest Template'!O703),"", 'Ingest Template'!O703&amp;"|DAR"),CHAR(10), IF(ISBLANK('Ingest Template'!P703),"", 'Ingest Template'!P703&amp;"|DAR"))),(CONCATENATE(IF(ISBLANK('Ingest Template'!N703),"", 'Ingest Template'!N703&amp;"|Operations - Core Title"),CHAR(10), IF(ISBLANK('Ingest Template'!O703),"", 'Ingest Template'!O703&amp;"|Operations - Core Title"),CHAR(10), IF(ISBLANK('Ingest Template'!P703),"", 'Ingest Template'!P703&amp;"|Operations - Core Title"))))</f>
        <v>#|Operations - Core Title
</v>
      </c>
      <c r="AH703" s="5"/>
      <c r="AI703" s="5"/>
      <c r="AJ703" s="5"/>
      <c r="AK703" s="5"/>
      <c r="AL703" s="5"/>
    </row>
    <row r="704">
      <c r="A704" s="5"/>
      <c r="B704" s="5" t="str">
        <f>'Ingest Template'!B704&amp;IF('Ingest Template'!A704 = "Standard", " - DAR","")</f>
        <v/>
      </c>
      <c r="C704" s="6" t="str">
        <f>'Ingest Template'!C704</f>
        <v/>
      </c>
      <c r="D704" s="7" t="str">
        <f>'Ingest Template'!E704</f>
        <v/>
      </c>
      <c r="E704" s="5"/>
      <c r="F704" s="5"/>
      <c r="G704" s="5"/>
      <c r="H704" s="7"/>
      <c r="I704" s="5"/>
      <c r="J704" s="7" t="str">
        <f>'Ingest Template'!Q704</f>
        <v/>
      </c>
      <c r="K704" s="5" t="str">
        <f>'Ingest Template'!R704</f>
        <v/>
      </c>
      <c r="L704" s="8" t="s">
        <v>38</v>
      </c>
      <c r="M704" s="9"/>
      <c r="N704" s="5"/>
      <c r="O704" s="5"/>
      <c r="P704" s="5"/>
      <c r="Q704" s="5"/>
      <c r="R704" s="5" t="str">
        <f>'Ingest Template'!D704</f>
        <v/>
      </c>
      <c r="S704" s="5" t="str">
        <f>'Ingest Template'!G704</f>
        <v/>
      </c>
      <c r="T704" s="5" t="str">
        <f>'Ingest Template'!H704</f>
        <v/>
      </c>
      <c r="U704" s="5" t="str">
        <f>LOWER(SUBSTITUTE(SUBSTITUTE(SUBSTITUTE(SUBSTITUTE(SUBSTITUTE('Ingest Template'!I704,"https:",""),"www.",""),"/",""),"?hl=en",""),"instagram.com",""))</f>
        <v/>
      </c>
      <c r="V704" s="10" t="str">
        <f>'Ingest Template'!J704</f>
        <v/>
      </c>
      <c r="W704" s="10" t="str">
        <f>'Ingest Template'!K704</f>
        <v/>
      </c>
      <c r="X704" s="5"/>
      <c r="Y704" s="5" t="str">
        <f>SUBSTITUTE(SUBSTITUTE(SUBSTITUTE('Ingest Template'!L704,"http:",""),"https:",""),"/","")</f>
        <v/>
      </c>
      <c r="Z704" s="5" t="str">
        <f t="array" ref="Z704">IF('Ingest Template'!A704="Standard",(IF(ISBLANK('Ingest Template'!M704),"", 'Ingest Template'!M704&amp;"|DAR")),(IF(ISBLANK('Ingest Template'!M704),"", 'Ingest Template'!M704&amp;"|Operations - Core Title")))</f>
        <v/>
      </c>
      <c r="AA704" s="5"/>
      <c r="AB704" s="5" t="str">
        <f>'Ingest Template'!F704</f>
        <v/>
      </c>
      <c r="AC704" s="5"/>
      <c r="AD704" s="5"/>
      <c r="AE704" s="5"/>
      <c r="AF704" s="8"/>
      <c r="AG704" s="5" t="str">
        <f t="array" ref="AG704">IF('Ingest Template'!A704="Standard",(CONCATENATE(IF(ISBLANK('Ingest Template'!N704),"", 'Ingest Template'!N704&amp;"|DAR"),CHAR(10), IF(ISBLANK('Ingest Template'!O704),"", 'Ingest Template'!O704&amp;"|DAR"),CHAR(10), IF(ISBLANK('Ingest Template'!P704),"", 'Ingest Template'!P704&amp;"|DAR"))),(CONCATENATE(IF(ISBLANK('Ingest Template'!N704),"", 'Ingest Template'!N704&amp;"|Operations - Core Title"),CHAR(10), IF(ISBLANK('Ingest Template'!O704),"", 'Ingest Template'!O704&amp;"|Operations - Core Title"),CHAR(10), IF(ISBLANK('Ingest Template'!P704),"", 'Ingest Template'!P704&amp;"|Operations - Core Title"))))</f>
        <v>#|Operations - Core Title
</v>
      </c>
      <c r="AH704" s="5"/>
      <c r="AI704" s="5"/>
      <c r="AJ704" s="5"/>
      <c r="AK704" s="5"/>
      <c r="AL704" s="5"/>
    </row>
    <row r="705">
      <c r="A705" s="5"/>
      <c r="B705" s="5" t="str">
        <f>'Ingest Template'!B705&amp;IF('Ingest Template'!A705 = "Standard", " - DAR","")</f>
        <v/>
      </c>
      <c r="C705" s="6" t="str">
        <f>'Ingest Template'!C705</f>
        <v/>
      </c>
      <c r="D705" s="7" t="str">
        <f>'Ingest Template'!E705</f>
        <v/>
      </c>
      <c r="E705" s="5"/>
      <c r="F705" s="5"/>
      <c r="G705" s="5"/>
      <c r="H705" s="7"/>
      <c r="I705" s="5"/>
      <c r="J705" s="7" t="str">
        <f>'Ingest Template'!Q705</f>
        <v/>
      </c>
      <c r="K705" s="5" t="str">
        <f>'Ingest Template'!R705</f>
        <v/>
      </c>
      <c r="L705" s="8" t="s">
        <v>38</v>
      </c>
      <c r="M705" s="9"/>
      <c r="N705" s="5"/>
      <c r="O705" s="5"/>
      <c r="P705" s="5"/>
      <c r="Q705" s="5"/>
      <c r="R705" s="5" t="str">
        <f>'Ingest Template'!D705</f>
        <v/>
      </c>
      <c r="S705" s="5" t="str">
        <f>'Ingest Template'!G705</f>
        <v/>
      </c>
      <c r="T705" s="5" t="str">
        <f>'Ingest Template'!H705</f>
        <v/>
      </c>
      <c r="U705" s="5" t="str">
        <f>LOWER(SUBSTITUTE(SUBSTITUTE(SUBSTITUTE(SUBSTITUTE(SUBSTITUTE('Ingest Template'!I705,"https:",""),"www.",""),"/",""),"?hl=en",""),"instagram.com",""))</f>
        <v/>
      </c>
      <c r="V705" s="10" t="str">
        <f>'Ingest Template'!J705</f>
        <v/>
      </c>
      <c r="W705" s="10" t="str">
        <f>'Ingest Template'!K705</f>
        <v/>
      </c>
      <c r="X705" s="5"/>
      <c r="Y705" s="5" t="str">
        <f>SUBSTITUTE(SUBSTITUTE(SUBSTITUTE('Ingest Template'!L705,"http:",""),"https:",""),"/","")</f>
        <v/>
      </c>
      <c r="Z705" s="5" t="str">
        <f t="array" ref="Z705">IF('Ingest Template'!A705="Standard",(IF(ISBLANK('Ingest Template'!M705),"", 'Ingest Template'!M705&amp;"|DAR")),(IF(ISBLANK('Ingest Template'!M705),"", 'Ingest Template'!M705&amp;"|Operations - Core Title")))</f>
        <v/>
      </c>
      <c r="AA705" s="5"/>
      <c r="AB705" s="5" t="str">
        <f>'Ingest Template'!F705</f>
        <v/>
      </c>
      <c r="AC705" s="5"/>
      <c r="AD705" s="5"/>
      <c r="AE705" s="5"/>
      <c r="AF705" s="8"/>
      <c r="AG705" s="5" t="str">
        <f t="array" ref="AG705">IF('Ingest Template'!A705="Standard",(CONCATENATE(IF(ISBLANK('Ingest Template'!N705),"", 'Ingest Template'!N705&amp;"|DAR"),CHAR(10), IF(ISBLANK('Ingest Template'!O705),"", 'Ingest Template'!O705&amp;"|DAR"),CHAR(10), IF(ISBLANK('Ingest Template'!P705),"", 'Ingest Template'!P705&amp;"|DAR"))),(CONCATENATE(IF(ISBLANK('Ingest Template'!N705),"", 'Ingest Template'!N705&amp;"|Operations - Core Title"),CHAR(10), IF(ISBLANK('Ingest Template'!O705),"", 'Ingest Template'!O705&amp;"|Operations - Core Title"),CHAR(10), IF(ISBLANK('Ingest Template'!P705),"", 'Ingest Template'!P705&amp;"|Operations - Core Title"))))</f>
        <v>#|Operations - Core Title
</v>
      </c>
      <c r="AH705" s="5"/>
      <c r="AI705" s="5"/>
      <c r="AJ705" s="5"/>
      <c r="AK705" s="5"/>
      <c r="AL705" s="5"/>
    </row>
    <row r="706">
      <c r="A706" s="5"/>
      <c r="B706" s="5" t="str">
        <f>'Ingest Template'!B706&amp;IF('Ingest Template'!A706 = "Standard", " - DAR","")</f>
        <v/>
      </c>
      <c r="C706" s="6" t="str">
        <f>'Ingest Template'!C706</f>
        <v/>
      </c>
      <c r="D706" s="7" t="str">
        <f>'Ingest Template'!E706</f>
        <v/>
      </c>
      <c r="E706" s="5"/>
      <c r="F706" s="5"/>
      <c r="G706" s="5"/>
      <c r="H706" s="7"/>
      <c r="I706" s="5"/>
      <c r="J706" s="7" t="str">
        <f>'Ingest Template'!Q706</f>
        <v/>
      </c>
      <c r="K706" s="5" t="str">
        <f>'Ingest Template'!R706</f>
        <v/>
      </c>
      <c r="L706" s="8" t="s">
        <v>38</v>
      </c>
      <c r="M706" s="9"/>
      <c r="N706" s="5"/>
      <c r="O706" s="5"/>
      <c r="P706" s="5"/>
      <c r="Q706" s="5"/>
      <c r="R706" s="5" t="str">
        <f>'Ingest Template'!D706</f>
        <v/>
      </c>
      <c r="S706" s="5" t="str">
        <f>'Ingest Template'!G706</f>
        <v/>
      </c>
      <c r="T706" s="5" t="str">
        <f>'Ingest Template'!H706</f>
        <v/>
      </c>
      <c r="U706" s="5" t="str">
        <f>LOWER(SUBSTITUTE(SUBSTITUTE(SUBSTITUTE(SUBSTITUTE(SUBSTITUTE('Ingest Template'!I706,"https:",""),"www.",""),"/",""),"?hl=en",""),"instagram.com",""))</f>
        <v/>
      </c>
      <c r="V706" s="10" t="str">
        <f>'Ingest Template'!J706</f>
        <v/>
      </c>
      <c r="W706" s="10" t="str">
        <f>'Ingest Template'!K706</f>
        <v/>
      </c>
      <c r="X706" s="5"/>
      <c r="Y706" s="5" t="str">
        <f>SUBSTITUTE(SUBSTITUTE(SUBSTITUTE('Ingest Template'!L706,"http:",""),"https:",""),"/","")</f>
        <v/>
      </c>
      <c r="Z706" s="5" t="str">
        <f t="array" ref="Z706">IF('Ingest Template'!A706="Standard",(IF(ISBLANK('Ingest Template'!M706),"", 'Ingest Template'!M706&amp;"|DAR")),(IF(ISBLANK('Ingest Template'!M706),"", 'Ingest Template'!M706&amp;"|Operations - Core Title")))</f>
        <v/>
      </c>
      <c r="AA706" s="5"/>
      <c r="AB706" s="5" t="str">
        <f>'Ingest Template'!F706</f>
        <v/>
      </c>
      <c r="AC706" s="5"/>
      <c r="AD706" s="5"/>
      <c r="AE706" s="5"/>
      <c r="AF706" s="8"/>
      <c r="AG706" s="5" t="str">
        <f t="array" ref="AG706">IF('Ingest Template'!A706="Standard",(CONCATENATE(IF(ISBLANK('Ingest Template'!N706),"", 'Ingest Template'!N706&amp;"|DAR"),CHAR(10), IF(ISBLANK('Ingest Template'!O706),"", 'Ingest Template'!O706&amp;"|DAR"),CHAR(10), IF(ISBLANK('Ingest Template'!P706),"", 'Ingest Template'!P706&amp;"|DAR"))),(CONCATENATE(IF(ISBLANK('Ingest Template'!N706),"", 'Ingest Template'!N706&amp;"|Operations - Core Title"),CHAR(10), IF(ISBLANK('Ingest Template'!O706),"", 'Ingest Template'!O706&amp;"|Operations - Core Title"),CHAR(10), IF(ISBLANK('Ingest Template'!P706),"", 'Ingest Template'!P706&amp;"|Operations - Core Title"))))</f>
        <v>#|Operations - Core Title
</v>
      </c>
      <c r="AH706" s="5"/>
      <c r="AI706" s="5"/>
      <c r="AJ706" s="5"/>
      <c r="AK706" s="5"/>
      <c r="AL706" s="5"/>
    </row>
    <row r="707">
      <c r="A707" s="5"/>
      <c r="B707" s="5" t="str">
        <f>'Ingest Template'!B707&amp;IF('Ingest Template'!A707 = "Standard", " - DAR","")</f>
        <v/>
      </c>
      <c r="C707" s="6" t="str">
        <f>'Ingest Template'!C707</f>
        <v/>
      </c>
      <c r="D707" s="7" t="str">
        <f>'Ingest Template'!E707</f>
        <v/>
      </c>
      <c r="E707" s="5"/>
      <c r="F707" s="5"/>
      <c r="G707" s="5"/>
      <c r="H707" s="7"/>
      <c r="I707" s="5"/>
      <c r="J707" s="7" t="str">
        <f>'Ingest Template'!Q707</f>
        <v/>
      </c>
      <c r="K707" s="5" t="str">
        <f>'Ingest Template'!R707</f>
        <v/>
      </c>
      <c r="L707" s="8" t="s">
        <v>38</v>
      </c>
      <c r="M707" s="9"/>
      <c r="N707" s="5"/>
      <c r="O707" s="5"/>
      <c r="P707" s="5"/>
      <c r="Q707" s="5"/>
      <c r="R707" s="5" t="str">
        <f>'Ingest Template'!D707</f>
        <v/>
      </c>
      <c r="S707" s="5" t="str">
        <f>'Ingest Template'!G707</f>
        <v/>
      </c>
      <c r="T707" s="5" t="str">
        <f>'Ingest Template'!H707</f>
        <v/>
      </c>
      <c r="U707" s="5" t="str">
        <f>LOWER(SUBSTITUTE(SUBSTITUTE(SUBSTITUTE(SUBSTITUTE(SUBSTITUTE('Ingest Template'!I707,"https:",""),"www.",""),"/",""),"?hl=en",""),"instagram.com",""))</f>
        <v/>
      </c>
      <c r="V707" s="10" t="str">
        <f>'Ingest Template'!J707</f>
        <v/>
      </c>
      <c r="W707" s="10" t="str">
        <f>'Ingest Template'!K707</f>
        <v/>
      </c>
      <c r="X707" s="5"/>
      <c r="Y707" s="5" t="str">
        <f>SUBSTITUTE(SUBSTITUTE(SUBSTITUTE('Ingest Template'!L707,"http:",""),"https:",""),"/","")</f>
        <v/>
      </c>
      <c r="Z707" s="5" t="str">
        <f t="array" ref="Z707">IF('Ingest Template'!A707="Standard",(IF(ISBLANK('Ingest Template'!M707),"", 'Ingest Template'!M707&amp;"|DAR")),(IF(ISBLANK('Ingest Template'!M707),"", 'Ingest Template'!M707&amp;"|Operations - Core Title")))</f>
        <v/>
      </c>
      <c r="AA707" s="5"/>
      <c r="AB707" s="5" t="str">
        <f>'Ingest Template'!F707</f>
        <v/>
      </c>
      <c r="AC707" s="5"/>
      <c r="AD707" s="5"/>
      <c r="AE707" s="5"/>
      <c r="AF707" s="8"/>
      <c r="AG707" s="5" t="str">
        <f t="array" ref="AG707">IF('Ingest Template'!A707="Standard",(CONCATENATE(IF(ISBLANK('Ingest Template'!N707),"", 'Ingest Template'!N707&amp;"|DAR"),CHAR(10), IF(ISBLANK('Ingest Template'!O707),"", 'Ingest Template'!O707&amp;"|DAR"),CHAR(10), IF(ISBLANK('Ingest Template'!P707),"", 'Ingest Template'!P707&amp;"|DAR"))),(CONCATENATE(IF(ISBLANK('Ingest Template'!N707),"", 'Ingest Template'!N707&amp;"|Operations - Core Title"),CHAR(10), IF(ISBLANK('Ingest Template'!O707),"", 'Ingest Template'!O707&amp;"|Operations - Core Title"),CHAR(10), IF(ISBLANK('Ingest Template'!P707),"", 'Ingest Template'!P707&amp;"|Operations - Core Title"))))</f>
        <v>#|Operations - Core Title
</v>
      </c>
      <c r="AH707" s="5"/>
      <c r="AI707" s="5"/>
      <c r="AJ707" s="5"/>
      <c r="AK707" s="5"/>
      <c r="AL707" s="5"/>
    </row>
    <row r="708">
      <c r="A708" s="5"/>
      <c r="B708" s="5" t="str">
        <f>'Ingest Template'!B708&amp;IF('Ingest Template'!A708 = "Standard", " - DAR","")</f>
        <v/>
      </c>
      <c r="C708" s="6" t="str">
        <f>'Ingest Template'!C708</f>
        <v/>
      </c>
      <c r="D708" s="7" t="str">
        <f>'Ingest Template'!E708</f>
        <v/>
      </c>
      <c r="E708" s="5"/>
      <c r="F708" s="5"/>
      <c r="G708" s="5"/>
      <c r="H708" s="7"/>
      <c r="I708" s="5"/>
      <c r="J708" s="7" t="str">
        <f>'Ingest Template'!Q708</f>
        <v/>
      </c>
      <c r="K708" s="5" t="str">
        <f>'Ingest Template'!R708</f>
        <v/>
      </c>
      <c r="L708" s="8" t="s">
        <v>38</v>
      </c>
      <c r="M708" s="9"/>
      <c r="N708" s="5"/>
      <c r="O708" s="5"/>
      <c r="P708" s="5"/>
      <c r="Q708" s="5"/>
      <c r="R708" s="5" t="str">
        <f>'Ingest Template'!D708</f>
        <v/>
      </c>
      <c r="S708" s="5" t="str">
        <f>'Ingest Template'!G708</f>
        <v/>
      </c>
      <c r="T708" s="5" t="str">
        <f>'Ingest Template'!H708</f>
        <v/>
      </c>
      <c r="U708" s="5" t="str">
        <f>LOWER(SUBSTITUTE(SUBSTITUTE(SUBSTITUTE(SUBSTITUTE(SUBSTITUTE('Ingest Template'!I708,"https:",""),"www.",""),"/",""),"?hl=en",""),"instagram.com",""))</f>
        <v/>
      </c>
      <c r="V708" s="10" t="str">
        <f>'Ingest Template'!J708</f>
        <v/>
      </c>
      <c r="W708" s="10" t="str">
        <f>'Ingest Template'!K708</f>
        <v/>
      </c>
      <c r="X708" s="5"/>
      <c r="Y708" s="5" t="str">
        <f>SUBSTITUTE(SUBSTITUTE(SUBSTITUTE('Ingest Template'!L708,"http:",""),"https:",""),"/","")</f>
        <v/>
      </c>
      <c r="Z708" s="5" t="str">
        <f t="array" ref="Z708">IF('Ingest Template'!A708="Standard",(IF(ISBLANK('Ingest Template'!M708),"", 'Ingest Template'!M708&amp;"|DAR")),(IF(ISBLANK('Ingest Template'!M708),"", 'Ingest Template'!M708&amp;"|Operations - Core Title")))</f>
        <v/>
      </c>
      <c r="AA708" s="5"/>
      <c r="AB708" s="5" t="str">
        <f>'Ingest Template'!F708</f>
        <v/>
      </c>
      <c r="AC708" s="5"/>
      <c r="AD708" s="5"/>
      <c r="AE708" s="5"/>
      <c r="AF708" s="8"/>
      <c r="AG708" s="5" t="str">
        <f t="array" ref="AG708">IF('Ingest Template'!A708="Standard",(CONCATENATE(IF(ISBLANK('Ingest Template'!N708),"", 'Ingest Template'!N708&amp;"|DAR"),CHAR(10), IF(ISBLANK('Ingest Template'!O708),"", 'Ingest Template'!O708&amp;"|DAR"),CHAR(10), IF(ISBLANK('Ingest Template'!P708),"", 'Ingest Template'!P708&amp;"|DAR"))),(CONCATENATE(IF(ISBLANK('Ingest Template'!N708),"", 'Ingest Template'!N708&amp;"|Operations - Core Title"),CHAR(10), IF(ISBLANK('Ingest Template'!O708),"", 'Ingest Template'!O708&amp;"|Operations - Core Title"),CHAR(10), IF(ISBLANK('Ingest Template'!P708),"", 'Ingest Template'!P708&amp;"|Operations - Core Title"))))</f>
        <v>#|Operations - Core Title
</v>
      </c>
      <c r="AH708" s="5"/>
      <c r="AI708" s="5"/>
      <c r="AJ708" s="5"/>
      <c r="AK708" s="5"/>
      <c r="AL708" s="5"/>
    </row>
    <row r="709">
      <c r="A709" s="5"/>
      <c r="B709" s="5" t="str">
        <f>'Ingest Template'!B709&amp;IF('Ingest Template'!A709 = "Standard", " - DAR","")</f>
        <v/>
      </c>
      <c r="C709" s="6" t="str">
        <f>'Ingest Template'!C709</f>
        <v/>
      </c>
      <c r="D709" s="7" t="str">
        <f>'Ingest Template'!E709</f>
        <v/>
      </c>
      <c r="E709" s="5"/>
      <c r="F709" s="5"/>
      <c r="G709" s="5"/>
      <c r="H709" s="7"/>
      <c r="I709" s="5"/>
      <c r="J709" s="7" t="str">
        <f>'Ingest Template'!Q709</f>
        <v/>
      </c>
      <c r="K709" s="5" t="str">
        <f>'Ingest Template'!R709</f>
        <v/>
      </c>
      <c r="L709" s="8" t="s">
        <v>38</v>
      </c>
      <c r="M709" s="9"/>
      <c r="N709" s="5"/>
      <c r="O709" s="5"/>
      <c r="P709" s="5"/>
      <c r="Q709" s="5"/>
      <c r="R709" s="5" t="str">
        <f>'Ingest Template'!D709</f>
        <v/>
      </c>
      <c r="S709" s="5" t="str">
        <f>'Ingest Template'!G709</f>
        <v/>
      </c>
      <c r="T709" s="5" t="str">
        <f>'Ingest Template'!H709</f>
        <v/>
      </c>
      <c r="U709" s="5" t="str">
        <f>LOWER(SUBSTITUTE(SUBSTITUTE(SUBSTITUTE(SUBSTITUTE(SUBSTITUTE('Ingest Template'!I709,"https:",""),"www.",""),"/",""),"?hl=en",""),"instagram.com",""))</f>
        <v/>
      </c>
      <c r="V709" s="10" t="str">
        <f>'Ingest Template'!J709</f>
        <v/>
      </c>
      <c r="W709" s="10" t="str">
        <f>'Ingest Template'!K709</f>
        <v/>
      </c>
      <c r="X709" s="5"/>
      <c r="Y709" s="5" t="str">
        <f>SUBSTITUTE(SUBSTITUTE(SUBSTITUTE('Ingest Template'!L709,"http:",""),"https:",""),"/","")</f>
        <v/>
      </c>
      <c r="Z709" s="5" t="str">
        <f t="array" ref="Z709">IF('Ingest Template'!A709="Standard",(IF(ISBLANK('Ingest Template'!M709),"", 'Ingest Template'!M709&amp;"|DAR")),(IF(ISBLANK('Ingest Template'!M709),"", 'Ingest Template'!M709&amp;"|Operations - Core Title")))</f>
        <v/>
      </c>
      <c r="AA709" s="5"/>
      <c r="AB709" s="5" t="str">
        <f>'Ingest Template'!F709</f>
        <v/>
      </c>
      <c r="AC709" s="5"/>
      <c r="AD709" s="5"/>
      <c r="AE709" s="5"/>
      <c r="AF709" s="8"/>
      <c r="AG709" s="5" t="str">
        <f t="array" ref="AG709">IF('Ingest Template'!A709="Standard",(CONCATENATE(IF(ISBLANK('Ingest Template'!N709),"", 'Ingest Template'!N709&amp;"|DAR"),CHAR(10), IF(ISBLANK('Ingest Template'!O709),"", 'Ingest Template'!O709&amp;"|DAR"),CHAR(10), IF(ISBLANK('Ingest Template'!P709),"", 'Ingest Template'!P709&amp;"|DAR"))),(CONCATENATE(IF(ISBLANK('Ingest Template'!N709),"", 'Ingest Template'!N709&amp;"|Operations - Core Title"),CHAR(10), IF(ISBLANK('Ingest Template'!O709),"", 'Ingest Template'!O709&amp;"|Operations - Core Title"),CHAR(10), IF(ISBLANK('Ingest Template'!P709),"", 'Ingest Template'!P709&amp;"|Operations - Core Title"))))</f>
        <v>#|Operations - Core Title
</v>
      </c>
      <c r="AH709" s="5"/>
      <c r="AI709" s="5"/>
      <c r="AJ709" s="5"/>
      <c r="AK709" s="5"/>
      <c r="AL709" s="5"/>
    </row>
    <row r="710">
      <c r="A710" s="5"/>
      <c r="B710" s="5" t="str">
        <f>'Ingest Template'!B710&amp;IF('Ingest Template'!A710 = "Standard", " - DAR","")</f>
        <v/>
      </c>
      <c r="C710" s="6" t="str">
        <f>'Ingest Template'!C710</f>
        <v/>
      </c>
      <c r="D710" s="7" t="str">
        <f>'Ingest Template'!E710</f>
        <v/>
      </c>
      <c r="E710" s="5"/>
      <c r="F710" s="5"/>
      <c r="G710" s="5"/>
      <c r="H710" s="7"/>
      <c r="I710" s="5"/>
      <c r="J710" s="7" t="str">
        <f>'Ingest Template'!Q710</f>
        <v/>
      </c>
      <c r="K710" s="5" t="str">
        <f>'Ingest Template'!R710</f>
        <v/>
      </c>
      <c r="L710" s="8" t="s">
        <v>38</v>
      </c>
      <c r="M710" s="9"/>
      <c r="N710" s="5"/>
      <c r="O710" s="5"/>
      <c r="P710" s="5"/>
      <c r="Q710" s="5"/>
      <c r="R710" s="5" t="str">
        <f>'Ingest Template'!D710</f>
        <v/>
      </c>
      <c r="S710" s="5" t="str">
        <f>'Ingest Template'!G710</f>
        <v/>
      </c>
      <c r="T710" s="5" t="str">
        <f>'Ingest Template'!H710</f>
        <v/>
      </c>
      <c r="U710" s="5" t="str">
        <f>LOWER(SUBSTITUTE(SUBSTITUTE(SUBSTITUTE(SUBSTITUTE(SUBSTITUTE('Ingest Template'!I710,"https:",""),"www.",""),"/",""),"?hl=en",""),"instagram.com",""))</f>
        <v/>
      </c>
      <c r="V710" s="10" t="str">
        <f>'Ingest Template'!J710</f>
        <v/>
      </c>
      <c r="W710" s="10" t="str">
        <f>'Ingest Template'!K710</f>
        <v/>
      </c>
      <c r="X710" s="5"/>
      <c r="Y710" s="5" t="str">
        <f>SUBSTITUTE(SUBSTITUTE(SUBSTITUTE('Ingest Template'!L710,"http:",""),"https:",""),"/","")</f>
        <v/>
      </c>
      <c r="Z710" s="5" t="str">
        <f t="array" ref="Z710">IF('Ingest Template'!A710="Standard",(IF(ISBLANK('Ingest Template'!M710),"", 'Ingest Template'!M710&amp;"|DAR")),(IF(ISBLANK('Ingest Template'!M710),"", 'Ingest Template'!M710&amp;"|Operations - Core Title")))</f>
        <v/>
      </c>
      <c r="AA710" s="5"/>
      <c r="AB710" s="5" t="str">
        <f>'Ingest Template'!F710</f>
        <v/>
      </c>
      <c r="AC710" s="5"/>
      <c r="AD710" s="5"/>
      <c r="AE710" s="5"/>
      <c r="AF710" s="8"/>
      <c r="AG710" s="5" t="str">
        <f t="array" ref="AG710">IF('Ingest Template'!A710="Standard",(CONCATENATE(IF(ISBLANK('Ingest Template'!N710),"", 'Ingest Template'!N710&amp;"|DAR"),CHAR(10), IF(ISBLANK('Ingest Template'!O710),"", 'Ingest Template'!O710&amp;"|DAR"),CHAR(10), IF(ISBLANK('Ingest Template'!P710),"", 'Ingest Template'!P710&amp;"|DAR"))),(CONCATENATE(IF(ISBLANK('Ingest Template'!N710),"", 'Ingest Template'!N710&amp;"|Operations - Core Title"),CHAR(10), IF(ISBLANK('Ingest Template'!O710),"", 'Ingest Template'!O710&amp;"|Operations - Core Title"),CHAR(10), IF(ISBLANK('Ingest Template'!P710),"", 'Ingest Template'!P710&amp;"|Operations - Core Title"))))</f>
        <v>#|Operations - Core Title
</v>
      </c>
      <c r="AH710" s="5"/>
      <c r="AI710" s="5"/>
      <c r="AJ710" s="5"/>
      <c r="AK710" s="5"/>
      <c r="AL710" s="5"/>
    </row>
    <row r="711">
      <c r="A711" s="5"/>
      <c r="B711" s="5" t="str">
        <f>'Ingest Template'!B711&amp;IF('Ingest Template'!A711 = "Standard", " - DAR","")</f>
        <v/>
      </c>
      <c r="C711" s="6" t="str">
        <f>'Ingest Template'!C711</f>
        <v/>
      </c>
      <c r="D711" s="7" t="str">
        <f>'Ingest Template'!E711</f>
        <v/>
      </c>
      <c r="E711" s="5"/>
      <c r="F711" s="5"/>
      <c r="G711" s="5"/>
      <c r="H711" s="7"/>
      <c r="I711" s="5"/>
      <c r="J711" s="7" t="str">
        <f>'Ingest Template'!Q711</f>
        <v/>
      </c>
      <c r="K711" s="5" t="str">
        <f>'Ingest Template'!R711</f>
        <v/>
      </c>
      <c r="L711" s="8" t="s">
        <v>38</v>
      </c>
      <c r="M711" s="9"/>
      <c r="N711" s="5"/>
      <c r="O711" s="5"/>
      <c r="P711" s="5"/>
      <c r="Q711" s="5"/>
      <c r="R711" s="5" t="str">
        <f>'Ingest Template'!D711</f>
        <v/>
      </c>
      <c r="S711" s="5" t="str">
        <f>'Ingest Template'!G711</f>
        <v/>
      </c>
      <c r="T711" s="5" t="str">
        <f>'Ingest Template'!H711</f>
        <v/>
      </c>
      <c r="U711" s="5" t="str">
        <f>LOWER(SUBSTITUTE(SUBSTITUTE(SUBSTITUTE(SUBSTITUTE(SUBSTITUTE('Ingest Template'!I711,"https:",""),"www.",""),"/",""),"?hl=en",""),"instagram.com",""))</f>
        <v/>
      </c>
      <c r="V711" s="10" t="str">
        <f>'Ingest Template'!J711</f>
        <v/>
      </c>
      <c r="W711" s="10" t="str">
        <f>'Ingest Template'!K711</f>
        <v/>
      </c>
      <c r="X711" s="5"/>
      <c r="Y711" s="5" t="str">
        <f>SUBSTITUTE(SUBSTITUTE(SUBSTITUTE('Ingest Template'!L711,"http:",""),"https:",""),"/","")</f>
        <v/>
      </c>
      <c r="Z711" s="5" t="str">
        <f t="array" ref="Z711">IF('Ingest Template'!A711="Standard",(IF(ISBLANK('Ingest Template'!M711),"", 'Ingest Template'!M711&amp;"|DAR")),(IF(ISBLANK('Ingest Template'!M711),"", 'Ingest Template'!M711&amp;"|Operations - Core Title")))</f>
        <v/>
      </c>
      <c r="AA711" s="5"/>
      <c r="AB711" s="5" t="str">
        <f>'Ingest Template'!F711</f>
        <v/>
      </c>
      <c r="AC711" s="5"/>
      <c r="AD711" s="5"/>
      <c r="AE711" s="5"/>
      <c r="AF711" s="8"/>
      <c r="AG711" s="5" t="str">
        <f t="array" ref="AG711">IF('Ingest Template'!A711="Standard",(CONCATENATE(IF(ISBLANK('Ingest Template'!N711),"", 'Ingest Template'!N711&amp;"|DAR"),CHAR(10), IF(ISBLANK('Ingest Template'!O711),"", 'Ingest Template'!O711&amp;"|DAR"),CHAR(10), IF(ISBLANK('Ingest Template'!P711),"", 'Ingest Template'!P711&amp;"|DAR"))),(CONCATENATE(IF(ISBLANK('Ingest Template'!N711),"", 'Ingest Template'!N711&amp;"|Operations - Core Title"),CHAR(10), IF(ISBLANK('Ingest Template'!O711),"", 'Ingest Template'!O711&amp;"|Operations - Core Title"),CHAR(10), IF(ISBLANK('Ingest Template'!P711),"", 'Ingest Template'!P711&amp;"|Operations - Core Title"))))</f>
        <v>#|Operations - Core Title
</v>
      </c>
      <c r="AH711" s="5"/>
      <c r="AI711" s="5"/>
      <c r="AJ711" s="5"/>
      <c r="AK711" s="5"/>
      <c r="AL711" s="5"/>
    </row>
    <row r="712">
      <c r="A712" s="5"/>
      <c r="B712" s="5" t="str">
        <f>'Ingest Template'!B712&amp;IF('Ingest Template'!A712 = "Standard", " - DAR","")</f>
        <v/>
      </c>
      <c r="C712" s="6" t="str">
        <f>'Ingest Template'!C712</f>
        <v/>
      </c>
      <c r="D712" s="7" t="str">
        <f>'Ingest Template'!E712</f>
        <v/>
      </c>
      <c r="E712" s="5"/>
      <c r="F712" s="5"/>
      <c r="G712" s="5"/>
      <c r="H712" s="7"/>
      <c r="I712" s="5"/>
      <c r="J712" s="7" t="str">
        <f>'Ingest Template'!Q712</f>
        <v/>
      </c>
      <c r="K712" s="5" t="str">
        <f>'Ingest Template'!R712</f>
        <v/>
      </c>
      <c r="L712" s="8" t="s">
        <v>38</v>
      </c>
      <c r="M712" s="9"/>
      <c r="N712" s="5"/>
      <c r="O712" s="5"/>
      <c r="P712" s="5"/>
      <c r="Q712" s="5"/>
      <c r="R712" s="5" t="str">
        <f>'Ingest Template'!D712</f>
        <v/>
      </c>
      <c r="S712" s="5" t="str">
        <f>'Ingest Template'!G712</f>
        <v/>
      </c>
      <c r="T712" s="5" t="str">
        <f>'Ingest Template'!H712</f>
        <v/>
      </c>
      <c r="U712" s="5" t="str">
        <f>LOWER(SUBSTITUTE(SUBSTITUTE(SUBSTITUTE(SUBSTITUTE(SUBSTITUTE('Ingest Template'!I712,"https:",""),"www.",""),"/",""),"?hl=en",""),"instagram.com",""))</f>
        <v/>
      </c>
      <c r="V712" s="10" t="str">
        <f>'Ingest Template'!J712</f>
        <v/>
      </c>
      <c r="W712" s="10" t="str">
        <f>'Ingest Template'!K712</f>
        <v/>
      </c>
      <c r="X712" s="5"/>
      <c r="Y712" s="5" t="str">
        <f>SUBSTITUTE(SUBSTITUTE(SUBSTITUTE('Ingest Template'!L712,"http:",""),"https:",""),"/","")</f>
        <v/>
      </c>
      <c r="Z712" s="5" t="str">
        <f t="array" ref="Z712">IF('Ingest Template'!A712="Standard",(IF(ISBLANK('Ingest Template'!M712),"", 'Ingest Template'!M712&amp;"|DAR")),(IF(ISBLANK('Ingest Template'!M712),"", 'Ingest Template'!M712&amp;"|Operations - Core Title")))</f>
        <v/>
      </c>
      <c r="AA712" s="5"/>
      <c r="AB712" s="5" t="str">
        <f>'Ingest Template'!F712</f>
        <v/>
      </c>
      <c r="AC712" s="5"/>
      <c r="AD712" s="5"/>
      <c r="AE712" s="5"/>
      <c r="AF712" s="8"/>
      <c r="AG712" s="5" t="str">
        <f t="array" ref="AG712">IF('Ingest Template'!A712="Standard",(CONCATENATE(IF(ISBLANK('Ingest Template'!N712),"", 'Ingest Template'!N712&amp;"|DAR"),CHAR(10), IF(ISBLANK('Ingest Template'!O712),"", 'Ingest Template'!O712&amp;"|DAR"),CHAR(10), IF(ISBLANK('Ingest Template'!P712),"", 'Ingest Template'!P712&amp;"|DAR"))),(CONCATENATE(IF(ISBLANK('Ingest Template'!N712),"", 'Ingest Template'!N712&amp;"|Operations - Core Title"),CHAR(10), IF(ISBLANK('Ingest Template'!O712),"", 'Ingest Template'!O712&amp;"|Operations - Core Title"),CHAR(10), IF(ISBLANK('Ingest Template'!P712),"", 'Ingest Template'!P712&amp;"|Operations - Core Title"))))</f>
        <v>#|Operations - Core Title
</v>
      </c>
      <c r="AH712" s="5"/>
      <c r="AI712" s="5"/>
      <c r="AJ712" s="5"/>
      <c r="AK712" s="5"/>
      <c r="AL712" s="5"/>
    </row>
    <row r="713">
      <c r="A713" s="5"/>
      <c r="B713" s="5" t="str">
        <f>'Ingest Template'!B713&amp;IF('Ingest Template'!A713 = "Standard", " - DAR","")</f>
        <v/>
      </c>
      <c r="C713" s="6" t="str">
        <f>'Ingest Template'!C713</f>
        <v/>
      </c>
      <c r="D713" s="7" t="str">
        <f>'Ingest Template'!E713</f>
        <v/>
      </c>
      <c r="E713" s="5"/>
      <c r="F713" s="5"/>
      <c r="G713" s="5"/>
      <c r="H713" s="7"/>
      <c r="I713" s="5"/>
      <c r="J713" s="7" t="str">
        <f>'Ingest Template'!Q713</f>
        <v/>
      </c>
      <c r="K713" s="5" t="str">
        <f>'Ingest Template'!R713</f>
        <v/>
      </c>
      <c r="L713" s="8" t="s">
        <v>38</v>
      </c>
      <c r="M713" s="9"/>
      <c r="N713" s="5"/>
      <c r="O713" s="5"/>
      <c r="P713" s="5"/>
      <c r="Q713" s="5"/>
      <c r="R713" s="5" t="str">
        <f>'Ingest Template'!D713</f>
        <v/>
      </c>
      <c r="S713" s="5" t="str">
        <f>'Ingest Template'!G713</f>
        <v/>
      </c>
      <c r="T713" s="5" t="str">
        <f>'Ingest Template'!H713</f>
        <v/>
      </c>
      <c r="U713" s="5" t="str">
        <f>LOWER(SUBSTITUTE(SUBSTITUTE(SUBSTITUTE(SUBSTITUTE(SUBSTITUTE('Ingest Template'!I713,"https:",""),"www.",""),"/",""),"?hl=en",""),"instagram.com",""))</f>
        <v/>
      </c>
      <c r="V713" s="10" t="str">
        <f>'Ingest Template'!J713</f>
        <v/>
      </c>
      <c r="W713" s="10" t="str">
        <f>'Ingest Template'!K713</f>
        <v/>
      </c>
      <c r="X713" s="5"/>
      <c r="Y713" s="5" t="str">
        <f>SUBSTITUTE(SUBSTITUTE(SUBSTITUTE('Ingest Template'!L713,"http:",""),"https:",""),"/","")</f>
        <v/>
      </c>
      <c r="Z713" s="5" t="str">
        <f t="array" ref="Z713">IF('Ingest Template'!A713="Standard",(IF(ISBLANK('Ingest Template'!M713),"", 'Ingest Template'!M713&amp;"|DAR")),(IF(ISBLANK('Ingest Template'!M713),"", 'Ingest Template'!M713&amp;"|Operations - Core Title")))</f>
        <v/>
      </c>
      <c r="AA713" s="5"/>
      <c r="AB713" s="5" t="str">
        <f>'Ingest Template'!F713</f>
        <v/>
      </c>
      <c r="AC713" s="5"/>
      <c r="AD713" s="5"/>
      <c r="AE713" s="5"/>
      <c r="AF713" s="8"/>
      <c r="AG713" s="5" t="str">
        <f t="array" ref="AG713">IF('Ingest Template'!A713="Standard",(CONCATENATE(IF(ISBLANK('Ingest Template'!N713),"", 'Ingest Template'!N713&amp;"|DAR"),CHAR(10), IF(ISBLANK('Ingest Template'!O713),"", 'Ingest Template'!O713&amp;"|DAR"),CHAR(10), IF(ISBLANK('Ingest Template'!P713),"", 'Ingest Template'!P713&amp;"|DAR"))),(CONCATENATE(IF(ISBLANK('Ingest Template'!N713),"", 'Ingest Template'!N713&amp;"|Operations - Core Title"),CHAR(10), IF(ISBLANK('Ingest Template'!O713),"", 'Ingest Template'!O713&amp;"|Operations - Core Title"),CHAR(10), IF(ISBLANK('Ingest Template'!P713),"", 'Ingest Template'!P713&amp;"|Operations - Core Title"))))</f>
        <v>#|Operations - Core Title
</v>
      </c>
      <c r="AH713" s="5"/>
      <c r="AI713" s="5"/>
      <c r="AJ713" s="5"/>
      <c r="AK713" s="5"/>
      <c r="AL713" s="5"/>
    </row>
    <row r="714">
      <c r="A714" s="5"/>
      <c r="B714" s="5" t="str">
        <f>'Ingest Template'!B714&amp;IF('Ingest Template'!A714 = "Standard", " - DAR","")</f>
        <v/>
      </c>
      <c r="C714" s="6" t="str">
        <f>'Ingest Template'!C714</f>
        <v/>
      </c>
      <c r="D714" s="7" t="str">
        <f>'Ingest Template'!E714</f>
        <v/>
      </c>
      <c r="E714" s="5"/>
      <c r="F714" s="5"/>
      <c r="G714" s="5"/>
      <c r="H714" s="7"/>
      <c r="I714" s="5"/>
      <c r="J714" s="7" t="str">
        <f>'Ingest Template'!Q714</f>
        <v/>
      </c>
      <c r="K714" s="5" t="str">
        <f>'Ingest Template'!R714</f>
        <v/>
      </c>
      <c r="L714" s="8" t="s">
        <v>38</v>
      </c>
      <c r="M714" s="9"/>
      <c r="N714" s="5"/>
      <c r="O714" s="5"/>
      <c r="P714" s="5"/>
      <c r="Q714" s="5"/>
      <c r="R714" s="5" t="str">
        <f>'Ingest Template'!D714</f>
        <v/>
      </c>
      <c r="S714" s="5" t="str">
        <f>'Ingest Template'!G714</f>
        <v/>
      </c>
      <c r="T714" s="5" t="str">
        <f>'Ingest Template'!H714</f>
        <v/>
      </c>
      <c r="U714" s="5" t="str">
        <f>LOWER(SUBSTITUTE(SUBSTITUTE(SUBSTITUTE(SUBSTITUTE(SUBSTITUTE('Ingest Template'!I714,"https:",""),"www.",""),"/",""),"?hl=en",""),"instagram.com",""))</f>
        <v/>
      </c>
      <c r="V714" s="10" t="str">
        <f>'Ingest Template'!J714</f>
        <v/>
      </c>
      <c r="W714" s="10" t="str">
        <f>'Ingest Template'!K714</f>
        <v/>
      </c>
      <c r="X714" s="5"/>
      <c r="Y714" s="5" t="str">
        <f>SUBSTITUTE(SUBSTITUTE(SUBSTITUTE('Ingest Template'!L714,"http:",""),"https:",""),"/","")</f>
        <v/>
      </c>
      <c r="Z714" s="5" t="str">
        <f t="array" ref="Z714">IF('Ingest Template'!A714="Standard",(IF(ISBLANK('Ingest Template'!M714),"", 'Ingest Template'!M714&amp;"|DAR")),(IF(ISBLANK('Ingest Template'!M714),"", 'Ingest Template'!M714&amp;"|Operations - Core Title")))</f>
        <v/>
      </c>
      <c r="AA714" s="5"/>
      <c r="AB714" s="5" t="str">
        <f>'Ingest Template'!F714</f>
        <v/>
      </c>
      <c r="AC714" s="5"/>
      <c r="AD714" s="5"/>
      <c r="AE714" s="5"/>
      <c r="AF714" s="8"/>
      <c r="AG714" s="5" t="str">
        <f t="array" ref="AG714">IF('Ingest Template'!A714="Standard",(CONCATENATE(IF(ISBLANK('Ingest Template'!N714),"", 'Ingest Template'!N714&amp;"|DAR"),CHAR(10), IF(ISBLANK('Ingest Template'!O714),"", 'Ingest Template'!O714&amp;"|DAR"),CHAR(10), IF(ISBLANK('Ingest Template'!P714),"", 'Ingest Template'!P714&amp;"|DAR"))),(CONCATENATE(IF(ISBLANK('Ingest Template'!N714),"", 'Ingest Template'!N714&amp;"|Operations - Core Title"),CHAR(10), IF(ISBLANK('Ingest Template'!O714),"", 'Ingest Template'!O714&amp;"|Operations - Core Title"),CHAR(10), IF(ISBLANK('Ingest Template'!P714),"", 'Ingest Template'!P714&amp;"|Operations - Core Title"))))</f>
        <v>#|Operations - Core Title
</v>
      </c>
      <c r="AH714" s="5"/>
      <c r="AI714" s="5"/>
      <c r="AJ714" s="5"/>
      <c r="AK714" s="5"/>
      <c r="AL714" s="5"/>
    </row>
    <row r="715">
      <c r="A715" s="5"/>
      <c r="B715" s="5" t="str">
        <f>'Ingest Template'!B715&amp;IF('Ingest Template'!A715 = "Standard", " - DAR","")</f>
        <v/>
      </c>
      <c r="C715" s="6" t="str">
        <f>'Ingest Template'!C715</f>
        <v/>
      </c>
      <c r="D715" s="7" t="str">
        <f>'Ingest Template'!E715</f>
        <v/>
      </c>
      <c r="E715" s="5"/>
      <c r="F715" s="5"/>
      <c r="G715" s="5"/>
      <c r="H715" s="7"/>
      <c r="I715" s="5"/>
      <c r="J715" s="7" t="str">
        <f>'Ingest Template'!Q715</f>
        <v/>
      </c>
      <c r="K715" s="5" t="str">
        <f>'Ingest Template'!R715</f>
        <v/>
      </c>
      <c r="L715" s="8" t="s">
        <v>38</v>
      </c>
      <c r="M715" s="9"/>
      <c r="N715" s="5"/>
      <c r="O715" s="5"/>
      <c r="P715" s="5"/>
      <c r="Q715" s="5"/>
      <c r="R715" s="5" t="str">
        <f>'Ingest Template'!D715</f>
        <v/>
      </c>
      <c r="S715" s="5" t="str">
        <f>'Ingest Template'!G715</f>
        <v/>
      </c>
      <c r="T715" s="5" t="str">
        <f>'Ingest Template'!H715</f>
        <v/>
      </c>
      <c r="U715" s="5" t="str">
        <f>LOWER(SUBSTITUTE(SUBSTITUTE(SUBSTITUTE(SUBSTITUTE(SUBSTITUTE('Ingest Template'!I715,"https:",""),"www.",""),"/",""),"?hl=en",""),"instagram.com",""))</f>
        <v/>
      </c>
      <c r="V715" s="10" t="str">
        <f>'Ingest Template'!J715</f>
        <v/>
      </c>
      <c r="W715" s="10" t="str">
        <f>'Ingest Template'!K715</f>
        <v/>
      </c>
      <c r="X715" s="5"/>
      <c r="Y715" s="5" t="str">
        <f>SUBSTITUTE(SUBSTITUTE(SUBSTITUTE('Ingest Template'!L715,"http:",""),"https:",""),"/","")</f>
        <v/>
      </c>
      <c r="Z715" s="5" t="str">
        <f t="array" ref="Z715">IF('Ingest Template'!A715="Standard",(IF(ISBLANK('Ingest Template'!M715),"", 'Ingest Template'!M715&amp;"|DAR")),(IF(ISBLANK('Ingest Template'!M715),"", 'Ingest Template'!M715&amp;"|Operations - Core Title")))</f>
        <v/>
      </c>
      <c r="AA715" s="5"/>
      <c r="AB715" s="5" t="str">
        <f>'Ingest Template'!F715</f>
        <v/>
      </c>
      <c r="AC715" s="5"/>
      <c r="AD715" s="5"/>
      <c r="AE715" s="5"/>
      <c r="AF715" s="8"/>
      <c r="AG715" s="5" t="str">
        <f t="array" ref="AG715">IF('Ingest Template'!A715="Standard",(CONCATENATE(IF(ISBLANK('Ingest Template'!N715),"", 'Ingest Template'!N715&amp;"|DAR"),CHAR(10), IF(ISBLANK('Ingest Template'!O715),"", 'Ingest Template'!O715&amp;"|DAR"),CHAR(10), IF(ISBLANK('Ingest Template'!P715),"", 'Ingest Template'!P715&amp;"|DAR"))),(CONCATENATE(IF(ISBLANK('Ingest Template'!N715),"", 'Ingest Template'!N715&amp;"|Operations - Core Title"),CHAR(10), IF(ISBLANK('Ingest Template'!O715),"", 'Ingest Template'!O715&amp;"|Operations - Core Title"),CHAR(10), IF(ISBLANK('Ingest Template'!P715),"", 'Ingest Template'!P715&amp;"|Operations - Core Title"))))</f>
        <v>#|Operations - Core Title
</v>
      </c>
      <c r="AH715" s="5"/>
      <c r="AI715" s="5"/>
      <c r="AJ715" s="5"/>
      <c r="AK715" s="5"/>
      <c r="AL715" s="5"/>
    </row>
    <row r="716">
      <c r="A716" s="5"/>
      <c r="B716" s="5" t="str">
        <f>'Ingest Template'!B716&amp;IF('Ingest Template'!A716 = "Standard", " - DAR","")</f>
        <v/>
      </c>
      <c r="C716" s="6" t="str">
        <f>'Ingest Template'!C716</f>
        <v/>
      </c>
      <c r="D716" s="7" t="str">
        <f>'Ingest Template'!E716</f>
        <v/>
      </c>
      <c r="E716" s="5"/>
      <c r="F716" s="5"/>
      <c r="G716" s="5"/>
      <c r="H716" s="7"/>
      <c r="I716" s="5"/>
      <c r="J716" s="7" t="str">
        <f>'Ingest Template'!Q716</f>
        <v/>
      </c>
      <c r="K716" s="5" t="str">
        <f>'Ingest Template'!R716</f>
        <v/>
      </c>
      <c r="L716" s="8" t="s">
        <v>38</v>
      </c>
      <c r="M716" s="9"/>
      <c r="N716" s="5"/>
      <c r="O716" s="5"/>
      <c r="P716" s="5"/>
      <c r="Q716" s="5"/>
      <c r="R716" s="5" t="str">
        <f>'Ingest Template'!D716</f>
        <v/>
      </c>
      <c r="S716" s="5" t="str">
        <f>'Ingest Template'!G716</f>
        <v/>
      </c>
      <c r="T716" s="5" t="str">
        <f>'Ingest Template'!H716</f>
        <v/>
      </c>
      <c r="U716" s="5" t="str">
        <f>LOWER(SUBSTITUTE(SUBSTITUTE(SUBSTITUTE(SUBSTITUTE(SUBSTITUTE('Ingest Template'!I716,"https:",""),"www.",""),"/",""),"?hl=en",""),"instagram.com",""))</f>
        <v/>
      </c>
      <c r="V716" s="10" t="str">
        <f>'Ingest Template'!J716</f>
        <v/>
      </c>
      <c r="W716" s="10" t="str">
        <f>'Ingest Template'!K716</f>
        <v/>
      </c>
      <c r="X716" s="5"/>
      <c r="Y716" s="5" t="str">
        <f>SUBSTITUTE(SUBSTITUTE(SUBSTITUTE('Ingest Template'!L716,"http:",""),"https:",""),"/","")</f>
        <v/>
      </c>
      <c r="Z716" s="5" t="str">
        <f t="array" ref="Z716">IF('Ingest Template'!A716="Standard",(IF(ISBLANK('Ingest Template'!M716),"", 'Ingest Template'!M716&amp;"|DAR")),(IF(ISBLANK('Ingest Template'!M716),"", 'Ingest Template'!M716&amp;"|Operations - Core Title")))</f>
        <v/>
      </c>
      <c r="AA716" s="5"/>
      <c r="AB716" s="5" t="str">
        <f>'Ingest Template'!F716</f>
        <v/>
      </c>
      <c r="AC716" s="5"/>
      <c r="AD716" s="5"/>
      <c r="AE716" s="5"/>
      <c r="AF716" s="8"/>
      <c r="AG716" s="5" t="str">
        <f t="array" ref="AG716">IF('Ingest Template'!A716="Standard",(CONCATENATE(IF(ISBLANK('Ingest Template'!N716),"", 'Ingest Template'!N716&amp;"|DAR"),CHAR(10), IF(ISBLANK('Ingest Template'!O716),"", 'Ingest Template'!O716&amp;"|DAR"),CHAR(10), IF(ISBLANK('Ingest Template'!P716),"", 'Ingest Template'!P716&amp;"|DAR"))),(CONCATENATE(IF(ISBLANK('Ingest Template'!N716),"", 'Ingest Template'!N716&amp;"|Operations - Core Title"),CHAR(10), IF(ISBLANK('Ingest Template'!O716),"", 'Ingest Template'!O716&amp;"|Operations - Core Title"),CHAR(10), IF(ISBLANK('Ingest Template'!P716),"", 'Ingest Template'!P716&amp;"|Operations - Core Title"))))</f>
        <v>#|Operations - Core Title
</v>
      </c>
      <c r="AH716" s="5"/>
      <c r="AI716" s="5"/>
      <c r="AJ716" s="5"/>
      <c r="AK716" s="5"/>
      <c r="AL716" s="5"/>
    </row>
    <row r="717">
      <c r="A717" s="5"/>
      <c r="B717" s="5" t="str">
        <f>'Ingest Template'!B717&amp;IF('Ingest Template'!A717 = "Standard", " - DAR","")</f>
        <v/>
      </c>
      <c r="C717" s="6" t="str">
        <f>'Ingest Template'!C717</f>
        <v/>
      </c>
      <c r="D717" s="7" t="str">
        <f>'Ingest Template'!E717</f>
        <v/>
      </c>
      <c r="E717" s="5"/>
      <c r="F717" s="5"/>
      <c r="G717" s="5"/>
      <c r="H717" s="7"/>
      <c r="I717" s="5"/>
      <c r="J717" s="7" t="str">
        <f>'Ingest Template'!Q717</f>
        <v/>
      </c>
      <c r="K717" s="5" t="str">
        <f>'Ingest Template'!R717</f>
        <v/>
      </c>
      <c r="L717" s="8" t="s">
        <v>38</v>
      </c>
      <c r="M717" s="9"/>
      <c r="N717" s="5"/>
      <c r="O717" s="5"/>
      <c r="P717" s="5"/>
      <c r="Q717" s="5"/>
      <c r="R717" s="5" t="str">
        <f>'Ingest Template'!D717</f>
        <v/>
      </c>
      <c r="S717" s="5" t="str">
        <f>'Ingest Template'!G717</f>
        <v/>
      </c>
      <c r="T717" s="5" t="str">
        <f>'Ingest Template'!H717</f>
        <v/>
      </c>
      <c r="U717" s="5" t="str">
        <f>LOWER(SUBSTITUTE(SUBSTITUTE(SUBSTITUTE(SUBSTITUTE(SUBSTITUTE('Ingest Template'!I717,"https:",""),"www.",""),"/",""),"?hl=en",""),"instagram.com",""))</f>
        <v/>
      </c>
      <c r="V717" s="10" t="str">
        <f>'Ingest Template'!J717</f>
        <v/>
      </c>
      <c r="W717" s="10" t="str">
        <f>'Ingest Template'!K717</f>
        <v/>
      </c>
      <c r="X717" s="5"/>
      <c r="Y717" s="5" t="str">
        <f>SUBSTITUTE(SUBSTITUTE(SUBSTITUTE('Ingest Template'!L717,"http:",""),"https:",""),"/","")</f>
        <v/>
      </c>
      <c r="Z717" s="5" t="str">
        <f t="array" ref="Z717">IF('Ingest Template'!A717="Standard",(IF(ISBLANK('Ingest Template'!M717),"", 'Ingest Template'!M717&amp;"|DAR")),(IF(ISBLANK('Ingest Template'!M717),"", 'Ingest Template'!M717&amp;"|Operations - Core Title")))</f>
        <v/>
      </c>
      <c r="AA717" s="5"/>
      <c r="AB717" s="5" t="str">
        <f>'Ingest Template'!F717</f>
        <v/>
      </c>
      <c r="AC717" s="5"/>
      <c r="AD717" s="5"/>
      <c r="AE717" s="5"/>
      <c r="AF717" s="8"/>
      <c r="AG717" s="5" t="str">
        <f t="array" ref="AG717">IF('Ingest Template'!A717="Standard",(CONCATENATE(IF(ISBLANK('Ingest Template'!N717),"", 'Ingest Template'!N717&amp;"|DAR"),CHAR(10), IF(ISBLANK('Ingest Template'!O717),"", 'Ingest Template'!O717&amp;"|DAR"),CHAR(10), IF(ISBLANK('Ingest Template'!P717),"", 'Ingest Template'!P717&amp;"|DAR"))),(CONCATENATE(IF(ISBLANK('Ingest Template'!N717),"", 'Ingest Template'!N717&amp;"|Operations - Core Title"),CHAR(10), IF(ISBLANK('Ingest Template'!O717),"", 'Ingest Template'!O717&amp;"|Operations - Core Title"),CHAR(10), IF(ISBLANK('Ingest Template'!P717),"", 'Ingest Template'!P717&amp;"|Operations - Core Title"))))</f>
        <v>#|Operations - Core Title
</v>
      </c>
      <c r="AH717" s="5"/>
      <c r="AI717" s="5"/>
      <c r="AJ717" s="5"/>
      <c r="AK717" s="5"/>
      <c r="AL717" s="5"/>
    </row>
    <row r="718">
      <c r="A718" s="5"/>
      <c r="B718" s="5" t="str">
        <f>'Ingest Template'!B718&amp;IF('Ingest Template'!A718 = "Standard", " - DAR","")</f>
        <v/>
      </c>
      <c r="C718" s="6" t="str">
        <f>'Ingest Template'!C718</f>
        <v/>
      </c>
      <c r="D718" s="7" t="str">
        <f>'Ingest Template'!E718</f>
        <v/>
      </c>
      <c r="E718" s="5"/>
      <c r="F718" s="5"/>
      <c r="G718" s="5"/>
      <c r="H718" s="7"/>
      <c r="I718" s="5"/>
      <c r="J718" s="7" t="str">
        <f>'Ingest Template'!Q718</f>
        <v/>
      </c>
      <c r="K718" s="5" t="str">
        <f>'Ingest Template'!R718</f>
        <v/>
      </c>
      <c r="L718" s="8" t="s">
        <v>38</v>
      </c>
      <c r="M718" s="9"/>
      <c r="N718" s="5"/>
      <c r="O718" s="5"/>
      <c r="P718" s="5"/>
      <c r="Q718" s="5"/>
      <c r="R718" s="5" t="str">
        <f>'Ingest Template'!D718</f>
        <v/>
      </c>
      <c r="S718" s="5" t="str">
        <f>'Ingest Template'!G718</f>
        <v/>
      </c>
      <c r="T718" s="5" t="str">
        <f>'Ingest Template'!H718</f>
        <v/>
      </c>
      <c r="U718" s="5" t="str">
        <f>LOWER(SUBSTITUTE(SUBSTITUTE(SUBSTITUTE(SUBSTITUTE(SUBSTITUTE('Ingest Template'!I718,"https:",""),"www.",""),"/",""),"?hl=en",""),"instagram.com",""))</f>
        <v/>
      </c>
      <c r="V718" s="10" t="str">
        <f>'Ingest Template'!J718</f>
        <v/>
      </c>
      <c r="W718" s="10" t="str">
        <f>'Ingest Template'!K718</f>
        <v/>
      </c>
      <c r="X718" s="5"/>
      <c r="Y718" s="5" t="str">
        <f>SUBSTITUTE(SUBSTITUTE(SUBSTITUTE('Ingest Template'!L718,"http:",""),"https:",""),"/","")</f>
        <v/>
      </c>
      <c r="Z718" s="5" t="str">
        <f t="array" ref="Z718">IF('Ingest Template'!A718="Standard",(IF(ISBLANK('Ingest Template'!M718),"", 'Ingest Template'!M718&amp;"|DAR")),(IF(ISBLANK('Ingest Template'!M718),"", 'Ingest Template'!M718&amp;"|Operations - Core Title")))</f>
        <v/>
      </c>
      <c r="AA718" s="5"/>
      <c r="AB718" s="5" t="str">
        <f>'Ingest Template'!F718</f>
        <v/>
      </c>
      <c r="AC718" s="5"/>
      <c r="AD718" s="5"/>
      <c r="AE718" s="5"/>
      <c r="AF718" s="8"/>
      <c r="AG718" s="5" t="str">
        <f t="array" ref="AG718">IF('Ingest Template'!A718="Standard",(CONCATENATE(IF(ISBLANK('Ingest Template'!N718),"", 'Ingest Template'!N718&amp;"|DAR"),CHAR(10), IF(ISBLANK('Ingest Template'!O718),"", 'Ingest Template'!O718&amp;"|DAR"),CHAR(10), IF(ISBLANK('Ingest Template'!P718),"", 'Ingest Template'!P718&amp;"|DAR"))),(CONCATENATE(IF(ISBLANK('Ingest Template'!N718),"", 'Ingest Template'!N718&amp;"|Operations - Core Title"),CHAR(10), IF(ISBLANK('Ingest Template'!O718),"", 'Ingest Template'!O718&amp;"|Operations - Core Title"),CHAR(10), IF(ISBLANK('Ingest Template'!P718),"", 'Ingest Template'!P718&amp;"|Operations - Core Title"))))</f>
        <v>#|Operations - Core Title
</v>
      </c>
      <c r="AH718" s="5"/>
      <c r="AI718" s="5"/>
      <c r="AJ718" s="5"/>
      <c r="AK718" s="5"/>
      <c r="AL718" s="5"/>
    </row>
    <row r="719">
      <c r="A719" s="5"/>
      <c r="B719" s="5" t="str">
        <f>'Ingest Template'!B719&amp;IF('Ingest Template'!A719 = "Standard", " - DAR","")</f>
        <v/>
      </c>
      <c r="C719" s="6" t="str">
        <f>'Ingest Template'!C719</f>
        <v/>
      </c>
      <c r="D719" s="7" t="str">
        <f>'Ingest Template'!E719</f>
        <v/>
      </c>
      <c r="E719" s="5"/>
      <c r="F719" s="5"/>
      <c r="G719" s="5"/>
      <c r="H719" s="7"/>
      <c r="I719" s="5"/>
      <c r="J719" s="7" t="str">
        <f>'Ingest Template'!Q719</f>
        <v/>
      </c>
      <c r="K719" s="5" t="str">
        <f>'Ingest Template'!R719</f>
        <v/>
      </c>
      <c r="L719" s="8" t="s">
        <v>38</v>
      </c>
      <c r="M719" s="9"/>
      <c r="N719" s="5"/>
      <c r="O719" s="5"/>
      <c r="P719" s="5"/>
      <c r="Q719" s="5"/>
      <c r="R719" s="5" t="str">
        <f>'Ingest Template'!D719</f>
        <v/>
      </c>
      <c r="S719" s="5" t="str">
        <f>'Ingest Template'!G719</f>
        <v/>
      </c>
      <c r="T719" s="5" t="str">
        <f>'Ingest Template'!H719</f>
        <v/>
      </c>
      <c r="U719" s="5" t="str">
        <f>LOWER(SUBSTITUTE(SUBSTITUTE(SUBSTITUTE(SUBSTITUTE(SUBSTITUTE('Ingest Template'!I719,"https:",""),"www.",""),"/",""),"?hl=en",""),"instagram.com",""))</f>
        <v/>
      </c>
      <c r="V719" s="10" t="str">
        <f>'Ingest Template'!J719</f>
        <v/>
      </c>
      <c r="W719" s="10" t="str">
        <f>'Ingest Template'!K719</f>
        <v/>
      </c>
      <c r="X719" s="5"/>
      <c r="Y719" s="5" t="str">
        <f>SUBSTITUTE(SUBSTITUTE(SUBSTITUTE('Ingest Template'!L719,"http:",""),"https:",""),"/","")</f>
        <v/>
      </c>
      <c r="Z719" s="5" t="str">
        <f t="array" ref="Z719">IF('Ingest Template'!A719="Standard",(IF(ISBLANK('Ingest Template'!M719),"", 'Ingest Template'!M719&amp;"|DAR")),(IF(ISBLANK('Ingest Template'!M719),"", 'Ingest Template'!M719&amp;"|Operations - Core Title")))</f>
        <v/>
      </c>
      <c r="AA719" s="5"/>
      <c r="AB719" s="5" t="str">
        <f>'Ingest Template'!F719</f>
        <v/>
      </c>
      <c r="AC719" s="5"/>
      <c r="AD719" s="5"/>
      <c r="AE719" s="5"/>
      <c r="AF719" s="8"/>
      <c r="AG719" s="5" t="str">
        <f t="array" ref="AG719">IF('Ingest Template'!A719="Standard",(CONCATENATE(IF(ISBLANK('Ingest Template'!N719),"", 'Ingest Template'!N719&amp;"|DAR"),CHAR(10), IF(ISBLANK('Ingest Template'!O719),"", 'Ingest Template'!O719&amp;"|DAR"),CHAR(10), IF(ISBLANK('Ingest Template'!P719),"", 'Ingest Template'!P719&amp;"|DAR"))),(CONCATENATE(IF(ISBLANK('Ingest Template'!N719),"", 'Ingest Template'!N719&amp;"|Operations - Core Title"),CHAR(10), IF(ISBLANK('Ingest Template'!O719),"", 'Ingest Template'!O719&amp;"|Operations - Core Title"),CHAR(10), IF(ISBLANK('Ingest Template'!P719),"", 'Ingest Template'!P719&amp;"|Operations - Core Title"))))</f>
        <v>#|Operations - Core Title
</v>
      </c>
      <c r="AH719" s="5"/>
      <c r="AI719" s="5"/>
      <c r="AJ719" s="5"/>
      <c r="AK719" s="5"/>
      <c r="AL719" s="5"/>
    </row>
    <row r="720">
      <c r="A720" s="5"/>
      <c r="B720" s="5" t="str">
        <f>'Ingest Template'!B720&amp;IF('Ingest Template'!A720 = "Standard", " - DAR","")</f>
        <v/>
      </c>
      <c r="C720" s="6" t="str">
        <f>'Ingest Template'!C720</f>
        <v/>
      </c>
      <c r="D720" s="7" t="str">
        <f>'Ingest Template'!E720</f>
        <v/>
      </c>
      <c r="E720" s="5"/>
      <c r="F720" s="5"/>
      <c r="G720" s="5"/>
      <c r="H720" s="7"/>
      <c r="I720" s="5"/>
      <c r="J720" s="7" t="str">
        <f>'Ingest Template'!Q720</f>
        <v/>
      </c>
      <c r="K720" s="5" t="str">
        <f>'Ingest Template'!R720</f>
        <v/>
      </c>
      <c r="L720" s="8" t="s">
        <v>38</v>
      </c>
      <c r="M720" s="9"/>
      <c r="N720" s="5"/>
      <c r="O720" s="5"/>
      <c r="P720" s="5"/>
      <c r="Q720" s="5"/>
      <c r="R720" s="5" t="str">
        <f>'Ingest Template'!D720</f>
        <v/>
      </c>
      <c r="S720" s="5" t="str">
        <f>'Ingest Template'!G720</f>
        <v/>
      </c>
      <c r="T720" s="5" t="str">
        <f>'Ingest Template'!H720</f>
        <v/>
      </c>
      <c r="U720" s="5" t="str">
        <f>LOWER(SUBSTITUTE(SUBSTITUTE(SUBSTITUTE(SUBSTITUTE(SUBSTITUTE('Ingest Template'!I720,"https:",""),"www.",""),"/",""),"?hl=en",""),"instagram.com",""))</f>
        <v/>
      </c>
      <c r="V720" s="10" t="str">
        <f>'Ingest Template'!J720</f>
        <v/>
      </c>
      <c r="W720" s="10" t="str">
        <f>'Ingest Template'!K720</f>
        <v/>
      </c>
      <c r="X720" s="5"/>
      <c r="Y720" s="5" t="str">
        <f>SUBSTITUTE(SUBSTITUTE(SUBSTITUTE('Ingest Template'!L720,"http:",""),"https:",""),"/","")</f>
        <v/>
      </c>
      <c r="Z720" s="5" t="str">
        <f t="array" ref="Z720">IF('Ingest Template'!A720="Standard",(IF(ISBLANK('Ingest Template'!M720),"", 'Ingest Template'!M720&amp;"|DAR")),(IF(ISBLANK('Ingest Template'!M720),"", 'Ingest Template'!M720&amp;"|Operations - Core Title")))</f>
        <v/>
      </c>
      <c r="AA720" s="5"/>
      <c r="AB720" s="5" t="str">
        <f>'Ingest Template'!F720</f>
        <v/>
      </c>
      <c r="AC720" s="5"/>
      <c r="AD720" s="5"/>
      <c r="AE720" s="5"/>
      <c r="AF720" s="8"/>
      <c r="AG720" s="5" t="str">
        <f t="array" ref="AG720">IF('Ingest Template'!A720="Standard",(CONCATENATE(IF(ISBLANK('Ingest Template'!N720),"", 'Ingest Template'!N720&amp;"|DAR"),CHAR(10), IF(ISBLANK('Ingest Template'!O720),"", 'Ingest Template'!O720&amp;"|DAR"),CHAR(10), IF(ISBLANK('Ingest Template'!P720),"", 'Ingest Template'!P720&amp;"|DAR"))),(CONCATENATE(IF(ISBLANK('Ingest Template'!N720),"", 'Ingest Template'!N720&amp;"|Operations - Core Title"),CHAR(10), IF(ISBLANK('Ingest Template'!O720),"", 'Ingest Template'!O720&amp;"|Operations - Core Title"),CHAR(10), IF(ISBLANK('Ingest Template'!P720),"", 'Ingest Template'!P720&amp;"|Operations - Core Title"))))</f>
        <v>#|Operations - Core Title
</v>
      </c>
      <c r="AH720" s="5"/>
      <c r="AI720" s="5"/>
      <c r="AJ720" s="5"/>
      <c r="AK720" s="5"/>
      <c r="AL720" s="5"/>
    </row>
    <row r="721">
      <c r="A721" s="5"/>
      <c r="B721" s="5" t="str">
        <f>'Ingest Template'!B721&amp;IF('Ingest Template'!A721 = "Standard", " - DAR","")</f>
        <v/>
      </c>
      <c r="C721" s="6" t="str">
        <f>'Ingest Template'!C721</f>
        <v/>
      </c>
      <c r="D721" s="7" t="str">
        <f>'Ingest Template'!E721</f>
        <v/>
      </c>
      <c r="E721" s="5"/>
      <c r="F721" s="5"/>
      <c r="G721" s="5"/>
      <c r="H721" s="7"/>
      <c r="I721" s="5"/>
      <c r="J721" s="7" t="str">
        <f>'Ingest Template'!Q721</f>
        <v/>
      </c>
      <c r="K721" s="5" t="str">
        <f>'Ingest Template'!R721</f>
        <v/>
      </c>
      <c r="L721" s="8" t="s">
        <v>38</v>
      </c>
      <c r="M721" s="9"/>
      <c r="N721" s="5"/>
      <c r="O721" s="5"/>
      <c r="P721" s="5"/>
      <c r="Q721" s="5"/>
      <c r="R721" s="5" t="str">
        <f>'Ingest Template'!D721</f>
        <v/>
      </c>
      <c r="S721" s="5" t="str">
        <f>'Ingest Template'!G721</f>
        <v/>
      </c>
      <c r="T721" s="5" t="str">
        <f>'Ingest Template'!H721</f>
        <v/>
      </c>
      <c r="U721" s="5" t="str">
        <f>LOWER(SUBSTITUTE(SUBSTITUTE(SUBSTITUTE(SUBSTITUTE(SUBSTITUTE('Ingest Template'!I721,"https:",""),"www.",""),"/",""),"?hl=en",""),"instagram.com",""))</f>
        <v/>
      </c>
      <c r="V721" s="10" t="str">
        <f>'Ingest Template'!J721</f>
        <v/>
      </c>
      <c r="W721" s="10" t="str">
        <f>'Ingest Template'!K721</f>
        <v/>
      </c>
      <c r="X721" s="5"/>
      <c r="Y721" s="5" t="str">
        <f>SUBSTITUTE(SUBSTITUTE(SUBSTITUTE('Ingest Template'!L721,"http:",""),"https:",""),"/","")</f>
        <v/>
      </c>
      <c r="Z721" s="5" t="str">
        <f t="array" ref="Z721">IF('Ingest Template'!A721="Standard",(IF(ISBLANK('Ingest Template'!M721),"", 'Ingest Template'!M721&amp;"|DAR")),(IF(ISBLANK('Ingest Template'!M721),"", 'Ingest Template'!M721&amp;"|Operations - Core Title")))</f>
        <v/>
      </c>
      <c r="AA721" s="5"/>
      <c r="AB721" s="5" t="str">
        <f>'Ingest Template'!F721</f>
        <v/>
      </c>
      <c r="AC721" s="5"/>
      <c r="AD721" s="5"/>
      <c r="AE721" s="5"/>
      <c r="AF721" s="8"/>
      <c r="AG721" s="5" t="str">
        <f t="array" ref="AG721">IF('Ingest Template'!A721="Standard",(CONCATENATE(IF(ISBLANK('Ingest Template'!N721),"", 'Ingest Template'!N721&amp;"|DAR"),CHAR(10), IF(ISBLANK('Ingest Template'!O721),"", 'Ingest Template'!O721&amp;"|DAR"),CHAR(10), IF(ISBLANK('Ingest Template'!P721),"", 'Ingest Template'!P721&amp;"|DAR"))),(CONCATENATE(IF(ISBLANK('Ingest Template'!N721),"", 'Ingest Template'!N721&amp;"|Operations - Core Title"),CHAR(10), IF(ISBLANK('Ingest Template'!O721),"", 'Ingest Template'!O721&amp;"|Operations - Core Title"),CHAR(10), IF(ISBLANK('Ingest Template'!P721),"", 'Ingest Template'!P721&amp;"|Operations - Core Title"))))</f>
        <v>#|Operations - Core Title
</v>
      </c>
      <c r="AH721" s="5"/>
      <c r="AI721" s="5"/>
      <c r="AJ721" s="5"/>
      <c r="AK721" s="5"/>
      <c r="AL721" s="5"/>
    </row>
    <row r="722">
      <c r="A722" s="5"/>
      <c r="B722" s="5" t="str">
        <f>'Ingest Template'!B722&amp;IF('Ingest Template'!A722 = "Standard", " - DAR","")</f>
        <v/>
      </c>
      <c r="C722" s="6" t="str">
        <f>'Ingest Template'!C722</f>
        <v/>
      </c>
      <c r="D722" s="7" t="str">
        <f>'Ingest Template'!E722</f>
        <v/>
      </c>
      <c r="E722" s="5"/>
      <c r="F722" s="5"/>
      <c r="G722" s="5"/>
      <c r="H722" s="7"/>
      <c r="I722" s="5"/>
      <c r="J722" s="7" t="str">
        <f>'Ingest Template'!Q722</f>
        <v/>
      </c>
      <c r="K722" s="5" t="str">
        <f>'Ingest Template'!R722</f>
        <v/>
      </c>
      <c r="L722" s="8" t="s">
        <v>38</v>
      </c>
      <c r="M722" s="9"/>
      <c r="N722" s="5"/>
      <c r="O722" s="5"/>
      <c r="P722" s="5"/>
      <c r="Q722" s="5"/>
      <c r="R722" s="5" t="str">
        <f>'Ingest Template'!D722</f>
        <v/>
      </c>
      <c r="S722" s="5" t="str">
        <f>'Ingest Template'!G722</f>
        <v/>
      </c>
      <c r="T722" s="5" t="str">
        <f>'Ingest Template'!H722</f>
        <v/>
      </c>
      <c r="U722" s="5" t="str">
        <f>LOWER(SUBSTITUTE(SUBSTITUTE(SUBSTITUTE(SUBSTITUTE(SUBSTITUTE('Ingest Template'!I722,"https:",""),"www.",""),"/",""),"?hl=en",""),"instagram.com",""))</f>
        <v/>
      </c>
      <c r="V722" s="10" t="str">
        <f>'Ingest Template'!J722</f>
        <v/>
      </c>
      <c r="W722" s="10" t="str">
        <f>'Ingest Template'!K722</f>
        <v/>
      </c>
      <c r="X722" s="5"/>
      <c r="Y722" s="5" t="str">
        <f>SUBSTITUTE(SUBSTITUTE(SUBSTITUTE('Ingest Template'!L722,"http:",""),"https:",""),"/","")</f>
        <v/>
      </c>
      <c r="Z722" s="5" t="str">
        <f t="array" ref="Z722">IF('Ingest Template'!A722="Standard",(IF(ISBLANK('Ingest Template'!M722),"", 'Ingest Template'!M722&amp;"|DAR")),(IF(ISBLANK('Ingest Template'!M722),"", 'Ingest Template'!M722&amp;"|Operations - Core Title")))</f>
        <v/>
      </c>
      <c r="AA722" s="5"/>
      <c r="AB722" s="5" t="str">
        <f>'Ingest Template'!F722</f>
        <v/>
      </c>
      <c r="AC722" s="5"/>
      <c r="AD722" s="5"/>
      <c r="AE722" s="5"/>
      <c r="AF722" s="8"/>
      <c r="AG722" s="5" t="str">
        <f t="array" ref="AG722">IF('Ingest Template'!A722="Standard",(CONCATENATE(IF(ISBLANK('Ingest Template'!N722),"", 'Ingest Template'!N722&amp;"|DAR"),CHAR(10), IF(ISBLANK('Ingest Template'!O722),"", 'Ingest Template'!O722&amp;"|DAR"),CHAR(10), IF(ISBLANK('Ingest Template'!P722),"", 'Ingest Template'!P722&amp;"|DAR"))),(CONCATENATE(IF(ISBLANK('Ingest Template'!N722),"", 'Ingest Template'!N722&amp;"|Operations - Core Title"),CHAR(10), IF(ISBLANK('Ingest Template'!O722),"", 'Ingest Template'!O722&amp;"|Operations - Core Title"),CHAR(10), IF(ISBLANK('Ingest Template'!P722),"", 'Ingest Template'!P722&amp;"|Operations - Core Title"))))</f>
        <v>#|Operations - Core Title
</v>
      </c>
      <c r="AH722" s="5"/>
      <c r="AI722" s="5"/>
      <c r="AJ722" s="5"/>
      <c r="AK722" s="5"/>
      <c r="AL722" s="5"/>
    </row>
    <row r="723">
      <c r="A723" s="5"/>
      <c r="B723" s="5" t="str">
        <f>'Ingest Template'!B723&amp;IF('Ingest Template'!A723 = "Standard", " - DAR","")</f>
        <v/>
      </c>
      <c r="C723" s="6" t="str">
        <f>'Ingest Template'!C723</f>
        <v/>
      </c>
      <c r="D723" s="7" t="str">
        <f>'Ingest Template'!E723</f>
        <v/>
      </c>
      <c r="E723" s="5"/>
      <c r="F723" s="5"/>
      <c r="G723" s="5"/>
      <c r="H723" s="7"/>
      <c r="I723" s="5"/>
      <c r="J723" s="7" t="str">
        <f>'Ingest Template'!Q723</f>
        <v/>
      </c>
      <c r="K723" s="5" t="str">
        <f>'Ingest Template'!R723</f>
        <v/>
      </c>
      <c r="L723" s="8" t="s">
        <v>38</v>
      </c>
      <c r="M723" s="9"/>
      <c r="N723" s="5"/>
      <c r="O723" s="5"/>
      <c r="P723" s="5"/>
      <c r="Q723" s="5"/>
      <c r="R723" s="5" t="str">
        <f>'Ingest Template'!D723</f>
        <v/>
      </c>
      <c r="S723" s="5" t="str">
        <f>'Ingest Template'!G723</f>
        <v/>
      </c>
      <c r="T723" s="5" t="str">
        <f>'Ingest Template'!H723</f>
        <v/>
      </c>
      <c r="U723" s="5" t="str">
        <f>LOWER(SUBSTITUTE(SUBSTITUTE(SUBSTITUTE(SUBSTITUTE(SUBSTITUTE('Ingest Template'!I723,"https:",""),"www.",""),"/",""),"?hl=en",""),"instagram.com",""))</f>
        <v/>
      </c>
      <c r="V723" s="10" t="str">
        <f>'Ingest Template'!J723</f>
        <v/>
      </c>
      <c r="W723" s="10" t="str">
        <f>'Ingest Template'!K723</f>
        <v/>
      </c>
      <c r="X723" s="5"/>
      <c r="Y723" s="5" t="str">
        <f>SUBSTITUTE(SUBSTITUTE(SUBSTITUTE('Ingest Template'!L723,"http:",""),"https:",""),"/","")</f>
        <v/>
      </c>
      <c r="Z723" s="5" t="str">
        <f t="array" ref="Z723">IF('Ingest Template'!A723="Standard",(IF(ISBLANK('Ingest Template'!M723),"", 'Ingest Template'!M723&amp;"|DAR")),(IF(ISBLANK('Ingest Template'!M723),"", 'Ingest Template'!M723&amp;"|Operations - Core Title")))</f>
        <v/>
      </c>
      <c r="AA723" s="5"/>
      <c r="AB723" s="5" t="str">
        <f>'Ingest Template'!F723</f>
        <v/>
      </c>
      <c r="AC723" s="5"/>
      <c r="AD723" s="5"/>
      <c r="AE723" s="5"/>
      <c r="AF723" s="8"/>
      <c r="AG723" s="5" t="str">
        <f t="array" ref="AG723">IF('Ingest Template'!A723="Standard",(CONCATENATE(IF(ISBLANK('Ingest Template'!N723),"", 'Ingest Template'!N723&amp;"|DAR"),CHAR(10), IF(ISBLANK('Ingest Template'!O723),"", 'Ingest Template'!O723&amp;"|DAR"),CHAR(10), IF(ISBLANK('Ingest Template'!P723),"", 'Ingest Template'!P723&amp;"|DAR"))),(CONCATENATE(IF(ISBLANK('Ingest Template'!N723),"", 'Ingest Template'!N723&amp;"|Operations - Core Title"),CHAR(10), IF(ISBLANK('Ingest Template'!O723),"", 'Ingest Template'!O723&amp;"|Operations - Core Title"),CHAR(10), IF(ISBLANK('Ingest Template'!P723),"", 'Ingest Template'!P723&amp;"|Operations - Core Title"))))</f>
        <v>#|Operations - Core Title
</v>
      </c>
      <c r="AH723" s="5"/>
      <c r="AI723" s="5"/>
      <c r="AJ723" s="5"/>
      <c r="AK723" s="5"/>
      <c r="AL723" s="5"/>
    </row>
    <row r="724">
      <c r="A724" s="5"/>
      <c r="B724" s="5" t="str">
        <f>'Ingest Template'!B724&amp;IF('Ingest Template'!A724 = "Standard", " - DAR","")</f>
        <v/>
      </c>
      <c r="C724" s="6" t="str">
        <f>'Ingest Template'!C724</f>
        <v/>
      </c>
      <c r="D724" s="7" t="str">
        <f>'Ingest Template'!E724</f>
        <v/>
      </c>
      <c r="E724" s="5"/>
      <c r="F724" s="5"/>
      <c r="G724" s="5"/>
      <c r="H724" s="7"/>
      <c r="I724" s="5"/>
      <c r="J724" s="7" t="str">
        <f>'Ingest Template'!Q724</f>
        <v/>
      </c>
      <c r="K724" s="5" t="str">
        <f>'Ingest Template'!R724</f>
        <v/>
      </c>
      <c r="L724" s="8" t="s">
        <v>38</v>
      </c>
      <c r="M724" s="9"/>
      <c r="N724" s="5"/>
      <c r="O724" s="5"/>
      <c r="P724" s="5"/>
      <c r="Q724" s="5"/>
      <c r="R724" s="5" t="str">
        <f>'Ingest Template'!D724</f>
        <v/>
      </c>
      <c r="S724" s="5" t="str">
        <f>'Ingest Template'!G724</f>
        <v/>
      </c>
      <c r="T724" s="5" t="str">
        <f>'Ingest Template'!H724</f>
        <v/>
      </c>
      <c r="U724" s="5" t="str">
        <f>LOWER(SUBSTITUTE(SUBSTITUTE(SUBSTITUTE(SUBSTITUTE(SUBSTITUTE('Ingest Template'!I724,"https:",""),"www.",""),"/",""),"?hl=en",""),"instagram.com",""))</f>
        <v/>
      </c>
      <c r="V724" s="10" t="str">
        <f>'Ingest Template'!J724</f>
        <v/>
      </c>
      <c r="W724" s="10" t="str">
        <f>'Ingest Template'!K724</f>
        <v/>
      </c>
      <c r="X724" s="5"/>
      <c r="Y724" s="5" t="str">
        <f>SUBSTITUTE(SUBSTITUTE(SUBSTITUTE('Ingest Template'!L724,"http:",""),"https:",""),"/","")</f>
        <v/>
      </c>
      <c r="Z724" s="5" t="str">
        <f t="array" ref="Z724">IF('Ingest Template'!A724="Standard",(IF(ISBLANK('Ingest Template'!M724),"", 'Ingest Template'!M724&amp;"|DAR")),(IF(ISBLANK('Ingest Template'!M724),"", 'Ingest Template'!M724&amp;"|Operations - Core Title")))</f>
        <v/>
      </c>
      <c r="AA724" s="5"/>
      <c r="AB724" s="5" t="str">
        <f>'Ingest Template'!F724</f>
        <v/>
      </c>
      <c r="AC724" s="5"/>
      <c r="AD724" s="5"/>
      <c r="AE724" s="5"/>
      <c r="AF724" s="8"/>
      <c r="AG724" s="5" t="str">
        <f t="array" ref="AG724">IF('Ingest Template'!A724="Standard",(CONCATENATE(IF(ISBLANK('Ingest Template'!N724),"", 'Ingest Template'!N724&amp;"|DAR"),CHAR(10), IF(ISBLANK('Ingest Template'!O724),"", 'Ingest Template'!O724&amp;"|DAR"),CHAR(10), IF(ISBLANK('Ingest Template'!P724),"", 'Ingest Template'!P724&amp;"|DAR"))),(CONCATENATE(IF(ISBLANK('Ingest Template'!N724),"", 'Ingest Template'!N724&amp;"|Operations - Core Title"),CHAR(10), IF(ISBLANK('Ingest Template'!O724),"", 'Ingest Template'!O724&amp;"|Operations - Core Title"),CHAR(10), IF(ISBLANK('Ingest Template'!P724),"", 'Ingest Template'!P724&amp;"|Operations - Core Title"))))</f>
        <v>#|Operations - Core Title
</v>
      </c>
      <c r="AH724" s="5"/>
      <c r="AI724" s="5"/>
      <c r="AJ724" s="5"/>
      <c r="AK724" s="5"/>
      <c r="AL724" s="5"/>
    </row>
    <row r="725">
      <c r="A725" s="5"/>
      <c r="B725" s="5" t="str">
        <f>'Ingest Template'!B725&amp;IF('Ingest Template'!A725 = "Standard", " - DAR","")</f>
        <v/>
      </c>
      <c r="C725" s="6" t="str">
        <f>'Ingest Template'!C725</f>
        <v/>
      </c>
      <c r="D725" s="7" t="str">
        <f>'Ingest Template'!E725</f>
        <v/>
      </c>
      <c r="E725" s="5"/>
      <c r="F725" s="5"/>
      <c r="G725" s="5"/>
      <c r="H725" s="7"/>
      <c r="I725" s="5"/>
      <c r="J725" s="7" t="str">
        <f>'Ingest Template'!Q725</f>
        <v/>
      </c>
      <c r="K725" s="5" t="str">
        <f>'Ingest Template'!R725</f>
        <v/>
      </c>
      <c r="L725" s="8" t="s">
        <v>38</v>
      </c>
      <c r="M725" s="9"/>
      <c r="N725" s="5"/>
      <c r="O725" s="5"/>
      <c r="P725" s="5"/>
      <c r="Q725" s="5"/>
      <c r="R725" s="5" t="str">
        <f>'Ingest Template'!D725</f>
        <v/>
      </c>
      <c r="S725" s="5" t="str">
        <f>'Ingest Template'!G725</f>
        <v/>
      </c>
      <c r="T725" s="5" t="str">
        <f>'Ingest Template'!H725</f>
        <v/>
      </c>
      <c r="U725" s="5" t="str">
        <f>LOWER(SUBSTITUTE(SUBSTITUTE(SUBSTITUTE(SUBSTITUTE(SUBSTITUTE('Ingest Template'!I725,"https:",""),"www.",""),"/",""),"?hl=en",""),"instagram.com",""))</f>
        <v/>
      </c>
      <c r="V725" s="10" t="str">
        <f>'Ingest Template'!J725</f>
        <v/>
      </c>
      <c r="W725" s="10" t="str">
        <f>'Ingest Template'!K725</f>
        <v/>
      </c>
      <c r="X725" s="5"/>
      <c r="Y725" s="5" t="str">
        <f>SUBSTITUTE(SUBSTITUTE(SUBSTITUTE('Ingest Template'!L725,"http:",""),"https:",""),"/","")</f>
        <v/>
      </c>
      <c r="Z725" s="5" t="str">
        <f t="array" ref="Z725">IF('Ingest Template'!A725="Standard",(IF(ISBLANK('Ingest Template'!M725),"", 'Ingest Template'!M725&amp;"|DAR")),(IF(ISBLANK('Ingest Template'!M725),"", 'Ingest Template'!M725&amp;"|Operations - Core Title")))</f>
        <v/>
      </c>
      <c r="AA725" s="5"/>
      <c r="AB725" s="5" t="str">
        <f>'Ingest Template'!F725</f>
        <v/>
      </c>
      <c r="AC725" s="5"/>
      <c r="AD725" s="5"/>
      <c r="AE725" s="5"/>
      <c r="AF725" s="8"/>
      <c r="AG725" s="5" t="str">
        <f t="array" ref="AG725">IF('Ingest Template'!A725="Standard",(CONCATENATE(IF(ISBLANK('Ingest Template'!N725),"", 'Ingest Template'!N725&amp;"|DAR"),CHAR(10), IF(ISBLANK('Ingest Template'!O725),"", 'Ingest Template'!O725&amp;"|DAR"),CHAR(10), IF(ISBLANK('Ingest Template'!P725),"", 'Ingest Template'!P725&amp;"|DAR"))),(CONCATENATE(IF(ISBLANK('Ingest Template'!N725),"", 'Ingest Template'!N725&amp;"|Operations - Core Title"),CHAR(10), IF(ISBLANK('Ingest Template'!O725),"", 'Ingest Template'!O725&amp;"|Operations - Core Title"),CHAR(10), IF(ISBLANK('Ingest Template'!P725),"", 'Ingest Template'!P725&amp;"|Operations - Core Title"))))</f>
        <v>#|Operations - Core Title
</v>
      </c>
      <c r="AH725" s="5"/>
      <c r="AI725" s="5"/>
      <c r="AJ725" s="5"/>
      <c r="AK725" s="5"/>
      <c r="AL725" s="5"/>
    </row>
    <row r="726">
      <c r="A726" s="5"/>
      <c r="B726" s="5" t="str">
        <f>'Ingest Template'!B726&amp;IF('Ingest Template'!A726 = "Standard", " - DAR","")</f>
        <v/>
      </c>
      <c r="C726" s="6" t="str">
        <f>'Ingest Template'!C726</f>
        <v/>
      </c>
      <c r="D726" s="7" t="str">
        <f>'Ingest Template'!E726</f>
        <v/>
      </c>
      <c r="E726" s="5"/>
      <c r="F726" s="5"/>
      <c r="G726" s="5"/>
      <c r="H726" s="7"/>
      <c r="I726" s="5"/>
      <c r="J726" s="7" t="str">
        <f>'Ingest Template'!Q726</f>
        <v/>
      </c>
      <c r="K726" s="5" t="str">
        <f>'Ingest Template'!R726</f>
        <v/>
      </c>
      <c r="L726" s="8" t="s">
        <v>38</v>
      </c>
      <c r="M726" s="9"/>
      <c r="N726" s="5"/>
      <c r="O726" s="5"/>
      <c r="P726" s="5"/>
      <c r="Q726" s="5"/>
      <c r="R726" s="5" t="str">
        <f>'Ingest Template'!D726</f>
        <v/>
      </c>
      <c r="S726" s="5" t="str">
        <f>'Ingest Template'!G726</f>
        <v/>
      </c>
      <c r="T726" s="5" t="str">
        <f>'Ingest Template'!H726</f>
        <v/>
      </c>
      <c r="U726" s="5" t="str">
        <f>LOWER(SUBSTITUTE(SUBSTITUTE(SUBSTITUTE(SUBSTITUTE(SUBSTITUTE('Ingest Template'!I726,"https:",""),"www.",""),"/",""),"?hl=en",""),"instagram.com",""))</f>
        <v/>
      </c>
      <c r="V726" s="10" t="str">
        <f>'Ingest Template'!J726</f>
        <v/>
      </c>
      <c r="W726" s="10" t="str">
        <f>'Ingest Template'!K726</f>
        <v/>
      </c>
      <c r="X726" s="5"/>
      <c r="Y726" s="5" t="str">
        <f>SUBSTITUTE(SUBSTITUTE(SUBSTITUTE('Ingest Template'!L726,"http:",""),"https:",""),"/","")</f>
        <v/>
      </c>
      <c r="Z726" s="5" t="str">
        <f t="array" ref="Z726">IF('Ingest Template'!A726="Standard",(IF(ISBLANK('Ingest Template'!M726),"", 'Ingest Template'!M726&amp;"|DAR")),(IF(ISBLANK('Ingest Template'!M726),"", 'Ingest Template'!M726&amp;"|Operations - Core Title")))</f>
        <v/>
      </c>
      <c r="AA726" s="5"/>
      <c r="AB726" s="5" t="str">
        <f>'Ingest Template'!F726</f>
        <v/>
      </c>
      <c r="AC726" s="5"/>
      <c r="AD726" s="5"/>
      <c r="AE726" s="5"/>
      <c r="AF726" s="8"/>
      <c r="AG726" s="5" t="str">
        <f t="array" ref="AG726">IF('Ingest Template'!A726="Standard",(CONCATENATE(IF(ISBLANK('Ingest Template'!N726),"", 'Ingest Template'!N726&amp;"|DAR"),CHAR(10), IF(ISBLANK('Ingest Template'!O726),"", 'Ingest Template'!O726&amp;"|DAR"),CHAR(10), IF(ISBLANK('Ingest Template'!P726),"", 'Ingest Template'!P726&amp;"|DAR"))),(CONCATENATE(IF(ISBLANK('Ingest Template'!N726),"", 'Ingest Template'!N726&amp;"|Operations - Core Title"),CHAR(10), IF(ISBLANK('Ingest Template'!O726),"", 'Ingest Template'!O726&amp;"|Operations - Core Title"),CHAR(10), IF(ISBLANK('Ingest Template'!P726),"", 'Ingest Template'!P726&amp;"|Operations - Core Title"))))</f>
        <v>#|Operations - Core Title
</v>
      </c>
      <c r="AH726" s="5"/>
      <c r="AI726" s="5"/>
      <c r="AJ726" s="5"/>
      <c r="AK726" s="5"/>
      <c r="AL726" s="5"/>
    </row>
    <row r="727">
      <c r="A727" s="5"/>
      <c r="B727" s="5" t="str">
        <f>'Ingest Template'!B727&amp;IF('Ingest Template'!A727 = "Standard", " - DAR","")</f>
        <v/>
      </c>
      <c r="C727" s="6" t="str">
        <f>'Ingest Template'!C727</f>
        <v/>
      </c>
      <c r="D727" s="7" t="str">
        <f>'Ingest Template'!E727</f>
        <v/>
      </c>
      <c r="E727" s="5"/>
      <c r="F727" s="5"/>
      <c r="G727" s="5"/>
      <c r="H727" s="7"/>
      <c r="I727" s="5"/>
      <c r="J727" s="7" t="str">
        <f>'Ingest Template'!Q727</f>
        <v/>
      </c>
      <c r="K727" s="5" t="str">
        <f>'Ingest Template'!R727</f>
        <v/>
      </c>
      <c r="L727" s="8" t="s">
        <v>38</v>
      </c>
      <c r="M727" s="9"/>
      <c r="N727" s="5"/>
      <c r="O727" s="5"/>
      <c r="P727" s="5"/>
      <c r="Q727" s="5"/>
      <c r="R727" s="5" t="str">
        <f>'Ingest Template'!D727</f>
        <v/>
      </c>
      <c r="S727" s="5" t="str">
        <f>'Ingest Template'!G727</f>
        <v/>
      </c>
      <c r="T727" s="5" t="str">
        <f>'Ingest Template'!H727</f>
        <v/>
      </c>
      <c r="U727" s="5" t="str">
        <f>LOWER(SUBSTITUTE(SUBSTITUTE(SUBSTITUTE(SUBSTITUTE(SUBSTITUTE('Ingest Template'!I727,"https:",""),"www.",""),"/",""),"?hl=en",""),"instagram.com",""))</f>
        <v/>
      </c>
      <c r="V727" s="10" t="str">
        <f>'Ingest Template'!J727</f>
        <v/>
      </c>
      <c r="W727" s="10" t="str">
        <f>'Ingest Template'!K727</f>
        <v/>
      </c>
      <c r="X727" s="5"/>
      <c r="Y727" s="5" t="str">
        <f>SUBSTITUTE(SUBSTITUTE(SUBSTITUTE('Ingest Template'!L727,"http:",""),"https:",""),"/","")</f>
        <v/>
      </c>
      <c r="Z727" s="5" t="str">
        <f t="array" ref="Z727">IF('Ingest Template'!A727="Standard",(IF(ISBLANK('Ingest Template'!M727),"", 'Ingest Template'!M727&amp;"|DAR")),(IF(ISBLANK('Ingest Template'!M727),"", 'Ingest Template'!M727&amp;"|Operations - Core Title")))</f>
        <v/>
      </c>
      <c r="AA727" s="5"/>
      <c r="AB727" s="5" t="str">
        <f>'Ingest Template'!F727</f>
        <v/>
      </c>
      <c r="AC727" s="5"/>
      <c r="AD727" s="5"/>
      <c r="AE727" s="5"/>
      <c r="AF727" s="8"/>
      <c r="AG727" s="5" t="str">
        <f t="array" ref="AG727">IF('Ingest Template'!A727="Standard",(CONCATENATE(IF(ISBLANK('Ingest Template'!N727),"", 'Ingest Template'!N727&amp;"|DAR"),CHAR(10), IF(ISBLANK('Ingest Template'!O727),"", 'Ingest Template'!O727&amp;"|DAR"),CHAR(10), IF(ISBLANK('Ingest Template'!P727),"", 'Ingest Template'!P727&amp;"|DAR"))),(CONCATENATE(IF(ISBLANK('Ingest Template'!N727),"", 'Ingest Template'!N727&amp;"|Operations - Core Title"),CHAR(10), IF(ISBLANK('Ingest Template'!O727),"", 'Ingest Template'!O727&amp;"|Operations - Core Title"),CHAR(10), IF(ISBLANK('Ingest Template'!P727),"", 'Ingest Template'!P727&amp;"|Operations - Core Title"))))</f>
        <v>#|Operations - Core Title
</v>
      </c>
      <c r="AH727" s="5"/>
      <c r="AI727" s="5"/>
      <c r="AJ727" s="5"/>
      <c r="AK727" s="5"/>
      <c r="AL727" s="5"/>
    </row>
    <row r="728">
      <c r="A728" s="5"/>
      <c r="B728" s="5" t="str">
        <f>'Ingest Template'!B728&amp;IF('Ingest Template'!A728 = "Standard", " - DAR","")</f>
        <v/>
      </c>
      <c r="C728" s="6" t="str">
        <f>'Ingest Template'!C728</f>
        <v/>
      </c>
      <c r="D728" s="7" t="str">
        <f>'Ingest Template'!E728</f>
        <v/>
      </c>
      <c r="E728" s="5"/>
      <c r="F728" s="5"/>
      <c r="G728" s="5"/>
      <c r="H728" s="7"/>
      <c r="I728" s="5"/>
      <c r="J728" s="7" t="str">
        <f>'Ingest Template'!Q728</f>
        <v/>
      </c>
      <c r="K728" s="5" t="str">
        <f>'Ingest Template'!R728</f>
        <v/>
      </c>
      <c r="L728" s="8" t="s">
        <v>38</v>
      </c>
      <c r="M728" s="9"/>
      <c r="N728" s="5"/>
      <c r="O728" s="5"/>
      <c r="P728" s="5"/>
      <c r="Q728" s="5"/>
      <c r="R728" s="5" t="str">
        <f>'Ingest Template'!D728</f>
        <v/>
      </c>
      <c r="S728" s="5" t="str">
        <f>'Ingest Template'!G728</f>
        <v/>
      </c>
      <c r="T728" s="5" t="str">
        <f>'Ingest Template'!H728</f>
        <v/>
      </c>
      <c r="U728" s="5" t="str">
        <f>LOWER(SUBSTITUTE(SUBSTITUTE(SUBSTITUTE(SUBSTITUTE(SUBSTITUTE('Ingest Template'!I728,"https:",""),"www.",""),"/",""),"?hl=en",""),"instagram.com",""))</f>
        <v/>
      </c>
      <c r="V728" s="10" t="str">
        <f>'Ingest Template'!J728</f>
        <v/>
      </c>
      <c r="W728" s="10" t="str">
        <f>'Ingest Template'!K728</f>
        <v/>
      </c>
      <c r="X728" s="5"/>
      <c r="Y728" s="5" t="str">
        <f>SUBSTITUTE(SUBSTITUTE(SUBSTITUTE('Ingest Template'!L728,"http:",""),"https:",""),"/","")</f>
        <v/>
      </c>
      <c r="Z728" s="5" t="str">
        <f t="array" ref="Z728">IF('Ingest Template'!A728="Standard",(IF(ISBLANK('Ingest Template'!M728),"", 'Ingest Template'!M728&amp;"|DAR")),(IF(ISBLANK('Ingest Template'!M728),"", 'Ingest Template'!M728&amp;"|Operations - Core Title")))</f>
        <v/>
      </c>
      <c r="AA728" s="5"/>
      <c r="AB728" s="5" t="str">
        <f>'Ingest Template'!F728</f>
        <v/>
      </c>
      <c r="AC728" s="5"/>
      <c r="AD728" s="5"/>
      <c r="AE728" s="5"/>
      <c r="AF728" s="8"/>
      <c r="AG728" s="5" t="str">
        <f t="array" ref="AG728">IF('Ingest Template'!A728="Standard",(CONCATENATE(IF(ISBLANK('Ingest Template'!N728),"", 'Ingest Template'!N728&amp;"|DAR"),CHAR(10), IF(ISBLANK('Ingest Template'!O728),"", 'Ingest Template'!O728&amp;"|DAR"),CHAR(10), IF(ISBLANK('Ingest Template'!P728),"", 'Ingest Template'!P728&amp;"|DAR"))),(CONCATENATE(IF(ISBLANK('Ingest Template'!N728),"", 'Ingest Template'!N728&amp;"|Operations - Core Title"),CHAR(10), IF(ISBLANK('Ingest Template'!O728),"", 'Ingest Template'!O728&amp;"|Operations - Core Title"),CHAR(10), IF(ISBLANK('Ingest Template'!P728),"", 'Ingest Template'!P728&amp;"|Operations - Core Title"))))</f>
        <v>#|Operations - Core Title
</v>
      </c>
      <c r="AH728" s="5"/>
      <c r="AI728" s="5"/>
      <c r="AJ728" s="5"/>
      <c r="AK728" s="5"/>
      <c r="AL728" s="5"/>
    </row>
    <row r="729">
      <c r="A729" s="5"/>
      <c r="B729" s="5" t="str">
        <f>'Ingest Template'!B729&amp;IF('Ingest Template'!A729 = "Standard", " - DAR","")</f>
        <v/>
      </c>
      <c r="C729" s="6" t="str">
        <f>'Ingest Template'!C729</f>
        <v/>
      </c>
      <c r="D729" s="7" t="str">
        <f>'Ingest Template'!E729</f>
        <v/>
      </c>
      <c r="E729" s="5"/>
      <c r="F729" s="5"/>
      <c r="G729" s="5"/>
      <c r="H729" s="7"/>
      <c r="I729" s="5"/>
      <c r="J729" s="7" t="str">
        <f>'Ingest Template'!Q729</f>
        <v/>
      </c>
      <c r="K729" s="5" t="str">
        <f>'Ingest Template'!R729</f>
        <v/>
      </c>
      <c r="L729" s="8" t="s">
        <v>38</v>
      </c>
      <c r="M729" s="9"/>
      <c r="N729" s="5"/>
      <c r="O729" s="5"/>
      <c r="P729" s="5"/>
      <c r="Q729" s="5"/>
      <c r="R729" s="5" t="str">
        <f>'Ingest Template'!D729</f>
        <v/>
      </c>
      <c r="S729" s="5" t="str">
        <f>'Ingest Template'!G729</f>
        <v/>
      </c>
      <c r="T729" s="5" t="str">
        <f>'Ingest Template'!H729</f>
        <v/>
      </c>
      <c r="U729" s="5" t="str">
        <f>LOWER(SUBSTITUTE(SUBSTITUTE(SUBSTITUTE(SUBSTITUTE(SUBSTITUTE('Ingest Template'!I729,"https:",""),"www.",""),"/",""),"?hl=en",""),"instagram.com",""))</f>
        <v/>
      </c>
      <c r="V729" s="10" t="str">
        <f>'Ingest Template'!J729</f>
        <v/>
      </c>
      <c r="W729" s="10" t="str">
        <f>'Ingest Template'!K729</f>
        <v/>
      </c>
      <c r="X729" s="5"/>
      <c r="Y729" s="5" t="str">
        <f>SUBSTITUTE(SUBSTITUTE(SUBSTITUTE('Ingest Template'!L729,"http:",""),"https:",""),"/","")</f>
        <v/>
      </c>
      <c r="Z729" s="5" t="str">
        <f t="array" ref="Z729">IF('Ingest Template'!A729="Standard",(IF(ISBLANK('Ingest Template'!M729),"", 'Ingest Template'!M729&amp;"|DAR")),(IF(ISBLANK('Ingest Template'!M729),"", 'Ingest Template'!M729&amp;"|Operations - Core Title")))</f>
        <v/>
      </c>
      <c r="AA729" s="5"/>
      <c r="AB729" s="5" t="str">
        <f>'Ingest Template'!F729</f>
        <v/>
      </c>
      <c r="AC729" s="5"/>
      <c r="AD729" s="5"/>
      <c r="AE729" s="5"/>
      <c r="AF729" s="8"/>
      <c r="AG729" s="5" t="str">
        <f t="array" ref="AG729">IF('Ingest Template'!A729="Standard",(CONCATENATE(IF(ISBLANK('Ingest Template'!N729),"", 'Ingest Template'!N729&amp;"|DAR"),CHAR(10), IF(ISBLANK('Ingest Template'!O729),"", 'Ingest Template'!O729&amp;"|DAR"),CHAR(10), IF(ISBLANK('Ingest Template'!P729),"", 'Ingest Template'!P729&amp;"|DAR"))),(CONCATENATE(IF(ISBLANK('Ingest Template'!N729),"", 'Ingest Template'!N729&amp;"|Operations - Core Title"),CHAR(10), IF(ISBLANK('Ingest Template'!O729),"", 'Ingest Template'!O729&amp;"|Operations - Core Title"),CHAR(10), IF(ISBLANK('Ingest Template'!P729),"", 'Ingest Template'!P729&amp;"|Operations - Core Title"))))</f>
        <v>#|Operations - Core Title
</v>
      </c>
      <c r="AH729" s="5"/>
      <c r="AI729" s="5"/>
      <c r="AJ729" s="5"/>
      <c r="AK729" s="5"/>
      <c r="AL729" s="5"/>
    </row>
    <row r="730">
      <c r="A730" s="5"/>
      <c r="B730" s="5" t="str">
        <f>'Ingest Template'!B730&amp;IF('Ingest Template'!A730 = "Standard", " - DAR","")</f>
        <v/>
      </c>
      <c r="C730" s="6" t="str">
        <f>'Ingest Template'!C730</f>
        <v/>
      </c>
      <c r="D730" s="7" t="str">
        <f>'Ingest Template'!E730</f>
        <v/>
      </c>
      <c r="E730" s="5"/>
      <c r="F730" s="5"/>
      <c r="G730" s="5"/>
      <c r="H730" s="7"/>
      <c r="I730" s="5"/>
      <c r="J730" s="7" t="str">
        <f>'Ingest Template'!Q730</f>
        <v/>
      </c>
      <c r="K730" s="5" t="str">
        <f>'Ingest Template'!R730</f>
        <v/>
      </c>
      <c r="L730" s="8" t="s">
        <v>38</v>
      </c>
      <c r="M730" s="9"/>
      <c r="N730" s="5"/>
      <c r="O730" s="5"/>
      <c r="P730" s="5"/>
      <c r="Q730" s="5"/>
      <c r="R730" s="5" t="str">
        <f>'Ingest Template'!D730</f>
        <v/>
      </c>
      <c r="S730" s="5" t="str">
        <f>'Ingest Template'!G730</f>
        <v/>
      </c>
      <c r="T730" s="5" t="str">
        <f>'Ingest Template'!H730</f>
        <v/>
      </c>
      <c r="U730" s="5" t="str">
        <f>LOWER(SUBSTITUTE(SUBSTITUTE(SUBSTITUTE(SUBSTITUTE(SUBSTITUTE('Ingest Template'!I730,"https:",""),"www.",""),"/",""),"?hl=en",""),"instagram.com",""))</f>
        <v/>
      </c>
      <c r="V730" s="10" t="str">
        <f>'Ingest Template'!J730</f>
        <v/>
      </c>
      <c r="W730" s="10" t="str">
        <f>'Ingest Template'!K730</f>
        <v/>
      </c>
      <c r="X730" s="5"/>
      <c r="Y730" s="5" t="str">
        <f>SUBSTITUTE(SUBSTITUTE(SUBSTITUTE('Ingest Template'!L730,"http:",""),"https:",""),"/","")</f>
        <v/>
      </c>
      <c r="Z730" s="5" t="str">
        <f t="array" ref="Z730">IF('Ingest Template'!A730="Standard",(IF(ISBLANK('Ingest Template'!M730),"", 'Ingest Template'!M730&amp;"|DAR")),(IF(ISBLANK('Ingest Template'!M730),"", 'Ingest Template'!M730&amp;"|Operations - Core Title")))</f>
        <v/>
      </c>
      <c r="AA730" s="5"/>
      <c r="AB730" s="5" t="str">
        <f>'Ingest Template'!F730</f>
        <v/>
      </c>
      <c r="AC730" s="5"/>
      <c r="AD730" s="5"/>
      <c r="AE730" s="5"/>
      <c r="AF730" s="8"/>
      <c r="AG730" s="5" t="str">
        <f t="array" ref="AG730">IF('Ingest Template'!A730="Standard",(CONCATENATE(IF(ISBLANK('Ingest Template'!N730),"", 'Ingest Template'!N730&amp;"|DAR"),CHAR(10), IF(ISBLANK('Ingest Template'!O730),"", 'Ingest Template'!O730&amp;"|DAR"),CHAR(10), IF(ISBLANK('Ingest Template'!P730),"", 'Ingest Template'!P730&amp;"|DAR"))),(CONCATENATE(IF(ISBLANK('Ingest Template'!N730),"", 'Ingest Template'!N730&amp;"|Operations - Core Title"),CHAR(10), IF(ISBLANK('Ingest Template'!O730),"", 'Ingest Template'!O730&amp;"|Operations - Core Title"),CHAR(10), IF(ISBLANK('Ingest Template'!P730),"", 'Ingest Template'!P730&amp;"|Operations - Core Title"))))</f>
        <v>#|Operations - Core Title
</v>
      </c>
      <c r="AH730" s="5"/>
      <c r="AI730" s="5"/>
      <c r="AJ730" s="5"/>
      <c r="AK730" s="5"/>
      <c r="AL730" s="5"/>
    </row>
    <row r="731">
      <c r="A731" s="5"/>
      <c r="B731" s="5" t="str">
        <f>'Ingest Template'!B731&amp;IF('Ingest Template'!A731 = "Standard", " - DAR","")</f>
        <v/>
      </c>
      <c r="C731" s="6" t="str">
        <f>'Ingest Template'!C731</f>
        <v/>
      </c>
      <c r="D731" s="7" t="str">
        <f>'Ingest Template'!E731</f>
        <v/>
      </c>
      <c r="E731" s="5"/>
      <c r="F731" s="5"/>
      <c r="G731" s="5"/>
      <c r="H731" s="7"/>
      <c r="I731" s="5"/>
      <c r="J731" s="7" t="str">
        <f>'Ingest Template'!Q731</f>
        <v/>
      </c>
      <c r="K731" s="5" t="str">
        <f>'Ingest Template'!R731</f>
        <v/>
      </c>
      <c r="L731" s="8" t="s">
        <v>38</v>
      </c>
      <c r="M731" s="9"/>
      <c r="N731" s="5"/>
      <c r="O731" s="5"/>
      <c r="P731" s="5"/>
      <c r="Q731" s="5"/>
      <c r="R731" s="5" t="str">
        <f>'Ingest Template'!D731</f>
        <v/>
      </c>
      <c r="S731" s="5" t="str">
        <f>'Ingest Template'!G731</f>
        <v/>
      </c>
      <c r="T731" s="5" t="str">
        <f>'Ingest Template'!H731</f>
        <v/>
      </c>
      <c r="U731" s="5" t="str">
        <f>LOWER(SUBSTITUTE(SUBSTITUTE(SUBSTITUTE(SUBSTITUTE(SUBSTITUTE('Ingest Template'!I731,"https:",""),"www.",""),"/",""),"?hl=en",""),"instagram.com",""))</f>
        <v/>
      </c>
      <c r="V731" s="10" t="str">
        <f>'Ingest Template'!J731</f>
        <v/>
      </c>
      <c r="W731" s="10" t="str">
        <f>'Ingest Template'!K731</f>
        <v/>
      </c>
      <c r="X731" s="5"/>
      <c r="Y731" s="5" t="str">
        <f>SUBSTITUTE(SUBSTITUTE(SUBSTITUTE('Ingest Template'!L731,"http:",""),"https:",""),"/","")</f>
        <v/>
      </c>
      <c r="Z731" s="5" t="str">
        <f t="array" ref="Z731">IF('Ingest Template'!A731="Standard",(IF(ISBLANK('Ingest Template'!M731),"", 'Ingest Template'!M731&amp;"|DAR")),(IF(ISBLANK('Ingest Template'!M731),"", 'Ingest Template'!M731&amp;"|Operations - Core Title")))</f>
        <v/>
      </c>
      <c r="AA731" s="5"/>
      <c r="AB731" s="5" t="str">
        <f>'Ingest Template'!F731</f>
        <v/>
      </c>
      <c r="AC731" s="5"/>
      <c r="AD731" s="5"/>
      <c r="AE731" s="5"/>
      <c r="AF731" s="8"/>
      <c r="AG731" s="5" t="str">
        <f t="array" ref="AG731">IF('Ingest Template'!A731="Standard",(CONCATENATE(IF(ISBLANK('Ingest Template'!N731),"", 'Ingest Template'!N731&amp;"|DAR"),CHAR(10), IF(ISBLANK('Ingest Template'!O731),"", 'Ingest Template'!O731&amp;"|DAR"),CHAR(10), IF(ISBLANK('Ingest Template'!P731),"", 'Ingest Template'!P731&amp;"|DAR"))),(CONCATENATE(IF(ISBLANK('Ingest Template'!N731),"", 'Ingest Template'!N731&amp;"|Operations - Core Title"),CHAR(10), IF(ISBLANK('Ingest Template'!O731),"", 'Ingest Template'!O731&amp;"|Operations - Core Title"),CHAR(10), IF(ISBLANK('Ingest Template'!P731),"", 'Ingest Template'!P731&amp;"|Operations - Core Title"))))</f>
        <v>#|Operations - Core Title
</v>
      </c>
      <c r="AH731" s="5"/>
      <c r="AI731" s="5"/>
      <c r="AJ731" s="5"/>
      <c r="AK731" s="5"/>
      <c r="AL731" s="5"/>
    </row>
    <row r="732">
      <c r="A732" s="5"/>
      <c r="B732" s="5" t="str">
        <f>'Ingest Template'!B732&amp;IF('Ingest Template'!A732 = "Standard", " - DAR","")</f>
        <v/>
      </c>
      <c r="C732" s="6" t="str">
        <f>'Ingest Template'!C732</f>
        <v/>
      </c>
      <c r="D732" s="7" t="str">
        <f>'Ingest Template'!E732</f>
        <v/>
      </c>
      <c r="E732" s="5"/>
      <c r="F732" s="5"/>
      <c r="G732" s="5"/>
      <c r="H732" s="7"/>
      <c r="I732" s="5"/>
      <c r="J732" s="7" t="str">
        <f>'Ingest Template'!Q732</f>
        <v/>
      </c>
      <c r="K732" s="5" t="str">
        <f>'Ingest Template'!R732</f>
        <v/>
      </c>
      <c r="L732" s="8" t="s">
        <v>38</v>
      </c>
      <c r="M732" s="9"/>
      <c r="N732" s="5"/>
      <c r="O732" s="5"/>
      <c r="P732" s="5"/>
      <c r="Q732" s="5"/>
      <c r="R732" s="5" t="str">
        <f>'Ingest Template'!D732</f>
        <v/>
      </c>
      <c r="S732" s="5" t="str">
        <f>'Ingest Template'!G732</f>
        <v/>
      </c>
      <c r="T732" s="5" t="str">
        <f>'Ingest Template'!H732</f>
        <v/>
      </c>
      <c r="U732" s="5" t="str">
        <f>LOWER(SUBSTITUTE(SUBSTITUTE(SUBSTITUTE(SUBSTITUTE(SUBSTITUTE('Ingest Template'!I732,"https:",""),"www.",""),"/",""),"?hl=en",""),"instagram.com",""))</f>
        <v/>
      </c>
      <c r="V732" s="10" t="str">
        <f>'Ingest Template'!J732</f>
        <v/>
      </c>
      <c r="W732" s="10" t="str">
        <f>'Ingest Template'!K732</f>
        <v/>
      </c>
      <c r="X732" s="5"/>
      <c r="Y732" s="5" t="str">
        <f>SUBSTITUTE(SUBSTITUTE(SUBSTITUTE('Ingest Template'!L732,"http:",""),"https:",""),"/","")</f>
        <v/>
      </c>
      <c r="Z732" s="5" t="str">
        <f t="array" ref="Z732">IF('Ingest Template'!A732="Standard",(IF(ISBLANK('Ingest Template'!M732),"", 'Ingest Template'!M732&amp;"|DAR")),(IF(ISBLANK('Ingest Template'!M732),"", 'Ingest Template'!M732&amp;"|Operations - Core Title")))</f>
        <v/>
      </c>
      <c r="AA732" s="5"/>
      <c r="AB732" s="5" t="str">
        <f>'Ingest Template'!F732</f>
        <v/>
      </c>
      <c r="AC732" s="5"/>
      <c r="AD732" s="5"/>
      <c r="AE732" s="5"/>
      <c r="AF732" s="8"/>
      <c r="AG732" s="5" t="str">
        <f t="array" ref="AG732">IF('Ingest Template'!A732="Standard",(CONCATENATE(IF(ISBLANK('Ingest Template'!N732),"", 'Ingest Template'!N732&amp;"|DAR"),CHAR(10), IF(ISBLANK('Ingest Template'!O732),"", 'Ingest Template'!O732&amp;"|DAR"),CHAR(10), IF(ISBLANK('Ingest Template'!P732),"", 'Ingest Template'!P732&amp;"|DAR"))),(CONCATENATE(IF(ISBLANK('Ingest Template'!N732),"", 'Ingest Template'!N732&amp;"|Operations - Core Title"),CHAR(10), IF(ISBLANK('Ingest Template'!O732),"", 'Ingest Template'!O732&amp;"|Operations - Core Title"),CHAR(10), IF(ISBLANK('Ingest Template'!P732),"", 'Ingest Template'!P732&amp;"|Operations - Core Title"))))</f>
        <v>#|Operations - Core Title
</v>
      </c>
      <c r="AH732" s="5"/>
      <c r="AI732" s="5"/>
      <c r="AJ732" s="5"/>
      <c r="AK732" s="5"/>
      <c r="AL732" s="5"/>
    </row>
    <row r="733">
      <c r="A733" s="5"/>
      <c r="B733" s="5" t="str">
        <f>'Ingest Template'!B733&amp;IF('Ingest Template'!A733 = "Standard", " - DAR","")</f>
        <v/>
      </c>
      <c r="C733" s="6" t="str">
        <f>'Ingest Template'!C733</f>
        <v/>
      </c>
      <c r="D733" s="7" t="str">
        <f>'Ingest Template'!E733</f>
        <v/>
      </c>
      <c r="E733" s="5"/>
      <c r="F733" s="5"/>
      <c r="G733" s="5"/>
      <c r="H733" s="7"/>
      <c r="I733" s="5"/>
      <c r="J733" s="7" t="str">
        <f>'Ingest Template'!Q733</f>
        <v/>
      </c>
      <c r="K733" s="5" t="str">
        <f>'Ingest Template'!R733</f>
        <v/>
      </c>
      <c r="L733" s="8" t="s">
        <v>38</v>
      </c>
      <c r="M733" s="9"/>
      <c r="N733" s="5"/>
      <c r="O733" s="5"/>
      <c r="P733" s="5"/>
      <c r="Q733" s="5"/>
      <c r="R733" s="5" t="str">
        <f>'Ingest Template'!D733</f>
        <v/>
      </c>
      <c r="S733" s="5" t="str">
        <f>'Ingest Template'!G733</f>
        <v/>
      </c>
      <c r="T733" s="5" t="str">
        <f>'Ingest Template'!H733</f>
        <v/>
      </c>
      <c r="U733" s="5" t="str">
        <f>LOWER(SUBSTITUTE(SUBSTITUTE(SUBSTITUTE(SUBSTITUTE(SUBSTITUTE('Ingest Template'!I733,"https:",""),"www.",""),"/",""),"?hl=en",""),"instagram.com",""))</f>
        <v/>
      </c>
      <c r="V733" s="10" t="str">
        <f>'Ingest Template'!J733</f>
        <v/>
      </c>
      <c r="W733" s="10" t="str">
        <f>'Ingest Template'!K733</f>
        <v/>
      </c>
      <c r="X733" s="5"/>
      <c r="Y733" s="5" t="str">
        <f>SUBSTITUTE(SUBSTITUTE(SUBSTITUTE('Ingest Template'!L733,"http:",""),"https:",""),"/","")</f>
        <v/>
      </c>
      <c r="Z733" s="5" t="str">
        <f t="array" ref="Z733">IF('Ingest Template'!A733="Standard",(IF(ISBLANK('Ingest Template'!M733),"", 'Ingest Template'!M733&amp;"|DAR")),(IF(ISBLANK('Ingest Template'!M733),"", 'Ingest Template'!M733&amp;"|Operations - Core Title")))</f>
        <v/>
      </c>
      <c r="AA733" s="5"/>
      <c r="AB733" s="5" t="str">
        <f>'Ingest Template'!F733</f>
        <v/>
      </c>
      <c r="AC733" s="5"/>
      <c r="AD733" s="5"/>
      <c r="AE733" s="5"/>
      <c r="AF733" s="8"/>
      <c r="AG733" s="5" t="str">
        <f t="array" ref="AG733">IF('Ingest Template'!A733="Standard",(CONCATENATE(IF(ISBLANK('Ingest Template'!N733),"", 'Ingest Template'!N733&amp;"|DAR"),CHAR(10), IF(ISBLANK('Ingest Template'!O733),"", 'Ingest Template'!O733&amp;"|DAR"),CHAR(10), IF(ISBLANK('Ingest Template'!P733),"", 'Ingest Template'!P733&amp;"|DAR"))),(CONCATENATE(IF(ISBLANK('Ingest Template'!N733),"", 'Ingest Template'!N733&amp;"|Operations - Core Title"),CHAR(10), IF(ISBLANK('Ingest Template'!O733),"", 'Ingest Template'!O733&amp;"|Operations - Core Title"),CHAR(10), IF(ISBLANK('Ingest Template'!P733),"", 'Ingest Template'!P733&amp;"|Operations - Core Title"))))</f>
        <v>#|Operations - Core Title
</v>
      </c>
      <c r="AH733" s="5"/>
      <c r="AI733" s="5"/>
      <c r="AJ733" s="5"/>
      <c r="AK733" s="5"/>
      <c r="AL733" s="5"/>
    </row>
    <row r="734">
      <c r="A734" s="5"/>
      <c r="B734" s="5" t="str">
        <f>'Ingest Template'!B734&amp;IF('Ingest Template'!A734 = "Standard", " - DAR","")</f>
        <v/>
      </c>
      <c r="C734" s="6" t="str">
        <f>'Ingest Template'!C734</f>
        <v/>
      </c>
      <c r="D734" s="7" t="str">
        <f>'Ingest Template'!E734</f>
        <v/>
      </c>
      <c r="E734" s="5"/>
      <c r="F734" s="5"/>
      <c r="G734" s="5"/>
      <c r="H734" s="7"/>
      <c r="I734" s="5"/>
      <c r="J734" s="7" t="str">
        <f>'Ingest Template'!Q734</f>
        <v/>
      </c>
      <c r="K734" s="5" t="str">
        <f>'Ingest Template'!R734</f>
        <v/>
      </c>
      <c r="L734" s="8" t="s">
        <v>38</v>
      </c>
      <c r="M734" s="9"/>
      <c r="N734" s="5"/>
      <c r="O734" s="5"/>
      <c r="P734" s="5"/>
      <c r="Q734" s="5"/>
      <c r="R734" s="5" t="str">
        <f>'Ingest Template'!D734</f>
        <v/>
      </c>
      <c r="S734" s="5" t="str">
        <f>'Ingest Template'!G734</f>
        <v/>
      </c>
      <c r="T734" s="5" t="str">
        <f>'Ingest Template'!H734</f>
        <v/>
      </c>
      <c r="U734" s="5" t="str">
        <f>LOWER(SUBSTITUTE(SUBSTITUTE(SUBSTITUTE(SUBSTITUTE(SUBSTITUTE('Ingest Template'!I734,"https:",""),"www.",""),"/",""),"?hl=en",""),"instagram.com",""))</f>
        <v/>
      </c>
      <c r="V734" s="10" t="str">
        <f>'Ingest Template'!J734</f>
        <v/>
      </c>
      <c r="W734" s="10" t="str">
        <f>'Ingest Template'!K734</f>
        <v/>
      </c>
      <c r="X734" s="5"/>
      <c r="Y734" s="5" t="str">
        <f>SUBSTITUTE(SUBSTITUTE(SUBSTITUTE('Ingest Template'!L734,"http:",""),"https:",""),"/","")</f>
        <v/>
      </c>
      <c r="Z734" s="5" t="str">
        <f t="array" ref="Z734">IF('Ingest Template'!A734="Standard",(IF(ISBLANK('Ingest Template'!M734),"", 'Ingest Template'!M734&amp;"|DAR")),(IF(ISBLANK('Ingest Template'!M734),"", 'Ingest Template'!M734&amp;"|Operations - Core Title")))</f>
        <v/>
      </c>
      <c r="AA734" s="5"/>
      <c r="AB734" s="5" t="str">
        <f>'Ingest Template'!F734</f>
        <v/>
      </c>
      <c r="AC734" s="5"/>
      <c r="AD734" s="5"/>
      <c r="AE734" s="5"/>
      <c r="AF734" s="8"/>
      <c r="AG734" s="5" t="str">
        <f t="array" ref="AG734">IF('Ingest Template'!A734="Standard",(CONCATENATE(IF(ISBLANK('Ingest Template'!N734),"", 'Ingest Template'!N734&amp;"|DAR"),CHAR(10), IF(ISBLANK('Ingest Template'!O734),"", 'Ingest Template'!O734&amp;"|DAR"),CHAR(10), IF(ISBLANK('Ingest Template'!P734),"", 'Ingest Template'!P734&amp;"|DAR"))),(CONCATENATE(IF(ISBLANK('Ingest Template'!N734),"", 'Ingest Template'!N734&amp;"|Operations - Core Title"),CHAR(10), IF(ISBLANK('Ingest Template'!O734),"", 'Ingest Template'!O734&amp;"|Operations - Core Title"),CHAR(10), IF(ISBLANK('Ingest Template'!P734),"", 'Ingest Template'!P734&amp;"|Operations - Core Title"))))</f>
        <v>#|Operations - Core Title
</v>
      </c>
      <c r="AH734" s="5"/>
      <c r="AI734" s="5"/>
      <c r="AJ734" s="5"/>
      <c r="AK734" s="5"/>
      <c r="AL734" s="5"/>
    </row>
    <row r="735">
      <c r="A735" s="5"/>
      <c r="B735" s="5" t="str">
        <f>'Ingest Template'!B735&amp;IF('Ingest Template'!A735 = "Standard", " - DAR","")</f>
        <v/>
      </c>
      <c r="C735" s="6" t="str">
        <f>'Ingest Template'!C735</f>
        <v/>
      </c>
      <c r="D735" s="7" t="str">
        <f>'Ingest Template'!E735</f>
        <v/>
      </c>
      <c r="E735" s="5"/>
      <c r="F735" s="5"/>
      <c r="G735" s="5"/>
      <c r="H735" s="7"/>
      <c r="I735" s="5"/>
      <c r="J735" s="7" t="str">
        <f>'Ingest Template'!Q735</f>
        <v/>
      </c>
      <c r="K735" s="5" t="str">
        <f>'Ingest Template'!R735</f>
        <v/>
      </c>
      <c r="L735" s="8" t="s">
        <v>38</v>
      </c>
      <c r="M735" s="9"/>
      <c r="N735" s="5"/>
      <c r="O735" s="5"/>
      <c r="P735" s="5"/>
      <c r="Q735" s="5"/>
      <c r="R735" s="5" t="str">
        <f>'Ingest Template'!D735</f>
        <v/>
      </c>
      <c r="S735" s="5" t="str">
        <f>'Ingest Template'!G735</f>
        <v/>
      </c>
      <c r="T735" s="5" t="str">
        <f>'Ingest Template'!H735</f>
        <v/>
      </c>
      <c r="U735" s="5" t="str">
        <f>LOWER(SUBSTITUTE(SUBSTITUTE(SUBSTITUTE(SUBSTITUTE(SUBSTITUTE('Ingest Template'!I735,"https:",""),"www.",""),"/",""),"?hl=en",""),"instagram.com",""))</f>
        <v/>
      </c>
      <c r="V735" s="10" t="str">
        <f>'Ingest Template'!J735</f>
        <v/>
      </c>
      <c r="W735" s="10" t="str">
        <f>'Ingest Template'!K735</f>
        <v/>
      </c>
      <c r="X735" s="5"/>
      <c r="Y735" s="5" t="str">
        <f>SUBSTITUTE(SUBSTITUTE(SUBSTITUTE('Ingest Template'!L735,"http:",""),"https:",""),"/","")</f>
        <v/>
      </c>
      <c r="Z735" s="5" t="str">
        <f t="array" ref="Z735">IF('Ingest Template'!A735="Standard",(IF(ISBLANK('Ingest Template'!M735),"", 'Ingest Template'!M735&amp;"|DAR")),(IF(ISBLANK('Ingest Template'!M735),"", 'Ingest Template'!M735&amp;"|Operations - Core Title")))</f>
        <v/>
      </c>
      <c r="AA735" s="5"/>
      <c r="AB735" s="5" t="str">
        <f>'Ingest Template'!F735</f>
        <v/>
      </c>
      <c r="AC735" s="5"/>
      <c r="AD735" s="5"/>
      <c r="AE735" s="5"/>
      <c r="AF735" s="8"/>
      <c r="AG735" s="5" t="str">
        <f t="array" ref="AG735">IF('Ingest Template'!A735="Standard",(CONCATENATE(IF(ISBLANK('Ingest Template'!N735),"", 'Ingest Template'!N735&amp;"|DAR"),CHAR(10), IF(ISBLANK('Ingest Template'!O735),"", 'Ingest Template'!O735&amp;"|DAR"),CHAR(10), IF(ISBLANK('Ingest Template'!P735),"", 'Ingest Template'!P735&amp;"|DAR"))),(CONCATENATE(IF(ISBLANK('Ingest Template'!N735),"", 'Ingest Template'!N735&amp;"|Operations - Core Title"),CHAR(10), IF(ISBLANK('Ingest Template'!O735),"", 'Ingest Template'!O735&amp;"|Operations - Core Title"),CHAR(10), IF(ISBLANK('Ingest Template'!P735),"", 'Ingest Template'!P735&amp;"|Operations - Core Title"))))</f>
        <v>#|Operations - Core Title
</v>
      </c>
      <c r="AH735" s="5"/>
      <c r="AI735" s="5"/>
      <c r="AJ735" s="5"/>
      <c r="AK735" s="5"/>
      <c r="AL735" s="5"/>
    </row>
    <row r="736">
      <c r="A736" s="5"/>
      <c r="B736" s="5" t="str">
        <f>'Ingest Template'!B736&amp;IF('Ingest Template'!A736 = "Standard", " - DAR","")</f>
        <v/>
      </c>
      <c r="C736" s="6" t="str">
        <f>'Ingest Template'!C736</f>
        <v/>
      </c>
      <c r="D736" s="7" t="str">
        <f>'Ingest Template'!E736</f>
        <v/>
      </c>
      <c r="E736" s="5"/>
      <c r="F736" s="5"/>
      <c r="G736" s="5"/>
      <c r="H736" s="7"/>
      <c r="I736" s="5"/>
      <c r="J736" s="7" t="str">
        <f>'Ingest Template'!Q736</f>
        <v/>
      </c>
      <c r="K736" s="5" t="str">
        <f>'Ingest Template'!R736</f>
        <v/>
      </c>
      <c r="L736" s="8" t="s">
        <v>38</v>
      </c>
      <c r="M736" s="9"/>
      <c r="N736" s="5"/>
      <c r="O736" s="5"/>
      <c r="P736" s="5"/>
      <c r="Q736" s="5"/>
      <c r="R736" s="5" t="str">
        <f>'Ingest Template'!D736</f>
        <v/>
      </c>
      <c r="S736" s="5" t="str">
        <f>'Ingest Template'!G736</f>
        <v/>
      </c>
      <c r="T736" s="5" t="str">
        <f>'Ingest Template'!H736</f>
        <v/>
      </c>
      <c r="U736" s="5" t="str">
        <f>LOWER(SUBSTITUTE(SUBSTITUTE(SUBSTITUTE(SUBSTITUTE(SUBSTITUTE('Ingest Template'!I736,"https:",""),"www.",""),"/",""),"?hl=en",""),"instagram.com",""))</f>
        <v/>
      </c>
      <c r="V736" s="10" t="str">
        <f>'Ingest Template'!J736</f>
        <v/>
      </c>
      <c r="W736" s="10" t="str">
        <f>'Ingest Template'!K736</f>
        <v/>
      </c>
      <c r="X736" s="5"/>
      <c r="Y736" s="5" t="str">
        <f>SUBSTITUTE(SUBSTITUTE(SUBSTITUTE('Ingest Template'!L736,"http:",""),"https:",""),"/","")</f>
        <v/>
      </c>
      <c r="Z736" s="5" t="str">
        <f t="array" ref="Z736">IF('Ingest Template'!A736="Standard",(IF(ISBLANK('Ingest Template'!M736),"", 'Ingest Template'!M736&amp;"|DAR")),(IF(ISBLANK('Ingest Template'!M736),"", 'Ingest Template'!M736&amp;"|Operations - Core Title")))</f>
        <v/>
      </c>
      <c r="AA736" s="5"/>
      <c r="AB736" s="5" t="str">
        <f>'Ingest Template'!F736</f>
        <v/>
      </c>
      <c r="AC736" s="5"/>
      <c r="AD736" s="5"/>
      <c r="AE736" s="5"/>
      <c r="AF736" s="8"/>
      <c r="AG736" s="5" t="str">
        <f t="array" ref="AG736">IF('Ingest Template'!A736="Standard",(CONCATENATE(IF(ISBLANK('Ingest Template'!N736),"", 'Ingest Template'!N736&amp;"|DAR"),CHAR(10), IF(ISBLANK('Ingest Template'!O736),"", 'Ingest Template'!O736&amp;"|DAR"),CHAR(10), IF(ISBLANK('Ingest Template'!P736),"", 'Ingest Template'!P736&amp;"|DAR"))),(CONCATENATE(IF(ISBLANK('Ingest Template'!N736),"", 'Ingest Template'!N736&amp;"|Operations - Core Title"),CHAR(10), IF(ISBLANK('Ingest Template'!O736),"", 'Ingest Template'!O736&amp;"|Operations - Core Title"),CHAR(10), IF(ISBLANK('Ingest Template'!P736),"", 'Ingest Template'!P736&amp;"|Operations - Core Title"))))</f>
        <v>#|Operations - Core Title
</v>
      </c>
      <c r="AH736" s="5"/>
      <c r="AI736" s="5"/>
      <c r="AJ736" s="5"/>
      <c r="AK736" s="5"/>
      <c r="AL736" s="5"/>
    </row>
    <row r="737">
      <c r="A737" s="5"/>
      <c r="B737" s="5" t="str">
        <f>'Ingest Template'!B737&amp;IF('Ingest Template'!A737 = "Standard", " - DAR","")</f>
        <v/>
      </c>
      <c r="C737" s="6" t="str">
        <f>'Ingest Template'!C737</f>
        <v/>
      </c>
      <c r="D737" s="7" t="str">
        <f>'Ingest Template'!E737</f>
        <v/>
      </c>
      <c r="E737" s="5"/>
      <c r="F737" s="5"/>
      <c r="G737" s="5"/>
      <c r="H737" s="7"/>
      <c r="I737" s="5"/>
      <c r="J737" s="7" t="str">
        <f>'Ingest Template'!Q737</f>
        <v/>
      </c>
      <c r="K737" s="5" t="str">
        <f>'Ingest Template'!R737</f>
        <v/>
      </c>
      <c r="L737" s="8" t="s">
        <v>38</v>
      </c>
      <c r="M737" s="9"/>
      <c r="N737" s="5"/>
      <c r="O737" s="5"/>
      <c r="P737" s="5"/>
      <c r="Q737" s="5"/>
      <c r="R737" s="5" t="str">
        <f>'Ingest Template'!D737</f>
        <v/>
      </c>
      <c r="S737" s="5" t="str">
        <f>'Ingest Template'!G737</f>
        <v/>
      </c>
      <c r="T737" s="5" t="str">
        <f>'Ingest Template'!H737</f>
        <v/>
      </c>
      <c r="U737" s="5" t="str">
        <f>LOWER(SUBSTITUTE(SUBSTITUTE(SUBSTITUTE(SUBSTITUTE(SUBSTITUTE('Ingest Template'!I737,"https:",""),"www.",""),"/",""),"?hl=en",""),"instagram.com",""))</f>
        <v/>
      </c>
      <c r="V737" s="10" t="str">
        <f>'Ingest Template'!J737</f>
        <v/>
      </c>
      <c r="W737" s="10" t="str">
        <f>'Ingest Template'!K737</f>
        <v/>
      </c>
      <c r="X737" s="5"/>
      <c r="Y737" s="5" t="str">
        <f>SUBSTITUTE(SUBSTITUTE(SUBSTITUTE('Ingest Template'!L737,"http:",""),"https:",""),"/","")</f>
        <v/>
      </c>
      <c r="Z737" s="5" t="str">
        <f t="array" ref="Z737">IF('Ingest Template'!A737="Standard",(IF(ISBLANK('Ingest Template'!M737),"", 'Ingest Template'!M737&amp;"|DAR")),(IF(ISBLANK('Ingest Template'!M737),"", 'Ingest Template'!M737&amp;"|Operations - Core Title")))</f>
        <v/>
      </c>
      <c r="AA737" s="5"/>
      <c r="AB737" s="5" t="str">
        <f>'Ingest Template'!F737</f>
        <v/>
      </c>
      <c r="AC737" s="5"/>
      <c r="AD737" s="5"/>
      <c r="AE737" s="5"/>
      <c r="AF737" s="8"/>
      <c r="AG737" s="5" t="str">
        <f t="array" ref="AG737">IF('Ingest Template'!A737="Standard",(CONCATENATE(IF(ISBLANK('Ingest Template'!N737),"", 'Ingest Template'!N737&amp;"|DAR"),CHAR(10), IF(ISBLANK('Ingest Template'!O737),"", 'Ingest Template'!O737&amp;"|DAR"),CHAR(10), IF(ISBLANK('Ingest Template'!P737),"", 'Ingest Template'!P737&amp;"|DAR"))),(CONCATENATE(IF(ISBLANK('Ingest Template'!N737),"", 'Ingest Template'!N737&amp;"|Operations - Core Title"),CHAR(10), IF(ISBLANK('Ingest Template'!O737),"", 'Ingest Template'!O737&amp;"|Operations - Core Title"),CHAR(10), IF(ISBLANK('Ingest Template'!P737),"", 'Ingest Template'!P737&amp;"|Operations - Core Title"))))</f>
        <v>#|Operations - Core Title
</v>
      </c>
      <c r="AH737" s="5"/>
      <c r="AI737" s="5"/>
      <c r="AJ737" s="5"/>
      <c r="AK737" s="5"/>
      <c r="AL737" s="5"/>
    </row>
    <row r="738">
      <c r="A738" s="5"/>
      <c r="B738" s="5" t="str">
        <f>'Ingest Template'!B738&amp;IF('Ingest Template'!A738 = "Standard", " - DAR","")</f>
        <v/>
      </c>
      <c r="C738" s="6" t="str">
        <f>'Ingest Template'!C738</f>
        <v/>
      </c>
      <c r="D738" s="7" t="str">
        <f>'Ingest Template'!E738</f>
        <v/>
      </c>
      <c r="E738" s="5"/>
      <c r="F738" s="5"/>
      <c r="G738" s="5"/>
      <c r="H738" s="7"/>
      <c r="I738" s="5"/>
      <c r="J738" s="7" t="str">
        <f>'Ingest Template'!Q738</f>
        <v/>
      </c>
      <c r="K738" s="5" t="str">
        <f>'Ingest Template'!R738</f>
        <v/>
      </c>
      <c r="L738" s="8" t="s">
        <v>38</v>
      </c>
      <c r="M738" s="9"/>
      <c r="N738" s="5"/>
      <c r="O738" s="5"/>
      <c r="P738" s="5"/>
      <c r="Q738" s="5"/>
      <c r="R738" s="5" t="str">
        <f>'Ingest Template'!D738</f>
        <v/>
      </c>
      <c r="S738" s="5" t="str">
        <f>'Ingest Template'!G738</f>
        <v/>
      </c>
      <c r="T738" s="5" t="str">
        <f>'Ingest Template'!H738</f>
        <v/>
      </c>
      <c r="U738" s="5" t="str">
        <f>LOWER(SUBSTITUTE(SUBSTITUTE(SUBSTITUTE(SUBSTITUTE(SUBSTITUTE('Ingest Template'!I738,"https:",""),"www.",""),"/",""),"?hl=en",""),"instagram.com",""))</f>
        <v/>
      </c>
      <c r="V738" s="10" t="str">
        <f>'Ingest Template'!J738</f>
        <v/>
      </c>
      <c r="W738" s="10" t="str">
        <f>'Ingest Template'!K738</f>
        <v/>
      </c>
      <c r="X738" s="5"/>
      <c r="Y738" s="5" t="str">
        <f>SUBSTITUTE(SUBSTITUTE(SUBSTITUTE('Ingest Template'!L738,"http:",""),"https:",""),"/","")</f>
        <v/>
      </c>
      <c r="Z738" s="5" t="str">
        <f t="array" ref="Z738">IF('Ingest Template'!A738="Standard",(IF(ISBLANK('Ingest Template'!M738),"", 'Ingest Template'!M738&amp;"|DAR")),(IF(ISBLANK('Ingest Template'!M738),"", 'Ingest Template'!M738&amp;"|Operations - Core Title")))</f>
        <v/>
      </c>
      <c r="AA738" s="5"/>
      <c r="AB738" s="5" t="str">
        <f>'Ingest Template'!F738</f>
        <v/>
      </c>
      <c r="AC738" s="5"/>
      <c r="AD738" s="5"/>
      <c r="AE738" s="5"/>
      <c r="AF738" s="8"/>
      <c r="AG738" s="5" t="str">
        <f t="array" ref="AG738">IF('Ingest Template'!A738="Standard",(CONCATENATE(IF(ISBLANK('Ingest Template'!N738),"", 'Ingest Template'!N738&amp;"|DAR"),CHAR(10), IF(ISBLANK('Ingest Template'!O738),"", 'Ingest Template'!O738&amp;"|DAR"),CHAR(10), IF(ISBLANK('Ingest Template'!P738),"", 'Ingest Template'!P738&amp;"|DAR"))),(CONCATENATE(IF(ISBLANK('Ingest Template'!N738),"", 'Ingest Template'!N738&amp;"|Operations - Core Title"),CHAR(10), IF(ISBLANK('Ingest Template'!O738),"", 'Ingest Template'!O738&amp;"|Operations - Core Title"),CHAR(10), IF(ISBLANK('Ingest Template'!P738),"", 'Ingest Template'!P738&amp;"|Operations - Core Title"))))</f>
        <v>#|Operations - Core Title
</v>
      </c>
      <c r="AH738" s="5"/>
      <c r="AI738" s="5"/>
      <c r="AJ738" s="5"/>
      <c r="AK738" s="5"/>
      <c r="AL738" s="5"/>
    </row>
    <row r="739">
      <c r="A739" s="5"/>
      <c r="B739" s="5" t="str">
        <f>'Ingest Template'!B739&amp;IF('Ingest Template'!A739 = "Standard", " - DAR","")</f>
        <v/>
      </c>
      <c r="C739" s="6" t="str">
        <f>'Ingest Template'!C739</f>
        <v/>
      </c>
      <c r="D739" s="7" t="str">
        <f>'Ingest Template'!E739</f>
        <v/>
      </c>
      <c r="E739" s="5"/>
      <c r="F739" s="5"/>
      <c r="G739" s="5"/>
      <c r="H739" s="7"/>
      <c r="I739" s="5"/>
      <c r="J739" s="7" t="str">
        <f>'Ingest Template'!Q739</f>
        <v/>
      </c>
      <c r="K739" s="5" t="str">
        <f>'Ingest Template'!R739</f>
        <v/>
      </c>
      <c r="L739" s="8" t="s">
        <v>38</v>
      </c>
      <c r="M739" s="9"/>
      <c r="N739" s="5"/>
      <c r="O739" s="5"/>
      <c r="P739" s="5"/>
      <c r="Q739" s="5"/>
      <c r="R739" s="5" t="str">
        <f>'Ingest Template'!D739</f>
        <v/>
      </c>
      <c r="S739" s="5" t="str">
        <f>'Ingest Template'!G739</f>
        <v/>
      </c>
      <c r="T739" s="5" t="str">
        <f>'Ingest Template'!H739</f>
        <v/>
      </c>
      <c r="U739" s="5" t="str">
        <f>LOWER(SUBSTITUTE(SUBSTITUTE(SUBSTITUTE(SUBSTITUTE(SUBSTITUTE('Ingest Template'!I739,"https:",""),"www.",""),"/",""),"?hl=en",""),"instagram.com",""))</f>
        <v/>
      </c>
      <c r="V739" s="10" t="str">
        <f>'Ingest Template'!J739</f>
        <v/>
      </c>
      <c r="W739" s="10" t="str">
        <f>'Ingest Template'!K739</f>
        <v/>
      </c>
      <c r="X739" s="5"/>
      <c r="Y739" s="5" t="str">
        <f>SUBSTITUTE(SUBSTITUTE(SUBSTITUTE('Ingest Template'!L739,"http:",""),"https:",""),"/","")</f>
        <v/>
      </c>
      <c r="Z739" s="5" t="str">
        <f t="array" ref="Z739">IF('Ingest Template'!A739="Standard",(IF(ISBLANK('Ingest Template'!M739),"", 'Ingest Template'!M739&amp;"|DAR")),(IF(ISBLANK('Ingest Template'!M739),"", 'Ingest Template'!M739&amp;"|Operations - Core Title")))</f>
        <v/>
      </c>
      <c r="AA739" s="5"/>
      <c r="AB739" s="5" t="str">
        <f>'Ingest Template'!F739</f>
        <v/>
      </c>
      <c r="AC739" s="5"/>
      <c r="AD739" s="5"/>
      <c r="AE739" s="5"/>
      <c r="AF739" s="8"/>
      <c r="AG739" s="5" t="str">
        <f t="array" ref="AG739">IF('Ingest Template'!A739="Standard",(CONCATENATE(IF(ISBLANK('Ingest Template'!N739),"", 'Ingest Template'!N739&amp;"|DAR"),CHAR(10), IF(ISBLANK('Ingest Template'!O739),"", 'Ingest Template'!O739&amp;"|DAR"),CHAR(10), IF(ISBLANK('Ingest Template'!P739),"", 'Ingest Template'!P739&amp;"|DAR"))),(CONCATENATE(IF(ISBLANK('Ingest Template'!N739),"", 'Ingest Template'!N739&amp;"|Operations - Core Title"),CHAR(10), IF(ISBLANK('Ingest Template'!O739),"", 'Ingest Template'!O739&amp;"|Operations - Core Title"),CHAR(10), IF(ISBLANK('Ingest Template'!P739),"", 'Ingest Template'!P739&amp;"|Operations - Core Title"))))</f>
        <v>#|Operations - Core Title
</v>
      </c>
      <c r="AH739" s="5"/>
      <c r="AI739" s="5"/>
      <c r="AJ739" s="5"/>
      <c r="AK739" s="5"/>
      <c r="AL739" s="5"/>
    </row>
    <row r="740">
      <c r="A740" s="5"/>
      <c r="B740" s="5" t="str">
        <f>'Ingest Template'!B740&amp;IF('Ingest Template'!A740 = "Standard", " - DAR","")</f>
        <v/>
      </c>
      <c r="C740" s="6" t="str">
        <f>'Ingest Template'!C740</f>
        <v/>
      </c>
      <c r="D740" s="7" t="str">
        <f>'Ingest Template'!E740</f>
        <v/>
      </c>
      <c r="E740" s="5"/>
      <c r="F740" s="5"/>
      <c r="G740" s="5"/>
      <c r="H740" s="7"/>
      <c r="I740" s="5"/>
      <c r="J740" s="7" t="str">
        <f>'Ingest Template'!Q740</f>
        <v/>
      </c>
      <c r="K740" s="5" t="str">
        <f>'Ingest Template'!R740</f>
        <v/>
      </c>
      <c r="L740" s="8" t="s">
        <v>38</v>
      </c>
      <c r="M740" s="9"/>
      <c r="N740" s="5"/>
      <c r="O740" s="5"/>
      <c r="P740" s="5"/>
      <c r="Q740" s="5"/>
      <c r="R740" s="5" t="str">
        <f>'Ingest Template'!D740</f>
        <v/>
      </c>
      <c r="S740" s="5" t="str">
        <f>'Ingest Template'!G740</f>
        <v/>
      </c>
      <c r="T740" s="5" t="str">
        <f>'Ingest Template'!H740</f>
        <v/>
      </c>
      <c r="U740" s="5" t="str">
        <f>LOWER(SUBSTITUTE(SUBSTITUTE(SUBSTITUTE(SUBSTITUTE(SUBSTITUTE('Ingest Template'!I740,"https:",""),"www.",""),"/",""),"?hl=en",""),"instagram.com",""))</f>
        <v/>
      </c>
      <c r="V740" s="10" t="str">
        <f>'Ingest Template'!J740</f>
        <v/>
      </c>
      <c r="W740" s="10" t="str">
        <f>'Ingest Template'!K740</f>
        <v/>
      </c>
      <c r="X740" s="5"/>
      <c r="Y740" s="5" t="str">
        <f>SUBSTITUTE(SUBSTITUTE(SUBSTITUTE('Ingest Template'!L740,"http:",""),"https:",""),"/","")</f>
        <v/>
      </c>
      <c r="Z740" s="5" t="str">
        <f t="array" ref="Z740">IF('Ingest Template'!A740="Standard",(IF(ISBLANK('Ingest Template'!M740),"", 'Ingest Template'!M740&amp;"|DAR")),(IF(ISBLANK('Ingest Template'!M740),"", 'Ingest Template'!M740&amp;"|Operations - Core Title")))</f>
        <v/>
      </c>
      <c r="AA740" s="5"/>
      <c r="AB740" s="5" t="str">
        <f>'Ingest Template'!F740</f>
        <v/>
      </c>
      <c r="AC740" s="5"/>
      <c r="AD740" s="5"/>
      <c r="AE740" s="5"/>
      <c r="AF740" s="8"/>
      <c r="AG740" s="5" t="str">
        <f t="array" ref="AG740">IF('Ingest Template'!A740="Standard",(CONCATENATE(IF(ISBLANK('Ingest Template'!N740),"", 'Ingest Template'!N740&amp;"|DAR"),CHAR(10), IF(ISBLANK('Ingest Template'!O740),"", 'Ingest Template'!O740&amp;"|DAR"),CHAR(10), IF(ISBLANK('Ingest Template'!P740),"", 'Ingest Template'!P740&amp;"|DAR"))),(CONCATENATE(IF(ISBLANK('Ingest Template'!N740),"", 'Ingest Template'!N740&amp;"|Operations - Core Title"),CHAR(10), IF(ISBLANK('Ingest Template'!O740),"", 'Ingest Template'!O740&amp;"|Operations - Core Title"),CHAR(10), IF(ISBLANK('Ingest Template'!P740),"", 'Ingest Template'!P740&amp;"|Operations - Core Title"))))</f>
        <v>#|Operations - Core Title
</v>
      </c>
      <c r="AH740" s="5"/>
      <c r="AI740" s="5"/>
      <c r="AJ740" s="5"/>
      <c r="AK740" s="5"/>
      <c r="AL740" s="5"/>
    </row>
    <row r="741">
      <c r="A741" s="5"/>
      <c r="B741" s="5" t="str">
        <f>'Ingest Template'!B741&amp;IF('Ingest Template'!A741 = "Standard", " - DAR","")</f>
        <v/>
      </c>
      <c r="C741" s="6" t="str">
        <f>'Ingest Template'!C741</f>
        <v/>
      </c>
      <c r="D741" s="7" t="str">
        <f>'Ingest Template'!E741</f>
        <v/>
      </c>
      <c r="E741" s="5"/>
      <c r="F741" s="5"/>
      <c r="G741" s="5"/>
      <c r="H741" s="7"/>
      <c r="I741" s="5"/>
      <c r="J741" s="7" t="str">
        <f>'Ingest Template'!Q741</f>
        <v/>
      </c>
      <c r="K741" s="5" t="str">
        <f>'Ingest Template'!R741</f>
        <v/>
      </c>
      <c r="L741" s="8" t="s">
        <v>38</v>
      </c>
      <c r="M741" s="9"/>
      <c r="N741" s="5"/>
      <c r="O741" s="5"/>
      <c r="P741" s="5"/>
      <c r="Q741" s="5"/>
      <c r="R741" s="5" t="str">
        <f>'Ingest Template'!D741</f>
        <v/>
      </c>
      <c r="S741" s="5" t="str">
        <f>'Ingest Template'!G741</f>
        <v/>
      </c>
      <c r="T741" s="5" t="str">
        <f>'Ingest Template'!H741</f>
        <v/>
      </c>
      <c r="U741" s="5" t="str">
        <f>LOWER(SUBSTITUTE(SUBSTITUTE(SUBSTITUTE(SUBSTITUTE(SUBSTITUTE('Ingest Template'!I741,"https:",""),"www.",""),"/",""),"?hl=en",""),"instagram.com",""))</f>
        <v/>
      </c>
      <c r="V741" s="10" t="str">
        <f>'Ingest Template'!J741</f>
        <v/>
      </c>
      <c r="W741" s="10" t="str">
        <f>'Ingest Template'!K741</f>
        <v/>
      </c>
      <c r="X741" s="5"/>
      <c r="Y741" s="5" t="str">
        <f>SUBSTITUTE(SUBSTITUTE(SUBSTITUTE('Ingest Template'!L741,"http:",""),"https:",""),"/","")</f>
        <v/>
      </c>
      <c r="Z741" s="5" t="str">
        <f t="array" ref="Z741">IF('Ingest Template'!A741="Standard",(IF(ISBLANK('Ingest Template'!M741),"", 'Ingest Template'!M741&amp;"|DAR")),(IF(ISBLANK('Ingest Template'!M741),"", 'Ingest Template'!M741&amp;"|Operations - Core Title")))</f>
        <v/>
      </c>
      <c r="AA741" s="5"/>
      <c r="AB741" s="5" t="str">
        <f>'Ingest Template'!F741</f>
        <v/>
      </c>
      <c r="AC741" s="5"/>
      <c r="AD741" s="5"/>
      <c r="AE741" s="5"/>
      <c r="AF741" s="8"/>
      <c r="AG741" s="5" t="str">
        <f t="array" ref="AG741">IF('Ingest Template'!A741="Standard",(CONCATENATE(IF(ISBLANK('Ingest Template'!N741),"", 'Ingest Template'!N741&amp;"|DAR"),CHAR(10), IF(ISBLANK('Ingest Template'!O741),"", 'Ingest Template'!O741&amp;"|DAR"),CHAR(10), IF(ISBLANK('Ingest Template'!P741),"", 'Ingest Template'!P741&amp;"|DAR"))),(CONCATENATE(IF(ISBLANK('Ingest Template'!N741),"", 'Ingest Template'!N741&amp;"|Operations - Core Title"),CHAR(10), IF(ISBLANK('Ingest Template'!O741),"", 'Ingest Template'!O741&amp;"|Operations - Core Title"),CHAR(10), IF(ISBLANK('Ingest Template'!P741),"", 'Ingest Template'!P741&amp;"|Operations - Core Title"))))</f>
        <v>#|Operations - Core Title
</v>
      </c>
      <c r="AH741" s="5"/>
      <c r="AI741" s="5"/>
      <c r="AJ741" s="5"/>
      <c r="AK741" s="5"/>
      <c r="AL741" s="5"/>
    </row>
    <row r="742">
      <c r="A742" s="5"/>
      <c r="B742" s="5" t="str">
        <f>'Ingest Template'!B742&amp;IF('Ingest Template'!A742 = "Standard", " - DAR","")</f>
        <v/>
      </c>
      <c r="C742" s="6" t="str">
        <f>'Ingest Template'!C742</f>
        <v/>
      </c>
      <c r="D742" s="7" t="str">
        <f>'Ingest Template'!E742</f>
        <v/>
      </c>
      <c r="E742" s="5"/>
      <c r="F742" s="5"/>
      <c r="G742" s="5"/>
      <c r="H742" s="7"/>
      <c r="I742" s="5"/>
      <c r="J742" s="7" t="str">
        <f>'Ingest Template'!Q742</f>
        <v/>
      </c>
      <c r="K742" s="5" t="str">
        <f>'Ingest Template'!R742</f>
        <v/>
      </c>
      <c r="L742" s="8" t="s">
        <v>38</v>
      </c>
      <c r="M742" s="9"/>
      <c r="N742" s="5"/>
      <c r="O742" s="5"/>
      <c r="P742" s="5"/>
      <c r="Q742" s="5"/>
      <c r="R742" s="5" t="str">
        <f>'Ingest Template'!D742</f>
        <v/>
      </c>
      <c r="S742" s="5" t="str">
        <f>'Ingest Template'!G742</f>
        <v/>
      </c>
      <c r="T742" s="5" t="str">
        <f>'Ingest Template'!H742</f>
        <v/>
      </c>
      <c r="U742" s="5" t="str">
        <f>LOWER(SUBSTITUTE(SUBSTITUTE(SUBSTITUTE(SUBSTITUTE(SUBSTITUTE('Ingest Template'!I742,"https:",""),"www.",""),"/",""),"?hl=en",""),"instagram.com",""))</f>
        <v/>
      </c>
      <c r="V742" s="10" t="str">
        <f>'Ingest Template'!J742</f>
        <v/>
      </c>
      <c r="W742" s="10" t="str">
        <f>'Ingest Template'!K742</f>
        <v/>
      </c>
      <c r="X742" s="5"/>
      <c r="Y742" s="5" t="str">
        <f>SUBSTITUTE(SUBSTITUTE(SUBSTITUTE('Ingest Template'!L742,"http:",""),"https:",""),"/","")</f>
        <v/>
      </c>
      <c r="Z742" s="5" t="str">
        <f t="array" ref="Z742">IF('Ingest Template'!A742="Standard",(IF(ISBLANK('Ingest Template'!M742),"", 'Ingest Template'!M742&amp;"|DAR")),(IF(ISBLANK('Ingest Template'!M742),"", 'Ingest Template'!M742&amp;"|Operations - Core Title")))</f>
        <v/>
      </c>
      <c r="AA742" s="5"/>
      <c r="AB742" s="5" t="str">
        <f>'Ingest Template'!F742</f>
        <v/>
      </c>
      <c r="AC742" s="5"/>
      <c r="AD742" s="5"/>
      <c r="AE742" s="5"/>
      <c r="AF742" s="8"/>
      <c r="AG742" s="5" t="str">
        <f t="array" ref="AG742">IF('Ingest Template'!A742="Standard",(CONCATENATE(IF(ISBLANK('Ingest Template'!N742),"", 'Ingest Template'!N742&amp;"|DAR"),CHAR(10), IF(ISBLANK('Ingest Template'!O742),"", 'Ingest Template'!O742&amp;"|DAR"),CHAR(10), IF(ISBLANK('Ingest Template'!P742),"", 'Ingest Template'!P742&amp;"|DAR"))),(CONCATENATE(IF(ISBLANK('Ingest Template'!N742),"", 'Ingest Template'!N742&amp;"|Operations - Core Title"),CHAR(10), IF(ISBLANK('Ingest Template'!O742),"", 'Ingest Template'!O742&amp;"|Operations - Core Title"),CHAR(10), IF(ISBLANK('Ingest Template'!P742),"", 'Ingest Template'!P742&amp;"|Operations - Core Title"))))</f>
        <v>#|Operations - Core Title
</v>
      </c>
      <c r="AH742" s="5"/>
      <c r="AI742" s="5"/>
      <c r="AJ742" s="5"/>
      <c r="AK742" s="5"/>
      <c r="AL742" s="5"/>
    </row>
    <row r="743">
      <c r="A743" s="5"/>
      <c r="B743" s="5" t="str">
        <f>'Ingest Template'!B743&amp;IF('Ingest Template'!A743 = "Standard", " - DAR","")</f>
        <v/>
      </c>
      <c r="C743" s="6" t="str">
        <f>'Ingest Template'!C743</f>
        <v/>
      </c>
      <c r="D743" s="7" t="str">
        <f>'Ingest Template'!E743</f>
        <v/>
      </c>
      <c r="E743" s="5"/>
      <c r="F743" s="5"/>
      <c r="G743" s="5"/>
      <c r="H743" s="7"/>
      <c r="I743" s="5"/>
      <c r="J743" s="7" t="str">
        <f>'Ingest Template'!Q743</f>
        <v/>
      </c>
      <c r="K743" s="5" t="str">
        <f>'Ingest Template'!R743</f>
        <v/>
      </c>
      <c r="L743" s="8" t="s">
        <v>38</v>
      </c>
      <c r="M743" s="9"/>
      <c r="N743" s="5"/>
      <c r="O743" s="5"/>
      <c r="P743" s="5"/>
      <c r="Q743" s="5"/>
      <c r="R743" s="5" t="str">
        <f>'Ingest Template'!D743</f>
        <v/>
      </c>
      <c r="S743" s="5" t="str">
        <f>'Ingest Template'!G743</f>
        <v/>
      </c>
      <c r="T743" s="5" t="str">
        <f>'Ingest Template'!H743</f>
        <v/>
      </c>
      <c r="U743" s="5" t="str">
        <f>LOWER(SUBSTITUTE(SUBSTITUTE(SUBSTITUTE(SUBSTITUTE(SUBSTITUTE('Ingest Template'!I743,"https:",""),"www.",""),"/",""),"?hl=en",""),"instagram.com",""))</f>
        <v/>
      </c>
      <c r="V743" s="10" t="str">
        <f>'Ingest Template'!J743</f>
        <v/>
      </c>
      <c r="W743" s="10" t="str">
        <f>'Ingest Template'!K743</f>
        <v/>
      </c>
      <c r="X743" s="5"/>
      <c r="Y743" s="5" t="str">
        <f>SUBSTITUTE(SUBSTITUTE(SUBSTITUTE('Ingest Template'!L743,"http:",""),"https:",""),"/","")</f>
        <v/>
      </c>
      <c r="Z743" s="5" t="str">
        <f t="array" ref="Z743">IF('Ingest Template'!A743="Standard",(IF(ISBLANK('Ingest Template'!M743),"", 'Ingest Template'!M743&amp;"|DAR")),(IF(ISBLANK('Ingest Template'!M743),"", 'Ingest Template'!M743&amp;"|Operations - Core Title")))</f>
        <v/>
      </c>
      <c r="AA743" s="5"/>
      <c r="AB743" s="5" t="str">
        <f>'Ingest Template'!F743</f>
        <v/>
      </c>
      <c r="AC743" s="5"/>
      <c r="AD743" s="5"/>
      <c r="AE743" s="5"/>
      <c r="AF743" s="8"/>
      <c r="AG743" s="5" t="str">
        <f t="array" ref="AG743">IF('Ingest Template'!A743="Standard",(CONCATENATE(IF(ISBLANK('Ingest Template'!N743),"", 'Ingest Template'!N743&amp;"|DAR"),CHAR(10), IF(ISBLANK('Ingest Template'!O743),"", 'Ingest Template'!O743&amp;"|DAR"),CHAR(10), IF(ISBLANK('Ingest Template'!P743),"", 'Ingest Template'!P743&amp;"|DAR"))),(CONCATENATE(IF(ISBLANK('Ingest Template'!N743),"", 'Ingest Template'!N743&amp;"|Operations - Core Title"),CHAR(10), IF(ISBLANK('Ingest Template'!O743),"", 'Ingest Template'!O743&amp;"|Operations - Core Title"),CHAR(10), IF(ISBLANK('Ingest Template'!P743),"", 'Ingest Template'!P743&amp;"|Operations - Core Title"))))</f>
        <v>#|Operations - Core Title
</v>
      </c>
      <c r="AH743" s="5"/>
      <c r="AI743" s="5"/>
      <c r="AJ743" s="5"/>
      <c r="AK743" s="5"/>
      <c r="AL743" s="5"/>
    </row>
    <row r="744">
      <c r="A744" s="5"/>
      <c r="B744" s="5" t="str">
        <f>'Ingest Template'!B744&amp;IF('Ingest Template'!A744 = "Standard", " - DAR","")</f>
        <v/>
      </c>
      <c r="C744" s="6" t="str">
        <f>'Ingest Template'!C744</f>
        <v/>
      </c>
      <c r="D744" s="7" t="str">
        <f>'Ingest Template'!E744</f>
        <v/>
      </c>
      <c r="E744" s="5"/>
      <c r="F744" s="5"/>
      <c r="G744" s="5"/>
      <c r="H744" s="7"/>
      <c r="I744" s="5"/>
      <c r="J744" s="7" t="str">
        <f>'Ingest Template'!Q744</f>
        <v/>
      </c>
      <c r="K744" s="5" t="str">
        <f>'Ingest Template'!R744</f>
        <v/>
      </c>
      <c r="L744" s="8" t="s">
        <v>38</v>
      </c>
      <c r="M744" s="9"/>
      <c r="N744" s="5"/>
      <c r="O744" s="5"/>
      <c r="P744" s="5"/>
      <c r="Q744" s="5"/>
      <c r="R744" s="5" t="str">
        <f>'Ingest Template'!D744</f>
        <v/>
      </c>
      <c r="S744" s="5" t="str">
        <f>'Ingest Template'!G744</f>
        <v/>
      </c>
      <c r="T744" s="5" t="str">
        <f>'Ingest Template'!H744</f>
        <v/>
      </c>
      <c r="U744" s="5" t="str">
        <f>LOWER(SUBSTITUTE(SUBSTITUTE(SUBSTITUTE(SUBSTITUTE(SUBSTITUTE('Ingest Template'!I744,"https:",""),"www.",""),"/",""),"?hl=en",""),"instagram.com",""))</f>
        <v/>
      </c>
      <c r="V744" s="10" t="str">
        <f>'Ingest Template'!J744</f>
        <v/>
      </c>
      <c r="W744" s="10" t="str">
        <f>'Ingest Template'!K744</f>
        <v/>
      </c>
      <c r="X744" s="5"/>
      <c r="Y744" s="5" t="str">
        <f>SUBSTITUTE(SUBSTITUTE(SUBSTITUTE('Ingest Template'!L744,"http:",""),"https:",""),"/","")</f>
        <v/>
      </c>
      <c r="Z744" s="5" t="str">
        <f t="array" ref="Z744">IF('Ingest Template'!A744="Standard",(IF(ISBLANK('Ingest Template'!M744),"", 'Ingest Template'!M744&amp;"|DAR")),(IF(ISBLANK('Ingest Template'!M744),"", 'Ingest Template'!M744&amp;"|Operations - Core Title")))</f>
        <v/>
      </c>
      <c r="AA744" s="5"/>
      <c r="AB744" s="5" t="str">
        <f>'Ingest Template'!F744</f>
        <v/>
      </c>
      <c r="AC744" s="5"/>
      <c r="AD744" s="5"/>
      <c r="AE744" s="5"/>
      <c r="AF744" s="8"/>
      <c r="AG744" s="5" t="str">
        <f t="array" ref="AG744">IF('Ingest Template'!A744="Standard",(CONCATENATE(IF(ISBLANK('Ingest Template'!N744),"", 'Ingest Template'!N744&amp;"|DAR"),CHAR(10), IF(ISBLANK('Ingest Template'!O744),"", 'Ingest Template'!O744&amp;"|DAR"),CHAR(10), IF(ISBLANK('Ingest Template'!P744),"", 'Ingest Template'!P744&amp;"|DAR"))),(CONCATENATE(IF(ISBLANK('Ingest Template'!N744),"", 'Ingest Template'!N744&amp;"|Operations - Core Title"),CHAR(10), IF(ISBLANK('Ingest Template'!O744),"", 'Ingest Template'!O744&amp;"|Operations - Core Title"),CHAR(10), IF(ISBLANK('Ingest Template'!P744),"", 'Ingest Template'!P744&amp;"|Operations - Core Title"))))</f>
        <v>#|Operations - Core Title
</v>
      </c>
      <c r="AH744" s="5"/>
      <c r="AI744" s="5"/>
      <c r="AJ744" s="5"/>
      <c r="AK744" s="5"/>
      <c r="AL744" s="5"/>
    </row>
    <row r="745">
      <c r="A745" s="5"/>
      <c r="B745" s="5" t="str">
        <f>'Ingest Template'!B745&amp;IF('Ingest Template'!A745 = "Standard", " - DAR","")</f>
        <v/>
      </c>
      <c r="C745" s="6" t="str">
        <f>'Ingest Template'!C745</f>
        <v/>
      </c>
      <c r="D745" s="7" t="str">
        <f>'Ingest Template'!E745</f>
        <v/>
      </c>
      <c r="E745" s="5"/>
      <c r="F745" s="5"/>
      <c r="G745" s="5"/>
      <c r="H745" s="7"/>
      <c r="I745" s="5"/>
      <c r="J745" s="7" t="str">
        <f>'Ingest Template'!Q745</f>
        <v/>
      </c>
      <c r="K745" s="5" t="str">
        <f>'Ingest Template'!R745</f>
        <v/>
      </c>
      <c r="L745" s="8" t="s">
        <v>38</v>
      </c>
      <c r="M745" s="9"/>
      <c r="N745" s="5"/>
      <c r="O745" s="5"/>
      <c r="P745" s="5"/>
      <c r="Q745" s="5"/>
      <c r="R745" s="5" t="str">
        <f>'Ingest Template'!D745</f>
        <v/>
      </c>
      <c r="S745" s="5" t="str">
        <f>'Ingest Template'!G745</f>
        <v/>
      </c>
      <c r="T745" s="5" t="str">
        <f>'Ingest Template'!H745</f>
        <v/>
      </c>
      <c r="U745" s="5" t="str">
        <f>LOWER(SUBSTITUTE(SUBSTITUTE(SUBSTITUTE(SUBSTITUTE(SUBSTITUTE('Ingest Template'!I745,"https:",""),"www.",""),"/",""),"?hl=en",""),"instagram.com",""))</f>
        <v/>
      </c>
      <c r="V745" s="10" t="str">
        <f>'Ingest Template'!J745</f>
        <v/>
      </c>
      <c r="W745" s="10" t="str">
        <f>'Ingest Template'!K745</f>
        <v/>
      </c>
      <c r="X745" s="5"/>
      <c r="Y745" s="5" t="str">
        <f>SUBSTITUTE(SUBSTITUTE(SUBSTITUTE('Ingest Template'!L745,"http:",""),"https:",""),"/","")</f>
        <v/>
      </c>
      <c r="Z745" s="5" t="str">
        <f t="array" ref="Z745">IF('Ingest Template'!A745="Standard",(IF(ISBLANK('Ingest Template'!M745),"", 'Ingest Template'!M745&amp;"|DAR")),(IF(ISBLANK('Ingest Template'!M745),"", 'Ingest Template'!M745&amp;"|Operations - Core Title")))</f>
        <v/>
      </c>
      <c r="AA745" s="5"/>
      <c r="AB745" s="5" t="str">
        <f>'Ingest Template'!F745</f>
        <v/>
      </c>
      <c r="AC745" s="5"/>
      <c r="AD745" s="5"/>
      <c r="AE745" s="5"/>
      <c r="AF745" s="8"/>
      <c r="AG745" s="5" t="str">
        <f t="array" ref="AG745">IF('Ingest Template'!A745="Standard",(CONCATENATE(IF(ISBLANK('Ingest Template'!N745),"", 'Ingest Template'!N745&amp;"|DAR"),CHAR(10), IF(ISBLANK('Ingest Template'!O745),"", 'Ingest Template'!O745&amp;"|DAR"),CHAR(10), IF(ISBLANK('Ingest Template'!P745),"", 'Ingest Template'!P745&amp;"|DAR"))),(CONCATENATE(IF(ISBLANK('Ingest Template'!N745),"", 'Ingest Template'!N745&amp;"|Operations - Core Title"),CHAR(10), IF(ISBLANK('Ingest Template'!O745),"", 'Ingest Template'!O745&amp;"|Operations - Core Title"),CHAR(10), IF(ISBLANK('Ingest Template'!P745),"", 'Ingest Template'!P745&amp;"|Operations - Core Title"))))</f>
        <v>#|Operations - Core Title
</v>
      </c>
      <c r="AH745" s="5"/>
      <c r="AI745" s="5"/>
      <c r="AJ745" s="5"/>
      <c r="AK745" s="5"/>
      <c r="AL745" s="5"/>
    </row>
    <row r="746">
      <c r="A746" s="5"/>
      <c r="B746" s="5" t="str">
        <f>'Ingest Template'!B746&amp;IF('Ingest Template'!A746 = "Standard", " - DAR","")</f>
        <v/>
      </c>
      <c r="C746" s="6" t="str">
        <f>'Ingest Template'!C746</f>
        <v/>
      </c>
      <c r="D746" s="7" t="str">
        <f>'Ingest Template'!E746</f>
        <v/>
      </c>
      <c r="E746" s="5"/>
      <c r="F746" s="5"/>
      <c r="G746" s="5"/>
      <c r="H746" s="7"/>
      <c r="I746" s="5"/>
      <c r="J746" s="7" t="str">
        <f>'Ingest Template'!Q746</f>
        <v/>
      </c>
      <c r="K746" s="5" t="str">
        <f>'Ingest Template'!R746</f>
        <v/>
      </c>
      <c r="L746" s="8" t="s">
        <v>38</v>
      </c>
      <c r="M746" s="9"/>
      <c r="N746" s="5"/>
      <c r="O746" s="5"/>
      <c r="P746" s="5"/>
      <c r="Q746" s="5"/>
      <c r="R746" s="5" t="str">
        <f>'Ingest Template'!D746</f>
        <v/>
      </c>
      <c r="S746" s="5" t="str">
        <f>'Ingest Template'!G746</f>
        <v/>
      </c>
      <c r="T746" s="5" t="str">
        <f>'Ingest Template'!H746</f>
        <v/>
      </c>
      <c r="U746" s="5" t="str">
        <f>LOWER(SUBSTITUTE(SUBSTITUTE(SUBSTITUTE(SUBSTITUTE(SUBSTITUTE('Ingest Template'!I746,"https:",""),"www.",""),"/",""),"?hl=en",""),"instagram.com",""))</f>
        <v/>
      </c>
      <c r="V746" s="10" t="str">
        <f>'Ingest Template'!J746</f>
        <v/>
      </c>
      <c r="W746" s="10" t="str">
        <f>'Ingest Template'!K746</f>
        <v/>
      </c>
      <c r="X746" s="5"/>
      <c r="Y746" s="5" t="str">
        <f>SUBSTITUTE(SUBSTITUTE(SUBSTITUTE('Ingest Template'!L746,"http:",""),"https:",""),"/","")</f>
        <v/>
      </c>
      <c r="Z746" s="5" t="str">
        <f t="array" ref="Z746">IF('Ingest Template'!A746="Standard",(IF(ISBLANK('Ingest Template'!M746),"", 'Ingest Template'!M746&amp;"|DAR")),(IF(ISBLANK('Ingest Template'!M746),"", 'Ingest Template'!M746&amp;"|Operations - Core Title")))</f>
        <v/>
      </c>
      <c r="AA746" s="5"/>
      <c r="AB746" s="5" t="str">
        <f>'Ingest Template'!F746</f>
        <v/>
      </c>
      <c r="AC746" s="5"/>
      <c r="AD746" s="5"/>
      <c r="AE746" s="5"/>
      <c r="AF746" s="8"/>
      <c r="AG746" s="5" t="str">
        <f t="array" ref="AG746">IF('Ingest Template'!A746="Standard",(CONCATENATE(IF(ISBLANK('Ingest Template'!N746),"", 'Ingest Template'!N746&amp;"|DAR"),CHAR(10), IF(ISBLANK('Ingest Template'!O746),"", 'Ingest Template'!O746&amp;"|DAR"),CHAR(10), IF(ISBLANK('Ingest Template'!P746),"", 'Ingest Template'!P746&amp;"|DAR"))),(CONCATENATE(IF(ISBLANK('Ingest Template'!N746),"", 'Ingest Template'!N746&amp;"|Operations - Core Title"),CHAR(10), IF(ISBLANK('Ingest Template'!O746),"", 'Ingest Template'!O746&amp;"|Operations - Core Title"),CHAR(10), IF(ISBLANK('Ingest Template'!P746),"", 'Ingest Template'!P746&amp;"|Operations - Core Title"))))</f>
        <v>#|Operations - Core Title
</v>
      </c>
      <c r="AH746" s="5"/>
      <c r="AI746" s="5"/>
      <c r="AJ746" s="5"/>
      <c r="AK746" s="5"/>
      <c r="AL746" s="5"/>
    </row>
    <row r="747">
      <c r="A747" s="5"/>
      <c r="B747" s="5" t="str">
        <f>'Ingest Template'!B747&amp;IF('Ingest Template'!A747 = "Standard", " - DAR","")</f>
        <v/>
      </c>
      <c r="C747" s="6" t="str">
        <f>'Ingest Template'!C747</f>
        <v/>
      </c>
      <c r="D747" s="7" t="str">
        <f>'Ingest Template'!E747</f>
        <v/>
      </c>
      <c r="E747" s="5"/>
      <c r="F747" s="5"/>
      <c r="G747" s="5"/>
      <c r="H747" s="7"/>
      <c r="I747" s="5"/>
      <c r="J747" s="7" t="str">
        <f>'Ingest Template'!Q747</f>
        <v/>
      </c>
      <c r="K747" s="5" t="str">
        <f>'Ingest Template'!R747</f>
        <v/>
      </c>
      <c r="L747" s="8" t="s">
        <v>38</v>
      </c>
      <c r="M747" s="9"/>
      <c r="N747" s="5"/>
      <c r="O747" s="5"/>
      <c r="P747" s="5"/>
      <c r="Q747" s="5"/>
      <c r="R747" s="5" t="str">
        <f>'Ingest Template'!D747</f>
        <v/>
      </c>
      <c r="S747" s="5" t="str">
        <f>'Ingest Template'!G747</f>
        <v/>
      </c>
      <c r="T747" s="5" t="str">
        <f>'Ingest Template'!H747</f>
        <v/>
      </c>
      <c r="U747" s="5" t="str">
        <f>LOWER(SUBSTITUTE(SUBSTITUTE(SUBSTITUTE(SUBSTITUTE(SUBSTITUTE('Ingest Template'!I747,"https:",""),"www.",""),"/",""),"?hl=en",""),"instagram.com",""))</f>
        <v/>
      </c>
      <c r="V747" s="10" t="str">
        <f>'Ingest Template'!J747</f>
        <v/>
      </c>
      <c r="W747" s="10" t="str">
        <f>'Ingest Template'!K747</f>
        <v/>
      </c>
      <c r="X747" s="5"/>
      <c r="Y747" s="5" t="str">
        <f>SUBSTITUTE(SUBSTITUTE(SUBSTITUTE('Ingest Template'!L747,"http:",""),"https:",""),"/","")</f>
        <v/>
      </c>
      <c r="Z747" s="5" t="str">
        <f t="array" ref="Z747">IF('Ingest Template'!A747="Standard",(IF(ISBLANK('Ingest Template'!M747),"", 'Ingest Template'!M747&amp;"|DAR")),(IF(ISBLANK('Ingest Template'!M747),"", 'Ingest Template'!M747&amp;"|Operations - Core Title")))</f>
        <v/>
      </c>
      <c r="AA747" s="5"/>
      <c r="AB747" s="5" t="str">
        <f>'Ingest Template'!F747</f>
        <v/>
      </c>
      <c r="AC747" s="5"/>
      <c r="AD747" s="5"/>
      <c r="AE747" s="5"/>
      <c r="AF747" s="8"/>
      <c r="AG747" s="5" t="str">
        <f t="array" ref="AG747">IF('Ingest Template'!A747="Standard",(CONCATENATE(IF(ISBLANK('Ingest Template'!N747),"", 'Ingest Template'!N747&amp;"|DAR"),CHAR(10), IF(ISBLANK('Ingest Template'!O747),"", 'Ingest Template'!O747&amp;"|DAR"),CHAR(10), IF(ISBLANK('Ingest Template'!P747),"", 'Ingest Template'!P747&amp;"|DAR"))),(CONCATENATE(IF(ISBLANK('Ingest Template'!N747),"", 'Ingest Template'!N747&amp;"|Operations - Core Title"),CHAR(10), IF(ISBLANK('Ingest Template'!O747),"", 'Ingest Template'!O747&amp;"|Operations - Core Title"),CHAR(10), IF(ISBLANK('Ingest Template'!P747),"", 'Ingest Template'!P747&amp;"|Operations - Core Title"))))</f>
        <v>#|Operations - Core Title
</v>
      </c>
      <c r="AH747" s="5"/>
      <c r="AI747" s="5"/>
      <c r="AJ747" s="5"/>
      <c r="AK747" s="5"/>
      <c r="AL747" s="5"/>
    </row>
    <row r="748">
      <c r="A748" s="5"/>
      <c r="B748" s="5" t="str">
        <f>'Ingest Template'!B748&amp;IF('Ingest Template'!A748 = "Standard", " - DAR","")</f>
        <v/>
      </c>
      <c r="C748" s="6" t="str">
        <f>'Ingest Template'!C748</f>
        <v/>
      </c>
      <c r="D748" s="7" t="str">
        <f>'Ingest Template'!E748</f>
        <v/>
      </c>
      <c r="E748" s="5"/>
      <c r="F748" s="5"/>
      <c r="G748" s="5"/>
      <c r="H748" s="7"/>
      <c r="I748" s="5"/>
      <c r="J748" s="7" t="str">
        <f>'Ingest Template'!Q748</f>
        <v/>
      </c>
      <c r="K748" s="5" t="str">
        <f>'Ingest Template'!R748</f>
        <v/>
      </c>
      <c r="L748" s="8" t="s">
        <v>38</v>
      </c>
      <c r="M748" s="9"/>
      <c r="N748" s="5"/>
      <c r="O748" s="5"/>
      <c r="P748" s="5"/>
      <c r="Q748" s="5"/>
      <c r="R748" s="5" t="str">
        <f>'Ingest Template'!D748</f>
        <v/>
      </c>
      <c r="S748" s="5" t="str">
        <f>'Ingest Template'!G748</f>
        <v/>
      </c>
      <c r="T748" s="5" t="str">
        <f>'Ingest Template'!H748</f>
        <v/>
      </c>
      <c r="U748" s="5" t="str">
        <f>LOWER(SUBSTITUTE(SUBSTITUTE(SUBSTITUTE(SUBSTITUTE(SUBSTITUTE('Ingest Template'!I748,"https:",""),"www.",""),"/",""),"?hl=en",""),"instagram.com",""))</f>
        <v/>
      </c>
      <c r="V748" s="10" t="str">
        <f>'Ingest Template'!J748</f>
        <v/>
      </c>
      <c r="W748" s="10" t="str">
        <f>'Ingest Template'!K748</f>
        <v/>
      </c>
      <c r="X748" s="5"/>
      <c r="Y748" s="5" t="str">
        <f>SUBSTITUTE(SUBSTITUTE(SUBSTITUTE('Ingest Template'!L748,"http:",""),"https:",""),"/","")</f>
        <v/>
      </c>
      <c r="Z748" s="5" t="str">
        <f t="array" ref="Z748">IF('Ingest Template'!A748="Standard",(IF(ISBLANK('Ingest Template'!M748),"", 'Ingest Template'!M748&amp;"|DAR")),(IF(ISBLANK('Ingest Template'!M748),"", 'Ingest Template'!M748&amp;"|Operations - Core Title")))</f>
        <v/>
      </c>
      <c r="AA748" s="5"/>
      <c r="AB748" s="5" t="str">
        <f>'Ingest Template'!F748</f>
        <v/>
      </c>
      <c r="AC748" s="5"/>
      <c r="AD748" s="5"/>
      <c r="AE748" s="5"/>
      <c r="AF748" s="8"/>
      <c r="AG748" s="5" t="str">
        <f t="array" ref="AG748">IF('Ingest Template'!A748="Standard",(CONCATENATE(IF(ISBLANK('Ingest Template'!N748),"", 'Ingest Template'!N748&amp;"|DAR"),CHAR(10), IF(ISBLANK('Ingest Template'!O748),"", 'Ingest Template'!O748&amp;"|DAR"),CHAR(10), IF(ISBLANK('Ingest Template'!P748),"", 'Ingest Template'!P748&amp;"|DAR"))),(CONCATENATE(IF(ISBLANK('Ingest Template'!N748),"", 'Ingest Template'!N748&amp;"|Operations - Core Title"),CHAR(10), IF(ISBLANK('Ingest Template'!O748),"", 'Ingest Template'!O748&amp;"|Operations - Core Title"),CHAR(10), IF(ISBLANK('Ingest Template'!P748),"", 'Ingest Template'!P748&amp;"|Operations - Core Title"))))</f>
        <v>#|Operations - Core Title
</v>
      </c>
      <c r="AH748" s="5"/>
      <c r="AI748" s="5"/>
      <c r="AJ748" s="5"/>
      <c r="AK748" s="5"/>
      <c r="AL748" s="5"/>
    </row>
    <row r="749">
      <c r="A749" s="5"/>
      <c r="B749" s="5" t="str">
        <f>'Ingest Template'!B749&amp;IF('Ingest Template'!A749 = "Standard", " - DAR","")</f>
        <v/>
      </c>
      <c r="C749" s="6" t="str">
        <f>'Ingest Template'!C749</f>
        <v/>
      </c>
      <c r="D749" s="7" t="str">
        <f>'Ingest Template'!E749</f>
        <v/>
      </c>
      <c r="E749" s="5"/>
      <c r="F749" s="5"/>
      <c r="G749" s="5"/>
      <c r="H749" s="7"/>
      <c r="I749" s="5"/>
      <c r="J749" s="7" t="str">
        <f>'Ingest Template'!Q749</f>
        <v/>
      </c>
      <c r="K749" s="5" t="str">
        <f>'Ingest Template'!R749</f>
        <v/>
      </c>
      <c r="L749" s="8" t="s">
        <v>38</v>
      </c>
      <c r="M749" s="9"/>
      <c r="N749" s="5"/>
      <c r="O749" s="5"/>
      <c r="P749" s="5"/>
      <c r="Q749" s="5"/>
      <c r="R749" s="5" t="str">
        <f>'Ingest Template'!D749</f>
        <v/>
      </c>
      <c r="S749" s="5" t="str">
        <f>'Ingest Template'!G749</f>
        <v/>
      </c>
      <c r="T749" s="5" t="str">
        <f>'Ingest Template'!H749</f>
        <v/>
      </c>
      <c r="U749" s="5" t="str">
        <f>LOWER(SUBSTITUTE(SUBSTITUTE(SUBSTITUTE(SUBSTITUTE(SUBSTITUTE('Ingest Template'!I749,"https:",""),"www.",""),"/",""),"?hl=en",""),"instagram.com",""))</f>
        <v/>
      </c>
      <c r="V749" s="10" t="str">
        <f>'Ingest Template'!J749</f>
        <v/>
      </c>
      <c r="W749" s="10" t="str">
        <f>'Ingest Template'!K749</f>
        <v/>
      </c>
      <c r="X749" s="5"/>
      <c r="Y749" s="5" t="str">
        <f>SUBSTITUTE(SUBSTITUTE(SUBSTITUTE('Ingest Template'!L749,"http:",""),"https:",""),"/","")</f>
        <v/>
      </c>
      <c r="Z749" s="5" t="str">
        <f t="array" ref="Z749">IF('Ingest Template'!A749="Standard",(IF(ISBLANK('Ingest Template'!M749),"", 'Ingest Template'!M749&amp;"|DAR")),(IF(ISBLANK('Ingest Template'!M749),"", 'Ingest Template'!M749&amp;"|Operations - Core Title")))</f>
        <v/>
      </c>
      <c r="AA749" s="5"/>
      <c r="AB749" s="5" t="str">
        <f>'Ingest Template'!F749</f>
        <v/>
      </c>
      <c r="AC749" s="5"/>
      <c r="AD749" s="5"/>
      <c r="AE749" s="5"/>
      <c r="AF749" s="8"/>
      <c r="AG749" s="5" t="str">
        <f t="array" ref="AG749">IF('Ingest Template'!A749="Standard",(CONCATENATE(IF(ISBLANK('Ingest Template'!N749),"", 'Ingest Template'!N749&amp;"|DAR"),CHAR(10), IF(ISBLANK('Ingest Template'!O749),"", 'Ingest Template'!O749&amp;"|DAR"),CHAR(10), IF(ISBLANK('Ingest Template'!P749),"", 'Ingest Template'!P749&amp;"|DAR"))),(CONCATENATE(IF(ISBLANK('Ingest Template'!N749),"", 'Ingest Template'!N749&amp;"|Operations - Core Title"),CHAR(10), IF(ISBLANK('Ingest Template'!O749),"", 'Ingest Template'!O749&amp;"|Operations - Core Title"),CHAR(10), IF(ISBLANK('Ingest Template'!P749),"", 'Ingest Template'!P749&amp;"|Operations - Core Title"))))</f>
        <v>#|Operations - Core Title
</v>
      </c>
      <c r="AH749" s="5"/>
      <c r="AI749" s="5"/>
      <c r="AJ749" s="5"/>
      <c r="AK749" s="5"/>
      <c r="AL749" s="5"/>
    </row>
    <row r="750">
      <c r="A750" s="5"/>
      <c r="B750" s="5" t="str">
        <f>'Ingest Template'!B750&amp;IF('Ingest Template'!A750 = "Standard", " - DAR","")</f>
        <v/>
      </c>
      <c r="C750" s="6" t="str">
        <f>'Ingest Template'!C750</f>
        <v/>
      </c>
      <c r="D750" s="7" t="str">
        <f>'Ingest Template'!E750</f>
        <v/>
      </c>
      <c r="E750" s="5"/>
      <c r="F750" s="5"/>
      <c r="G750" s="5"/>
      <c r="H750" s="7"/>
      <c r="I750" s="5"/>
      <c r="J750" s="7" t="str">
        <f>'Ingest Template'!Q750</f>
        <v/>
      </c>
      <c r="K750" s="5" t="str">
        <f>'Ingest Template'!R750</f>
        <v/>
      </c>
      <c r="L750" s="8" t="s">
        <v>38</v>
      </c>
      <c r="M750" s="9"/>
      <c r="N750" s="5"/>
      <c r="O750" s="5"/>
      <c r="P750" s="5"/>
      <c r="Q750" s="5"/>
      <c r="R750" s="5" t="str">
        <f>'Ingest Template'!D750</f>
        <v/>
      </c>
      <c r="S750" s="5" t="str">
        <f>'Ingest Template'!G750</f>
        <v/>
      </c>
      <c r="T750" s="5" t="str">
        <f>'Ingest Template'!H750</f>
        <v/>
      </c>
      <c r="U750" s="5" t="str">
        <f>LOWER(SUBSTITUTE(SUBSTITUTE(SUBSTITUTE(SUBSTITUTE(SUBSTITUTE('Ingest Template'!I750,"https:",""),"www.",""),"/",""),"?hl=en",""),"instagram.com",""))</f>
        <v/>
      </c>
      <c r="V750" s="10" t="str">
        <f>'Ingest Template'!J750</f>
        <v/>
      </c>
      <c r="W750" s="10" t="str">
        <f>'Ingest Template'!K750</f>
        <v/>
      </c>
      <c r="X750" s="5"/>
      <c r="Y750" s="5" t="str">
        <f>SUBSTITUTE(SUBSTITUTE(SUBSTITUTE('Ingest Template'!L750,"http:",""),"https:",""),"/","")</f>
        <v/>
      </c>
      <c r="Z750" s="5" t="str">
        <f t="array" ref="Z750">IF('Ingest Template'!A750="Standard",(IF(ISBLANK('Ingest Template'!M750),"", 'Ingest Template'!M750&amp;"|DAR")),(IF(ISBLANK('Ingest Template'!M750),"", 'Ingest Template'!M750&amp;"|Operations - Core Title")))</f>
        <v/>
      </c>
      <c r="AA750" s="5"/>
      <c r="AB750" s="5" t="str">
        <f>'Ingest Template'!F750</f>
        <v/>
      </c>
      <c r="AC750" s="5"/>
      <c r="AD750" s="5"/>
      <c r="AE750" s="5"/>
      <c r="AF750" s="8"/>
      <c r="AG750" s="5" t="str">
        <f t="array" ref="AG750">IF('Ingest Template'!A750="Standard",(CONCATENATE(IF(ISBLANK('Ingest Template'!N750),"", 'Ingest Template'!N750&amp;"|DAR"),CHAR(10), IF(ISBLANK('Ingest Template'!O750),"", 'Ingest Template'!O750&amp;"|DAR"),CHAR(10), IF(ISBLANK('Ingest Template'!P750),"", 'Ingest Template'!P750&amp;"|DAR"))),(CONCATENATE(IF(ISBLANK('Ingest Template'!N750),"", 'Ingest Template'!N750&amp;"|Operations - Core Title"),CHAR(10), IF(ISBLANK('Ingest Template'!O750),"", 'Ingest Template'!O750&amp;"|Operations - Core Title"),CHAR(10), IF(ISBLANK('Ingest Template'!P750),"", 'Ingest Template'!P750&amp;"|Operations - Core Title"))))</f>
        <v>#|Operations - Core Title
</v>
      </c>
      <c r="AH750" s="5"/>
      <c r="AI750" s="5"/>
      <c r="AJ750" s="5"/>
      <c r="AK750" s="5"/>
      <c r="AL750" s="5"/>
    </row>
    <row r="751">
      <c r="A751" s="5"/>
      <c r="B751" s="5" t="str">
        <f>'Ingest Template'!B751&amp;IF('Ingest Template'!A751 = "Standard", " - DAR","")</f>
        <v/>
      </c>
      <c r="C751" s="6" t="str">
        <f>'Ingest Template'!C751</f>
        <v/>
      </c>
      <c r="D751" s="7" t="str">
        <f>'Ingest Template'!E751</f>
        <v/>
      </c>
      <c r="E751" s="5"/>
      <c r="F751" s="5"/>
      <c r="G751" s="5"/>
      <c r="H751" s="7"/>
      <c r="I751" s="5"/>
      <c r="J751" s="7" t="str">
        <f>'Ingest Template'!Q751</f>
        <v/>
      </c>
      <c r="K751" s="5" t="str">
        <f>'Ingest Template'!R751</f>
        <v/>
      </c>
      <c r="L751" s="8" t="s">
        <v>38</v>
      </c>
      <c r="M751" s="9"/>
      <c r="N751" s="5"/>
      <c r="O751" s="5"/>
      <c r="P751" s="5"/>
      <c r="Q751" s="5"/>
      <c r="R751" s="5" t="str">
        <f>'Ingest Template'!D751</f>
        <v/>
      </c>
      <c r="S751" s="5" t="str">
        <f>'Ingest Template'!G751</f>
        <v/>
      </c>
      <c r="T751" s="5" t="str">
        <f>'Ingest Template'!H751</f>
        <v/>
      </c>
      <c r="U751" s="5" t="str">
        <f>LOWER(SUBSTITUTE(SUBSTITUTE(SUBSTITUTE(SUBSTITUTE(SUBSTITUTE('Ingest Template'!I751,"https:",""),"www.",""),"/",""),"?hl=en",""),"instagram.com",""))</f>
        <v/>
      </c>
      <c r="V751" s="10" t="str">
        <f>'Ingest Template'!J751</f>
        <v/>
      </c>
      <c r="W751" s="10" t="str">
        <f>'Ingest Template'!K751</f>
        <v/>
      </c>
      <c r="X751" s="5"/>
      <c r="Y751" s="5" t="str">
        <f>SUBSTITUTE(SUBSTITUTE(SUBSTITUTE('Ingest Template'!L751,"http:",""),"https:",""),"/","")</f>
        <v/>
      </c>
      <c r="Z751" s="5" t="str">
        <f t="array" ref="Z751">IF('Ingest Template'!A751="Standard",(IF(ISBLANK('Ingest Template'!M751),"", 'Ingest Template'!M751&amp;"|DAR")),(IF(ISBLANK('Ingest Template'!M751),"", 'Ingest Template'!M751&amp;"|Operations - Core Title")))</f>
        <v/>
      </c>
      <c r="AA751" s="5"/>
      <c r="AB751" s="5" t="str">
        <f>'Ingest Template'!F751</f>
        <v/>
      </c>
      <c r="AC751" s="5"/>
      <c r="AD751" s="5"/>
      <c r="AE751" s="5"/>
      <c r="AF751" s="8"/>
      <c r="AG751" s="5" t="str">
        <f t="array" ref="AG751">IF('Ingest Template'!A751="Standard",(CONCATENATE(IF(ISBLANK('Ingest Template'!N751),"", 'Ingest Template'!N751&amp;"|DAR"),CHAR(10), IF(ISBLANK('Ingest Template'!O751),"", 'Ingest Template'!O751&amp;"|DAR"),CHAR(10), IF(ISBLANK('Ingest Template'!P751),"", 'Ingest Template'!P751&amp;"|DAR"))),(CONCATENATE(IF(ISBLANK('Ingest Template'!N751),"", 'Ingest Template'!N751&amp;"|Operations - Core Title"),CHAR(10), IF(ISBLANK('Ingest Template'!O751),"", 'Ingest Template'!O751&amp;"|Operations - Core Title"),CHAR(10), IF(ISBLANK('Ingest Template'!P751),"", 'Ingest Template'!P751&amp;"|Operations - Core Title"))))</f>
        <v>#|Operations - Core Title
</v>
      </c>
      <c r="AH751" s="5"/>
      <c r="AI751" s="5"/>
      <c r="AJ751" s="5"/>
      <c r="AK751" s="5"/>
      <c r="AL751" s="5"/>
    </row>
    <row r="752">
      <c r="A752" s="5"/>
      <c r="B752" s="5" t="str">
        <f>'Ingest Template'!B752&amp;IF('Ingest Template'!A752 = "Standard", " - DAR","")</f>
        <v/>
      </c>
      <c r="C752" s="6" t="str">
        <f>'Ingest Template'!C752</f>
        <v/>
      </c>
      <c r="D752" s="7" t="str">
        <f>'Ingest Template'!E752</f>
        <v/>
      </c>
      <c r="E752" s="5"/>
      <c r="F752" s="5"/>
      <c r="G752" s="5"/>
      <c r="H752" s="7"/>
      <c r="I752" s="5"/>
      <c r="J752" s="7" t="str">
        <f>'Ingest Template'!Q752</f>
        <v/>
      </c>
      <c r="K752" s="5" t="str">
        <f>'Ingest Template'!R752</f>
        <v/>
      </c>
      <c r="L752" s="8" t="s">
        <v>38</v>
      </c>
      <c r="M752" s="9"/>
      <c r="N752" s="5"/>
      <c r="O752" s="5"/>
      <c r="P752" s="5"/>
      <c r="Q752" s="5"/>
      <c r="R752" s="5" t="str">
        <f>'Ingest Template'!D752</f>
        <v/>
      </c>
      <c r="S752" s="5" t="str">
        <f>'Ingest Template'!G752</f>
        <v/>
      </c>
      <c r="T752" s="5" t="str">
        <f>'Ingest Template'!H752</f>
        <v/>
      </c>
      <c r="U752" s="5" t="str">
        <f>LOWER(SUBSTITUTE(SUBSTITUTE(SUBSTITUTE(SUBSTITUTE(SUBSTITUTE('Ingest Template'!I752,"https:",""),"www.",""),"/",""),"?hl=en",""),"instagram.com",""))</f>
        <v/>
      </c>
      <c r="V752" s="10" t="str">
        <f>'Ingest Template'!J752</f>
        <v/>
      </c>
      <c r="W752" s="10" t="str">
        <f>'Ingest Template'!K752</f>
        <v/>
      </c>
      <c r="X752" s="5"/>
      <c r="Y752" s="5" t="str">
        <f>SUBSTITUTE(SUBSTITUTE(SUBSTITUTE('Ingest Template'!L752,"http:",""),"https:",""),"/","")</f>
        <v/>
      </c>
      <c r="Z752" s="5" t="str">
        <f t="array" ref="Z752">IF('Ingest Template'!A752="Standard",(IF(ISBLANK('Ingest Template'!M752),"", 'Ingest Template'!M752&amp;"|DAR")),(IF(ISBLANK('Ingest Template'!M752),"", 'Ingest Template'!M752&amp;"|Operations - Core Title")))</f>
        <v/>
      </c>
      <c r="AA752" s="5"/>
      <c r="AB752" s="5" t="str">
        <f>'Ingest Template'!F752</f>
        <v/>
      </c>
      <c r="AC752" s="5"/>
      <c r="AD752" s="5"/>
      <c r="AE752" s="5"/>
      <c r="AF752" s="8"/>
      <c r="AG752" s="5" t="str">
        <f t="array" ref="AG752">IF('Ingest Template'!A752="Standard",(CONCATENATE(IF(ISBLANK('Ingest Template'!N752),"", 'Ingest Template'!N752&amp;"|DAR"),CHAR(10), IF(ISBLANK('Ingest Template'!O752),"", 'Ingest Template'!O752&amp;"|DAR"),CHAR(10), IF(ISBLANK('Ingest Template'!P752),"", 'Ingest Template'!P752&amp;"|DAR"))),(CONCATENATE(IF(ISBLANK('Ingest Template'!N752),"", 'Ingest Template'!N752&amp;"|Operations - Core Title"),CHAR(10), IF(ISBLANK('Ingest Template'!O752),"", 'Ingest Template'!O752&amp;"|Operations - Core Title"),CHAR(10), IF(ISBLANK('Ingest Template'!P752),"", 'Ingest Template'!P752&amp;"|Operations - Core Title"))))</f>
        <v>#|Operations - Core Title
</v>
      </c>
      <c r="AH752" s="5"/>
      <c r="AI752" s="5"/>
      <c r="AJ752" s="5"/>
      <c r="AK752" s="5"/>
      <c r="AL752" s="5"/>
    </row>
    <row r="753">
      <c r="A753" s="5"/>
      <c r="B753" s="5" t="str">
        <f>'Ingest Template'!B753&amp;IF('Ingest Template'!A753 = "Standard", " - DAR","")</f>
        <v/>
      </c>
      <c r="C753" s="6" t="str">
        <f>'Ingest Template'!C753</f>
        <v/>
      </c>
      <c r="D753" s="7" t="str">
        <f>'Ingest Template'!E753</f>
        <v/>
      </c>
      <c r="E753" s="5"/>
      <c r="F753" s="5"/>
      <c r="G753" s="5"/>
      <c r="H753" s="7"/>
      <c r="I753" s="5"/>
      <c r="J753" s="7" t="str">
        <f>'Ingest Template'!Q753</f>
        <v/>
      </c>
      <c r="K753" s="5" t="str">
        <f>'Ingest Template'!R753</f>
        <v/>
      </c>
      <c r="L753" s="8" t="s">
        <v>38</v>
      </c>
      <c r="M753" s="9"/>
      <c r="N753" s="5"/>
      <c r="O753" s="5"/>
      <c r="P753" s="5"/>
      <c r="Q753" s="5"/>
      <c r="R753" s="5" t="str">
        <f>'Ingest Template'!D753</f>
        <v/>
      </c>
      <c r="S753" s="5" t="str">
        <f>'Ingest Template'!G753</f>
        <v/>
      </c>
      <c r="T753" s="5" t="str">
        <f>'Ingest Template'!H753</f>
        <v/>
      </c>
      <c r="U753" s="5" t="str">
        <f>LOWER(SUBSTITUTE(SUBSTITUTE(SUBSTITUTE(SUBSTITUTE(SUBSTITUTE('Ingest Template'!I753,"https:",""),"www.",""),"/",""),"?hl=en",""),"instagram.com",""))</f>
        <v/>
      </c>
      <c r="V753" s="10" t="str">
        <f>'Ingest Template'!J753</f>
        <v/>
      </c>
      <c r="W753" s="10" t="str">
        <f>'Ingest Template'!K753</f>
        <v/>
      </c>
      <c r="X753" s="5"/>
      <c r="Y753" s="5" t="str">
        <f>SUBSTITUTE(SUBSTITUTE(SUBSTITUTE('Ingest Template'!L753,"http:",""),"https:",""),"/","")</f>
        <v/>
      </c>
      <c r="Z753" s="5" t="str">
        <f t="array" ref="Z753">IF('Ingest Template'!A753="Standard",(IF(ISBLANK('Ingest Template'!M753),"", 'Ingest Template'!M753&amp;"|DAR")),(IF(ISBLANK('Ingest Template'!M753),"", 'Ingest Template'!M753&amp;"|Operations - Core Title")))</f>
        <v/>
      </c>
      <c r="AA753" s="5"/>
      <c r="AB753" s="5" t="str">
        <f>'Ingest Template'!F753</f>
        <v/>
      </c>
      <c r="AC753" s="5"/>
      <c r="AD753" s="5"/>
      <c r="AE753" s="5"/>
      <c r="AF753" s="8"/>
      <c r="AG753" s="5" t="str">
        <f t="array" ref="AG753">IF('Ingest Template'!A753="Standard",(CONCATENATE(IF(ISBLANK('Ingest Template'!N753),"", 'Ingest Template'!N753&amp;"|DAR"),CHAR(10), IF(ISBLANK('Ingest Template'!O753),"", 'Ingest Template'!O753&amp;"|DAR"),CHAR(10), IF(ISBLANK('Ingest Template'!P753),"", 'Ingest Template'!P753&amp;"|DAR"))),(CONCATENATE(IF(ISBLANK('Ingest Template'!N753),"", 'Ingest Template'!N753&amp;"|Operations - Core Title"),CHAR(10), IF(ISBLANK('Ingest Template'!O753),"", 'Ingest Template'!O753&amp;"|Operations - Core Title"),CHAR(10), IF(ISBLANK('Ingest Template'!P753),"", 'Ingest Template'!P753&amp;"|Operations - Core Title"))))</f>
        <v>#|Operations - Core Title
</v>
      </c>
      <c r="AH753" s="5"/>
      <c r="AI753" s="5"/>
      <c r="AJ753" s="5"/>
      <c r="AK753" s="5"/>
      <c r="AL753" s="5"/>
    </row>
    <row r="754">
      <c r="A754" s="5"/>
      <c r="B754" s="5" t="str">
        <f>'Ingest Template'!B754&amp;IF('Ingest Template'!A754 = "Standard", " - DAR","")</f>
        <v/>
      </c>
      <c r="C754" s="6" t="str">
        <f>'Ingest Template'!C754</f>
        <v/>
      </c>
      <c r="D754" s="7" t="str">
        <f>'Ingest Template'!E754</f>
        <v/>
      </c>
      <c r="E754" s="5"/>
      <c r="F754" s="5"/>
      <c r="G754" s="5"/>
      <c r="H754" s="7"/>
      <c r="I754" s="5"/>
      <c r="J754" s="7" t="str">
        <f>'Ingest Template'!Q754</f>
        <v/>
      </c>
      <c r="K754" s="5" t="str">
        <f>'Ingest Template'!R754</f>
        <v/>
      </c>
      <c r="L754" s="8" t="s">
        <v>38</v>
      </c>
      <c r="M754" s="9"/>
      <c r="N754" s="5"/>
      <c r="O754" s="5"/>
      <c r="P754" s="5"/>
      <c r="Q754" s="5"/>
      <c r="R754" s="5" t="str">
        <f>'Ingest Template'!D754</f>
        <v/>
      </c>
      <c r="S754" s="5" t="str">
        <f>'Ingest Template'!G754</f>
        <v/>
      </c>
      <c r="T754" s="5" t="str">
        <f>'Ingest Template'!H754</f>
        <v/>
      </c>
      <c r="U754" s="5" t="str">
        <f>LOWER(SUBSTITUTE(SUBSTITUTE(SUBSTITUTE(SUBSTITUTE(SUBSTITUTE('Ingest Template'!I754,"https:",""),"www.",""),"/",""),"?hl=en",""),"instagram.com",""))</f>
        <v/>
      </c>
      <c r="V754" s="10" t="str">
        <f>'Ingest Template'!J754</f>
        <v/>
      </c>
      <c r="W754" s="10" t="str">
        <f>'Ingest Template'!K754</f>
        <v/>
      </c>
      <c r="X754" s="5"/>
      <c r="Y754" s="5" t="str">
        <f>SUBSTITUTE(SUBSTITUTE(SUBSTITUTE('Ingest Template'!L754,"http:",""),"https:",""),"/","")</f>
        <v/>
      </c>
      <c r="Z754" s="5" t="str">
        <f t="array" ref="Z754">IF('Ingest Template'!A754="Standard",(IF(ISBLANK('Ingest Template'!M754),"", 'Ingest Template'!M754&amp;"|DAR")),(IF(ISBLANK('Ingest Template'!M754),"", 'Ingest Template'!M754&amp;"|Operations - Core Title")))</f>
        <v/>
      </c>
      <c r="AA754" s="5"/>
      <c r="AB754" s="5" t="str">
        <f>'Ingest Template'!F754</f>
        <v/>
      </c>
      <c r="AC754" s="5"/>
      <c r="AD754" s="5"/>
      <c r="AE754" s="5"/>
      <c r="AF754" s="8"/>
      <c r="AG754" s="5" t="str">
        <f t="array" ref="AG754">IF('Ingest Template'!A754="Standard",(CONCATENATE(IF(ISBLANK('Ingest Template'!N754),"", 'Ingest Template'!N754&amp;"|DAR"),CHAR(10), IF(ISBLANK('Ingest Template'!O754),"", 'Ingest Template'!O754&amp;"|DAR"),CHAR(10), IF(ISBLANK('Ingest Template'!P754),"", 'Ingest Template'!P754&amp;"|DAR"))),(CONCATENATE(IF(ISBLANK('Ingest Template'!N754),"", 'Ingest Template'!N754&amp;"|Operations - Core Title"),CHAR(10), IF(ISBLANK('Ingest Template'!O754),"", 'Ingest Template'!O754&amp;"|Operations - Core Title"),CHAR(10), IF(ISBLANK('Ingest Template'!P754),"", 'Ingest Template'!P754&amp;"|Operations - Core Title"))))</f>
        <v>#|Operations - Core Title
</v>
      </c>
      <c r="AH754" s="5"/>
      <c r="AI754" s="5"/>
      <c r="AJ754" s="5"/>
      <c r="AK754" s="5"/>
      <c r="AL754" s="5"/>
    </row>
    <row r="755">
      <c r="A755" s="5"/>
      <c r="B755" s="5" t="str">
        <f>'Ingest Template'!B755&amp;IF('Ingest Template'!A755 = "Standard", " - DAR","")</f>
        <v/>
      </c>
      <c r="C755" s="6" t="str">
        <f>'Ingest Template'!C755</f>
        <v/>
      </c>
      <c r="D755" s="7" t="str">
        <f>'Ingest Template'!E755</f>
        <v/>
      </c>
      <c r="E755" s="5"/>
      <c r="F755" s="5"/>
      <c r="G755" s="5"/>
      <c r="H755" s="7"/>
      <c r="I755" s="5"/>
      <c r="J755" s="7" t="str">
        <f>'Ingest Template'!Q755</f>
        <v/>
      </c>
      <c r="K755" s="5" t="str">
        <f>'Ingest Template'!R755</f>
        <v/>
      </c>
      <c r="L755" s="8" t="s">
        <v>38</v>
      </c>
      <c r="M755" s="9"/>
      <c r="N755" s="5"/>
      <c r="O755" s="5"/>
      <c r="P755" s="5"/>
      <c r="Q755" s="5"/>
      <c r="R755" s="5" t="str">
        <f>'Ingest Template'!D755</f>
        <v/>
      </c>
      <c r="S755" s="5" t="str">
        <f>'Ingest Template'!G755</f>
        <v/>
      </c>
      <c r="T755" s="5" t="str">
        <f>'Ingest Template'!H755</f>
        <v/>
      </c>
      <c r="U755" s="5" t="str">
        <f>LOWER(SUBSTITUTE(SUBSTITUTE(SUBSTITUTE(SUBSTITUTE(SUBSTITUTE('Ingest Template'!I755,"https:",""),"www.",""),"/",""),"?hl=en",""),"instagram.com",""))</f>
        <v/>
      </c>
      <c r="V755" s="10" t="str">
        <f>'Ingest Template'!J755</f>
        <v/>
      </c>
      <c r="W755" s="10" t="str">
        <f>'Ingest Template'!K755</f>
        <v/>
      </c>
      <c r="X755" s="5"/>
      <c r="Y755" s="5" t="str">
        <f>SUBSTITUTE(SUBSTITUTE(SUBSTITUTE('Ingest Template'!L755,"http:",""),"https:",""),"/","")</f>
        <v/>
      </c>
      <c r="Z755" s="5" t="str">
        <f t="array" ref="Z755">IF('Ingest Template'!A755="Standard",(IF(ISBLANK('Ingest Template'!M755),"", 'Ingest Template'!M755&amp;"|DAR")),(IF(ISBLANK('Ingest Template'!M755),"", 'Ingest Template'!M755&amp;"|Operations - Core Title")))</f>
        <v/>
      </c>
      <c r="AA755" s="5"/>
      <c r="AB755" s="5" t="str">
        <f>'Ingest Template'!F755</f>
        <v/>
      </c>
      <c r="AC755" s="5"/>
      <c r="AD755" s="5"/>
      <c r="AE755" s="5"/>
      <c r="AF755" s="8"/>
      <c r="AG755" s="5" t="str">
        <f t="array" ref="AG755">IF('Ingest Template'!A755="Standard",(CONCATENATE(IF(ISBLANK('Ingest Template'!N755),"", 'Ingest Template'!N755&amp;"|DAR"),CHAR(10), IF(ISBLANK('Ingest Template'!O755),"", 'Ingest Template'!O755&amp;"|DAR"),CHAR(10), IF(ISBLANK('Ingest Template'!P755),"", 'Ingest Template'!P755&amp;"|DAR"))),(CONCATENATE(IF(ISBLANK('Ingest Template'!N755),"", 'Ingest Template'!N755&amp;"|Operations - Core Title"),CHAR(10), IF(ISBLANK('Ingest Template'!O755),"", 'Ingest Template'!O755&amp;"|Operations - Core Title"),CHAR(10), IF(ISBLANK('Ingest Template'!P755),"", 'Ingest Template'!P755&amp;"|Operations - Core Title"))))</f>
        <v>#|Operations - Core Title
</v>
      </c>
      <c r="AH755" s="5"/>
      <c r="AI755" s="5"/>
      <c r="AJ755" s="5"/>
      <c r="AK755" s="5"/>
      <c r="AL755" s="5"/>
    </row>
    <row r="756">
      <c r="A756" s="5"/>
      <c r="B756" s="5" t="str">
        <f>'Ingest Template'!B756&amp;IF('Ingest Template'!A756 = "Standard", " - DAR","")</f>
        <v/>
      </c>
      <c r="C756" s="6" t="str">
        <f>'Ingest Template'!C756</f>
        <v/>
      </c>
      <c r="D756" s="7" t="str">
        <f>'Ingest Template'!E756</f>
        <v/>
      </c>
      <c r="E756" s="5"/>
      <c r="F756" s="5"/>
      <c r="G756" s="5"/>
      <c r="H756" s="7"/>
      <c r="I756" s="5"/>
      <c r="J756" s="7" t="str">
        <f>'Ingest Template'!Q756</f>
        <v/>
      </c>
      <c r="K756" s="5" t="str">
        <f>'Ingest Template'!R756</f>
        <v/>
      </c>
      <c r="L756" s="8" t="s">
        <v>38</v>
      </c>
      <c r="M756" s="9"/>
      <c r="N756" s="5"/>
      <c r="O756" s="5"/>
      <c r="P756" s="5"/>
      <c r="Q756" s="5"/>
      <c r="R756" s="5" t="str">
        <f>'Ingest Template'!D756</f>
        <v/>
      </c>
      <c r="S756" s="5" t="str">
        <f>'Ingest Template'!G756</f>
        <v/>
      </c>
      <c r="T756" s="5" t="str">
        <f>'Ingest Template'!H756</f>
        <v/>
      </c>
      <c r="U756" s="5" t="str">
        <f>LOWER(SUBSTITUTE(SUBSTITUTE(SUBSTITUTE(SUBSTITUTE(SUBSTITUTE('Ingest Template'!I756,"https:",""),"www.",""),"/",""),"?hl=en",""),"instagram.com",""))</f>
        <v/>
      </c>
      <c r="V756" s="10" t="str">
        <f>'Ingest Template'!J756</f>
        <v/>
      </c>
      <c r="W756" s="10" t="str">
        <f>'Ingest Template'!K756</f>
        <v/>
      </c>
      <c r="X756" s="5"/>
      <c r="Y756" s="5" t="str">
        <f>SUBSTITUTE(SUBSTITUTE(SUBSTITUTE('Ingest Template'!L756,"http:",""),"https:",""),"/","")</f>
        <v/>
      </c>
      <c r="Z756" s="5" t="str">
        <f t="array" ref="Z756">IF('Ingest Template'!A756="Standard",(IF(ISBLANK('Ingest Template'!M756),"", 'Ingest Template'!M756&amp;"|DAR")),(IF(ISBLANK('Ingest Template'!M756),"", 'Ingest Template'!M756&amp;"|Operations - Core Title")))</f>
        <v/>
      </c>
      <c r="AA756" s="5"/>
      <c r="AB756" s="5" t="str">
        <f>'Ingest Template'!F756</f>
        <v/>
      </c>
      <c r="AC756" s="5"/>
      <c r="AD756" s="5"/>
      <c r="AE756" s="5"/>
      <c r="AF756" s="8"/>
      <c r="AG756" s="5" t="str">
        <f t="array" ref="AG756">IF('Ingest Template'!A756="Standard",(CONCATENATE(IF(ISBLANK('Ingest Template'!N756),"", 'Ingest Template'!N756&amp;"|DAR"),CHAR(10), IF(ISBLANK('Ingest Template'!O756),"", 'Ingest Template'!O756&amp;"|DAR"),CHAR(10), IF(ISBLANK('Ingest Template'!P756),"", 'Ingest Template'!P756&amp;"|DAR"))),(CONCATENATE(IF(ISBLANK('Ingest Template'!N756),"", 'Ingest Template'!N756&amp;"|Operations - Core Title"),CHAR(10), IF(ISBLANK('Ingest Template'!O756),"", 'Ingest Template'!O756&amp;"|Operations - Core Title"),CHAR(10), IF(ISBLANK('Ingest Template'!P756),"", 'Ingest Template'!P756&amp;"|Operations - Core Title"))))</f>
        <v>#|Operations - Core Title
</v>
      </c>
      <c r="AH756" s="5"/>
      <c r="AI756" s="5"/>
      <c r="AJ756" s="5"/>
      <c r="AK756" s="5"/>
      <c r="AL756" s="5"/>
    </row>
    <row r="757">
      <c r="A757" s="5"/>
      <c r="B757" s="5" t="str">
        <f>'Ingest Template'!B757&amp;IF('Ingest Template'!A757 = "Standard", " - DAR","")</f>
        <v/>
      </c>
      <c r="C757" s="6" t="str">
        <f>'Ingest Template'!C757</f>
        <v/>
      </c>
      <c r="D757" s="7" t="str">
        <f>'Ingest Template'!E757</f>
        <v/>
      </c>
      <c r="E757" s="5"/>
      <c r="F757" s="5"/>
      <c r="G757" s="5"/>
      <c r="H757" s="7"/>
      <c r="I757" s="5"/>
      <c r="J757" s="7" t="str">
        <f>'Ingest Template'!Q757</f>
        <v/>
      </c>
      <c r="K757" s="5" t="str">
        <f>'Ingest Template'!R757</f>
        <v/>
      </c>
      <c r="L757" s="8" t="s">
        <v>38</v>
      </c>
      <c r="M757" s="9"/>
      <c r="N757" s="5"/>
      <c r="O757" s="5"/>
      <c r="P757" s="5"/>
      <c r="Q757" s="5"/>
      <c r="R757" s="5" t="str">
        <f>'Ingest Template'!D757</f>
        <v/>
      </c>
      <c r="S757" s="5" t="str">
        <f>'Ingest Template'!G757</f>
        <v/>
      </c>
      <c r="T757" s="5" t="str">
        <f>'Ingest Template'!H757</f>
        <v/>
      </c>
      <c r="U757" s="5" t="str">
        <f>LOWER(SUBSTITUTE(SUBSTITUTE(SUBSTITUTE(SUBSTITUTE(SUBSTITUTE('Ingest Template'!I757,"https:",""),"www.",""),"/",""),"?hl=en",""),"instagram.com",""))</f>
        <v/>
      </c>
      <c r="V757" s="10" t="str">
        <f>'Ingest Template'!J757</f>
        <v/>
      </c>
      <c r="W757" s="10" t="str">
        <f>'Ingest Template'!K757</f>
        <v/>
      </c>
      <c r="X757" s="5"/>
      <c r="Y757" s="5" t="str">
        <f>SUBSTITUTE(SUBSTITUTE(SUBSTITUTE('Ingest Template'!L757,"http:",""),"https:",""),"/","")</f>
        <v/>
      </c>
      <c r="Z757" s="5" t="str">
        <f t="array" ref="Z757">IF('Ingest Template'!A757="Standard",(IF(ISBLANK('Ingest Template'!M757),"", 'Ingest Template'!M757&amp;"|DAR")),(IF(ISBLANK('Ingest Template'!M757),"", 'Ingest Template'!M757&amp;"|Operations - Core Title")))</f>
        <v/>
      </c>
      <c r="AA757" s="5"/>
      <c r="AB757" s="5" t="str">
        <f>'Ingest Template'!F757</f>
        <v/>
      </c>
      <c r="AC757" s="5"/>
      <c r="AD757" s="5"/>
      <c r="AE757" s="5"/>
      <c r="AF757" s="8"/>
      <c r="AG757" s="5" t="str">
        <f t="array" ref="AG757">IF('Ingest Template'!A757="Standard",(CONCATENATE(IF(ISBLANK('Ingest Template'!N757),"", 'Ingest Template'!N757&amp;"|DAR"),CHAR(10), IF(ISBLANK('Ingest Template'!O757),"", 'Ingest Template'!O757&amp;"|DAR"),CHAR(10), IF(ISBLANK('Ingest Template'!P757),"", 'Ingest Template'!P757&amp;"|DAR"))),(CONCATENATE(IF(ISBLANK('Ingest Template'!N757),"", 'Ingest Template'!N757&amp;"|Operations - Core Title"),CHAR(10), IF(ISBLANK('Ingest Template'!O757),"", 'Ingest Template'!O757&amp;"|Operations - Core Title"),CHAR(10), IF(ISBLANK('Ingest Template'!P757),"", 'Ingest Template'!P757&amp;"|Operations - Core Title"))))</f>
        <v>#|Operations - Core Title
</v>
      </c>
      <c r="AH757" s="5"/>
      <c r="AI757" s="5"/>
      <c r="AJ757" s="5"/>
      <c r="AK757" s="5"/>
      <c r="AL757" s="5"/>
    </row>
    <row r="758">
      <c r="A758" s="5"/>
      <c r="B758" s="5" t="str">
        <f>'Ingest Template'!B758&amp;IF('Ingest Template'!A758 = "Standard", " - DAR","")</f>
        <v/>
      </c>
      <c r="C758" s="6" t="str">
        <f>'Ingest Template'!C758</f>
        <v/>
      </c>
      <c r="D758" s="7" t="str">
        <f>'Ingest Template'!E758</f>
        <v/>
      </c>
      <c r="E758" s="5"/>
      <c r="F758" s="5"/>
      <c r="G758" s="5"/>
      <c r="H758" s="7"/>
      <c r="I758" s="5"/>
      <c r="J758" s="7" t="str">
        <f>'Ingest Template'!Q758</f>
        <v/>
      </c>
      <c r="K758" s="5" t="str">
        <f>'Ingest Template'!R758</f>
        <v/>
      </c>
      <c r="L758" s="8" t="s">
        <v>38</v>
      </c>
      <c r="M758" s="9"/>
      <c r="N758" s="5"/>
      <c r="O758" s="5"/>
      <c r="P758" s="5"/>
      <c r="Q758" s="5"/>
      <c r="R758" s="5" t="str">
        <f>'Ingest Template'!D758</f>
        <v/>
      </c>
      <c r="S758" s="5" t="str">
        <f>'Ingest Template'!G758</f>
        <v/>
      </c>
      <c r="T758" s="5" t="str">
        <f>'Ingest Template'!H758</f>
        <v/>
      </c>
      <c r="U758" s="5" t="str">
        <f>LOWER(SUBSTITUTE(SUBSTITUTE(SUBSTITUTE(SUBSTITUTE(SUBSTITUTE('Ingest Template'!I758,"https:",""),"www.",""),"/",""),"?hl=en",""),"instagram.com",""))</f>
        <v/>
      </c>
      <c r="V758" s="10" t="str">
        <f>'Ingest Template'!J758</f>
        <v/>
      </c>
      <c r="W758" s="10" t="str">
        <f>'Ingest Template'!K758</f>
        <v/>
      </c>
      <c r="X758" s="5"/>
      <c r="Y758" s="5" t="str">
        <f>SUBSTITUTE(SUBSTITUTE(SUBSTITUTE('Ingest Template'!L758,"http:",""),"https:",""),"/","")</f>
        <v/>
      </c>
      <c r="Z758" s="5" t="str">
        <f t="array" ref="Z758">IF('Ingest Template'!A758="Standard",(IF(ISBLANK('Ingest Template'!M758),"", 'Ingest Template'!M758&amp;"|DAR")),(IF(ISBLANK('Ingest Template'!M758),"", 'Ingest Template'!M758&amp;"|Operations - Core Title")))</f>
        <v/>
      </c>
      <c r="AA758" s="5"/>
      <c r="AB758" s="5" t="str">
        <f>'Ingest Template'!F758</f>
        <v/>
      </c>
      <c r="AC758" s="5"/>
      <c r="AD758" s="5"/>
      <c r="AE758" s="5"/>
      <c r="AF758" s="8"/>
      <c r="AG758" s="5" t="str">
        <f t="array" ref="AG758">IF('Ingest Template'!A758="Standard",(CONCATENATE(IF(ISBLANK('Ingest Template'!N758),"", 'Ingest Template'!N758&amp;"|DAR"),CHAR(10), IF(ISBLANK('Ingest Template'!O758),"", 'Ingest Template'!O758&amp;"|DAR"),CHAR(10), IF(ISBLANK('Ingest Template'!P758),"", 'Ingest Template'!P758&amp;"|DAR"))),(CONCATENATE(IF(ISBLANK('Ingest Template'!N758),"", 'Ingest Template'!N758&amp;"|Operations - Core Title"),CHAR(10), IF(ISBLANK('Ingest Template'!O758),"", 'Ingest Template'!O758&amp;"|Operations - Core Title"),CHAR(10), IF(ISBLANK('Ingest Template'!P758),"", 'Ingest Template'!P758&amp;"|Operations - Core Title"))))</f>
        <v>#|Operations - Core Title
</v>
      </c>
      <c r="AH758" s="5"/>
      <c r="AI758" s="5"/>
      <c r="AJ758" s="5"/>
      <c r="AK758" s="5"/>
      <c r="AL758" s="5"/>
    </row>
    <row r="759">
      <c r="A759" s="5"/>
      <c r="B759" s="5" t="str">
        <f>'Ingest Template'!B759&amp;IF('Ingest Template'!A759 = "Standard", " - DAR","")</f>
        <v/>
      </c>
      <c r="C759" s="6" t="str">
        <f>'Ingest Template'!C759</f>
        <v/>
      </c>
      <c r="D759" s="7" t="str">
        <f>'Ingest Template'!E759</f>
        <v/>
      </c>
      <c r="E759" s="5"/>
      <c r="F759" s="5"/>
      <c r="G759" s="5"/>
      <c r="H759" s="7"/>
      <c r="I759" s="5"/>
      <c r="J759" s="7" t="str">
        <f>'Ingest Template'!Q759</f>
        <v/>
      </c>
      <c r="K759" s="5" t="str">
        <f>'Ingest Template'!R759</f>
        <v/>
      </c>
      <c r="L759" s="8" t="s">
        <v>38</v>
      </c>
      <c r="M759" s="9"/>
      <c r="N759" s="5"/>
      <c r="O759" s="5"/>
      <c r="P759" s="5"/>
      <c r="Q759" s="5"/>
      <c r="R759" s="5" t="str">
        <f>'Ingest Template'!D759</f>
        <v/>
      </c>
      <c r="S759" s="5" t="str">
        <f>'Ingest Template'!G759</f>
        <v/>
      </c>
      <c r="T759" s="5" t="str">
        <f>'Ingest Template'!H759</f>
        <v/>
      </c>
      <c r="U759" s="5" t="str">
        <f>LOWER(SUBSTITUTE(SUBSTITUTE(SUBSTITUTE(SUBSTITUTE(SUBSTITUTE('Ingest Template'!I759,"https:",""),"www.",""),"/",""),"?hl=en",""),"instagram.com",""))</f>
        <v/>
      </c>
      <c r="V759" s="10" t="str">
        <f>'Ingest Template'!J759</f>
        <v/>
      </c>
      <c r="W759" s="10" t="str">
        <f>'Ingest Template'!K759</f>
        <v/>
      </c>
      <c r="X759" s="5"/>
      <c r="Y759" s="5" t="str">
        <f>SUBSTITUTE(SUBSTITUTE(SUBSTITUTE('Ingest Template'!L759,"http:",""),"https:",""),"/","")</f>
        <v/>
      </c>
      <c r="Z759" s="5" t="str">
        <f t="array" ref="Z759">IF('Ingest Template'!A759="Standard",(IF(ISBLANK('Ingest Template'!M759),"", 'Ingest Template'!M759&amp;"|DAR")),(IF(ISBLANK('Ingest Template'!M759),"", 'Ingest Template'!M759&amp;"|Operations - Core Title")))</f>
        <v/>
      </c>
      <c r="AA759" s="5"/>
      <c r="AB759" s="5" t="str">
        <f>'Ingest Template'!F759</f>
        <v/>
      </c>
      <c r="AC759" s="5"/>
      <c r="AD759" s="5"/>
      <c r="AE759" s="5"/>
      <c r="AF759" s="8"/>
      <c r="AG759" s="5" t="str">
        <f t="array" ref="AG759">IF('Ingest Template'!A759="Standard",(CONCATENATE(IF(ISBLANK('Ingest Template'!N759),"", 'Ingest Template'!N759&amp;"|DAR"),CHAR(10), IF(ISBLANK('Ingest Template'!O759),"", 'Ingest Template'!O759&amp;"|DAR"),CHAR(10), IF(ISBLANK('Ingest Template'!P759),"", 'Ingest Template'!P759&amp;"|DAR"))),(CONCATENATE(IF(ISBLANK('Ingest Template'!N759),"", 'Ingest Template'!N759&amp;"|Operations - Core Title"),CHAR(10), IF(ISBLANK('Ingest Template'!O759),"", 'Ingest Template'!O759&amp;"|Operations - Core Title"),CHAR(10), IF(ISBLANK('Ingest Template'!P759),"", 'Ingest Template'!P759&amp;"|Operations - Core Title"))))</f>
        <v>#|Operations - Core Title
</v>
      </c>
      <c r="AH759" s="5"/>
      <c r="AI759" s="5"/>
      <c r="AJ759" s="5"/>
      <c r="AK759" s="5"/>
      <c r="AL759" s="5"/>
    </row>
    <row r="760">
      <c r="A760" s="5"/>
      <c r="B760" s="5" t="str">
        <f>'Ingest Template'!B760&amp;IF('Ingest Template'!A760 = "Standard", " - DAR","")</f>
        <v/>
      </c>
      <c r="C760" s="6" t="str">
        <f>'Ingest Template'!C760</f>
        <v/>
      </c>
      <c r="D760" s="7" t="str">
        <f>'Ingest Template'!E760</f>
        <v/>
      </c>
      <c r="E760" s="5"/>
      <c r="F760" s="5"/>
      <c r="G760" s="5"/>
      <c r="H760" s="7"/>
      <c r="I760" s="5"/>
      <c r="J760" s="7" t="str">
        <f>'Ingest Template'!Q760</f>
        <v/>
      </c>
      <c r="K760" s="5" t="str">
        <f>'Ingest Template'!R760</f>
        <v/>
      </c>
      <c r="L760" s="8" t="s">
        <v>38</v>
      </c>
      <c r="M760" s="9"/>
      <c r="N760" s="5"/>
      <c r="O760" s="5"/>
      <c r="P760" s="5"/>
      <c r="Q760" s="5"/>
      <c r="R760" s="5" t="str">
        <f>'Ingest Template'!D760</f>
        <v/>
      </c>
      <c r="S760" s="5" t="str">
        <f>'Ingest Template'!G760</f>
        <v/>
      </c>
      <c r="T760" s="5" t="str">
        <f>'Ingest Template'!H760</f>
        <v/>
      </c>
      <c r="U760" s="5" t="str">
        <f>LOWER(SUBSTITUTE(SUBSTITUTE(SUBSTITUTE(SUBSTITUTE(SUBSTITUTE('Ingest Template'!I760,"https:",""),"www.",""),"/",""),"?hl=en",""),"instagram.com",""))</f>
        <v/>
      </c>
      <c r="V760" s="10" t="str">
        <f>'Ingest Template'!J760</f>
        <v/>
      </c>
      <c r="W760" s="10" t="str">
        <f>'Ingest Template'!K760</f>
        <v/>
      </c>
      <c r="X760" s="5"/>
      <c r="Y760" s="5" t="str">
        <f>SUBSTITUTE(SUBSTITUTE(SUBSTITUTE('Ingest Template'!L760,"http:",""),"https:",""),"/","")</f>
        <v/>
      </c>
      <c r="Z760" s="5" t="str">
        <f t="array" ref="Z760">IF('Ingest Template'!A760="Standard",(IF(ISBLANK('Ingest Template'!M760),"", 'Ingest Template'!M760&amp;"|DAR")),(IF(ISBLANK('Ingest Template'!M760),"", 'Ingest Template'!M760&amp;"|Operations - Core Title")))</f>
        <v/>
      </c>
      <c r="AA760" s="5"/>
      <c r="AB760" s="5" t="str">
        <f>'Ingest Template'!F760</f>
        <v/>
      </c>
      <c r="AC760" s="5"/>
      <c r="AD760" s="5"/>
      <c r="AE760" s="5"/>
      <c r="AF760" s="8"/>
      <c r="AG760" s="5" t="str">
        <f t="array" ref="AG760">IF('Ingest Template'!A760="Standard",(CONCATENATE(IF(ISBLANK('Ingest Template'!N760),"", 'Ingest Template'!N760&amp;"|DAR"),CHAR(10), IF(ISBLANK('Ingest Template'!O760),"", 'Ingest Template'!O760&amp;"|DAR"),CHAR(10), IF(ISBLANK('Ingest Template'!P760),"", 'Ingest Template'!P760&amp;"|DAR"))),(CONCATENATE(IF(ISBLANK('Ingest Template'!N760),"", 'Ingest Template'!N760&amp;"|Operations - Core Title"),CHAR(10), IF(ISBLANK('Ingest Template'!O760),"", 'Ingest Template'!O760&amp;"|Operations - Core Title"),CHAR(10), IF(ISBLANK('Ingest Template'!P760),"", 'Ingest Template'!P760&amp;"|Operations - Core Title"))))</f>
        <v>#|Operations - Core Title
</v>
      </c>
      <c r="AH760" s="5"/>
      <c r="AI760" s="5"/>
      <c r="AJ760" s="5"/>
      <c r="AK760" s="5"/>
      <c r="AL760" s="5"/>
    </row>
    <row r="761">
      <c r="A761" s="5"/>
      <c r="B761" s="5" t="str">
        <f>'Ingest Template'!B761&amp;IF('Ingest Template'!A761 = "Standard", " - DAR","")</f>
        <v/>
      </c>
      <c r="C761" s="6" t="str">
        <f>'Ingest Template'!C761</f>
        <v/>
      </c>
      <c r="D761" s="7" t="str">
        <f>'Ingest Template'!E761</f>
        <v/>
      </c>
      <c r="E761" s="5"/>
      <c r="F761" s="5"/>
      <c r="G761" s="5"/>
      <c r="H761" s="7"/>
      <c r="I761" s="5"/>
      <c r="J761" s="7" t="str">
        <f>'Ingest Template'!Q761</f>
        <v/>
      </c>
      <c r="K761" s="5" t="str">
        <f>'Ingest Template'!R761</f>
        <v/>
      </c>
      <c r="L761" s="8" t="s">
        <v>38</v>
      </c>
      <c r="M761" s="9"/>
      <c r="N761" s="5"/>
      <c r="O761" s="5"/>
      <c r="P761" s="5"/>
      <c r="Q761" s="5"/>
      <c r="R761" s="5" t="str">
        <f>'Ingest Template'!D761</f>
        <v/>
      </c>
      <c r="S761" s="5" t="str">
        <f>'Ingest Template'!G761</f>
        <v/>
      </c>
      <c r="T761" s="5" t="str">
        <f>'Ingest Template'!H761</f>
        <v/>
      </c>
      <c r="U761" s="5" t="str">
        <f>LOWER(SUBSTITUTE(SUBSTITUTE(SUBSTITUTE(SUBSTITUTE(SUBSTITUTE('Ingest Template'!I761,"https:",""),"www.",""),"/",""),"?hl=en",""),"instagram.com",""))</f>
        <v/>
      </c>
      <c r="V761" s="10" t="str">
        <f>'Ingest Template'!J761</f>
        <v/>
      </c>
      <c r="W761" s="10" t="str">
        <f>'Ingest Template'!K761</f>
        <v/>
      </c>
      <c r="X761" s="5"/>
      <c r="Y761" s="5" t="str">
        <f>SUBSTITUTE(SUBSTITUTE(SUBSTITUTE('Ingest Template'!L761,"http:",""),"https:",""),"/","")</f>
        <v/>
      </c>
      <c r="Z761" s="5" t="str">
        <f t="array" ref="Z761">IF('Ingest Template'!A761="Standard",(IF(ISBLANK('Ingest Template'!M761),"", 'Ingest Template'!M761&amp;"|DAR")),(IF(ISBLANK('Ingest Template'!M761),"", 'Ingest Template'!M761&amp;"|Operations - Core Title")))</f>
        <v/>
      </c>
      <c r="AA761" s="5"/>
      <c r="AB761" s="5" t="str">
        <f>'Ingest Template'!F761</f>
        <v/>
      </c>
      <c r="AC761" s="5"/>
      <c r="AD761" s="5"/>
      <c r="AE761" s="5"/>
      <c r="AF761" s="8"/>
      <c r="AG761" s="5" t="str">
        <f t="array" ref="AG761">IF('Ingest Template'!A761="Standard",(CONCATENATE(IF(ISBLANK('Ingest Template'!N761),"", 'Ingest Template'!N761&amp;"|DAR"),CHAR(10), IF(ISBLANK('Ingest Template'!O761),"", 'Ingest Template'!O761&amp;"|DAR"),CHAR(10), IF(ISBLANK('Ingest Template'!P761),"", 'Ingest Template'!P761&amp;"|DAR"))),(CONCATENATE(IF(ISBLANK('Ingest Template'!N761),"", 'Ingest Template'!N761&amp;"|Operations - Core Title"),CHAR(10), IF(ISBLANK('Ingest Template'!O761),"", 'Ingest Template'!O761&amp;"|Operations - Core Title"),CHAR(10), IF(ISBLANK('Ingest Template'!P761),"", 'Ingest Template'!P761&amp;"|Operations - Core Title"))))</f>
        <v>#|Operations - Core Title
</v>
      </c>
      <c r="AH761" s="5"/>
      <c r="AI761" s="5"/>
      <c r="AJ761" s="5"/>
      <c r="AK761" s="5"/>
      <c r="AL761" s="5"/>
    </row>
    <row r="762">
      <c r="A762" s="5"/>
      <c r="B762" s="5" t="str">
        <f>'Ingest Template'!B762&amp;IF('Ingest Template'!A762 = "Standard", " - DAR","")</f>
        <v/>
      </c>
      <c r="C762" s="6" t="str">
        <f>'Ingest Template'!C762</f>
        <v/>
      </c>
      <c r="D762" s="7" t="str">
        <f>'Ingest Template'!E762</f>
        <v/>
      </c>
      <c r="E762" s="5"/>
      <c r="F762" s="5"/>
      <c r="G762" s="5"/>
      <c r="H762" s="7"/>
      <c r="I762" s="5"/>
      <c r="J762" s="7" t="str">
        <f>'Ingest Template'!Q762</f>
        <v/>
      </c>
      <c r="K762" s="5" t="str">
        <f>'Ingest Template'!R762</f>
        <v/>
      </c>
      <c r="L762" s="8" t="s">
        <v>38</v>
      </c>
      <c r="M762" s="9"/>
      <c r="N762" s="5"/>
      <c r="O762" s="5"/>
      <c r="P762" s="5"/>
      <c r="Q762" s="5"/>
      <c r="R762" s="5" t="str">
        <f>'Ingest Template'!D762</f>
        <v/>
      </c>
      <c r="S762" s="5" t="str">
        <f>'Ingest Template'!G762</f>
        <v/>
      </c>
      <c r="T762" s="5" t="str">
        <f>'Ingest Template'!H762</f>
        <v/>
      </c>
      <c r="U762" s="5" t="str">
        <f>LOWER(SUBSTITUTE(SUBSTITUTE(SUBSTITUTE(SUBSTITUTE(SUBSTITUTE('Ingest Template'!I762,"https:",""),"www.",""),"/",""),"?hl=en",""),"instagram.com",""))</f>
        <v/>
      </c>
      <c r="V762" s="10" t="str">
        <f>'Ingest Template'!J762</f>
        <v/>
      </c>
      <c r="W762" s="10" t="str">
        <f>'Ingest Template'!K762</f>
        <v/>
      </c>
      <c r="X762" s="5"/>
      <c r="Y762" s="5" t="str">
        <f>SUBSTITUTE(SUBSTITUTE(SUBSTITUTE('Ingest Template'!L762,"http:",""),"https:",""),"/","")</f>
        <v/>
      </c>
      <c r="Z762" s="5" t="str">
        <f t="array" ref="Z762">IF('Ingest Template'!A762="Standard",(IF(ISBLANK('Ingest Template'!M762),"", 'Ingest Template'!M762&amp;"|DAR")),(IF(ISBLANK('Ingest Template'!M762),"", 'Ingest Template'!M762&amp;"|Operations - Core Title")))</f>
        <v/>
      </c>
      <c r="AA762" s="5"/>
      <c r="AB762" s="5" t="str">
        <f>'Ingest Template'!F762</f>
        <v/>
      </c>
      <c r="AC762" s="5"/>
      <c r="AD762" s="5"/>
      <c r="AE762" s="5"/>
      <c r="AF762" s="8"/>
      <c r="AG762" s="5" t="str">
        <f t="array" ref="AG762">IF('Ingest Template'!A762="Standard",(CONCATENATE(IF(ISBLANK('Ingest Template'!N762),"", 'Ingest Template'!N762&amp;"|DAR"),CHAR(10), IF(ISBLANK('Ingest Template'!O762),"", 'Ingest Template'!O762&amp;"|DAR"),CHAR(10), IF(ISBLANK('Ingest Template'!P762),"", 'Ingest Template'!P762&amp;"|DAR"))),(CONCATENATE(IF(ISBLANK('Ingest Template'!N762),"", 'Ingest Template'!N762&amp;"|Operations - Core Title"),CHAR(10), IF(ISBLANK('Ingest Template'!O762),"", 'Ingest Template'!O762&amp;"|Operations - Core Title"),CHAR(10), IF(ISBLANK('Ingest Template'!P762),"", 'Ingest Template'!P762&amp;"|Operations - Core Title"))))</f>
        <v>#|Operations - Core Title
</v>
      </c>
      <c r="AH762" s="5"/>
      <c r="AI762" s="5"/>
      <c r="AJ762" s="5"/>
      <c r="AK762" s="5"/>
      <c r="AL762" s="5"/>
    </row>
    <row r="763">
      <c r="A763" s="5"/>
      <c r="B763" s="5" t="str">
        <f>'Ingest Template'!B763&amp;IF('Ingest Template'!A763 = "Standard", " - DAR","")</f>
        <v/>
      </c>
      <c r="C763" s="6" t="str">
        <f>'Ingest Template'!C763</f>
        <v/>
      </c>
      <c r="D763" s="7" t="str">
        <f>'Ingest Template'!E763</f>
        <v/>
      </c>
      <c r="E763" s="5"/>
      <c r="F763" s="5"/>
      <c r="G763" s="5"/>
      <c r="H763" s="7"/>
      <c r="I763" s="5"/>
      <c r="J763" s="7" t="str">
        <f>'Ingest Template'!Q763</f>
        <v/>
      </c>
      <c r="K763" s="5" t="str">
        <f>'Ingest Template'!R763</f>
        <v/>
      </c>
      <c r="L763" s="8" t="s">
        <v>38</v>
      </c>
      <c r="M763" s="9"/>
      <c r="N763" s="5"/>
      <c r="O763" s="5"/>
      <c r="P763" s="5"/>
      <c r="Q763" s="5"/>
      <c r="R763" s="5" t="str">
        <f>'Ingest Template'!D763</f>
        <v/>
      </c>
      <c r="S763" s="5" t="str">
        <f>'Ingest Template'!G763</f>
        <v/>
      </c>
      <c r="T763" s="5" t="str">
        <f>'Ingest Template'!H763</f>
        <v/>
      </c>
      <c r="U763" s="5" t="str">
        <f>LOWER(SUBSTITUTE(SUBSTITUTE(SUBSTITUTE(SUBSTITUTE(SUBSTITUTE('Ingest Template'!I763,"https:",""),"www.",""),"/",""),"?hl=en",""),"instagram.com",""))</f>
        <v/>
      </c>
      <c r="V763" s="10" t="str">
        <f>'Ingest Template'!J763</f>
        <v/>
      </c>
      <c r="W763" s="10" t="str">
        <f>'Ingest Template'!K763</f>
        <v/>
      </c>
      <c r="X763" s="5"/>
      <c r="Y763" s="5" t="str">
        <f>SUBSTITUTE(SUBSTITUTE(SUBSTITUTE('Ingest Template'!L763,"http:",""),"https:",""),"/","")</f>
        <v/>
      </c>
      <c r="Z763" s="5" t="str">
        <f t="array" ref="Z763">IF('Ingest Template'!A763="Standard",(IF(ISBLANK('Ingest Template'!M763),"", 'Ingest Template'!M763&amp;"|DAR")),(IF(ISBLANK('Ingest Template'!M763),"", 'Ingest Template'!M763&amp;"|Operations - Core Title")))</f>
        <v/>
      </c>
      <c r="AA763" s="5"/>
      <c r="AB763" s="5" t="str">
        <f>'Ingest Template'!F763</f>
        <v/>
      </c>
      <c r="AC763" s="5"/>
      <c r="AD763" s="5"/>
      <c r="AE763" s="5"/>
      <c r="AF763" s="8"/>
      <c r="AG763" s="5" t="str">
        <f t="array" ref="AG763">IF('Ingest Template'!A763="Standard",(CONCATENATE(IF(ISBLANK('Ingest Template'!N763),"", 'Ingest Template'!N763&amp;"|DAR"),CHAR(10), IF(ISBLANK('Ingest Template'!O763),"", 'Ingest Template'!O763&amp;"|DAR"),CHAR(10), IF(ISBLANK('Ingest Template'!P763),"", 'Ingest Template'!P763&amp;"|DAR"))),(CONCATENATE(IF(ISBLANK('Ingest Template'!N763),"", 'Ingest Template'!N763&amp;"|Operations - Core Title"),CHAR(10), IF(ISBLANK('Ingest Template'!O763),"", 'Ingest Template'!O763&amp;"|Operations - Core Title"),CHAR(10), IF(ISBLANK('Ingest Template'!P763),"", 'Ingest Template'!P763&amp;"|Operations - Core Title"))))</f>
        <v>#|Operations - Core Title
</v>
      </c>
      <c r="AH763" s="5"/>
      <c r="AI763" s="5"/>
      <c r="AJ763" s="5"/>
      <c r="AK763" s="5"/>
      <c r="AL763" s="5"/>
    </row>
    <row r="764">
      <c r="A764" s="5"/>
      <c r="B764" s="5" t="str">
        <f>'Ingest Template'!B764&amp;IF('Ingest Template'!A764 = "Standard", " - DAR","")</f>
        <v/>
      </c>
      <c r="C764" s="6" t="str">
        <f>'Ingest Template'!C764</f>
        <v/>
      </c>
      <c r="D764" s="7" t="str">
        <f>'Ingest Template'!E764</f>
        <v/>
      </c>
      <c r="E764" s="5"/>
      <c r="F764" s="5"/>
      <c r="G764" s="5"/>
      <c r="H764" s="7"/>
      <c r="I764" s="5"/>
      <c r="J764" s="7" t="str">
        <f>'Ingest Template'!Q764</f>
        <v/>
      </c>
      <c r="K764" s="5" t="str">
        <f>'Ingest Template'!R764</f>
        <v/>
      </c>
      <c r="L764" s="8" t="s">
        <v>38</v>
      </c>
      <c r="M764" s="9"/>
      <c r="N764" s="5"/>
      <c r="O764" s="5"/>
      <c r="P764" s="5"/>
      <c r="Q764" s="5"/>
      <c r="R764" s="5" t="str">
        <f>'Ingest Template'!D764</f>
        <v/>
      </c>
      <c r="S764" s="5" t="str">
        <f>'Ingest Template'!G764</f>
        <v/>
      </c>
      <c r="T764" s="5" t="str">
        <f>'Ingest Template'!H764</f>
        <v/>
      </c>
      <c r="U764" s="5" t="str">
        <f>LOWER(SUBSTITUTE(SUBSTITUTE(SUBSTITUTE(SUBSTITUTE(SUBSTITUTE('Ingest Template'!I764,"https:",""),"www.",""),"/",""),"?hl=en",""),"instagram.com",""))</f>
        <v/>
      </c>
      <c r="V764" s="10" t="str">
        <f>'Ingest Template'!J764</f>
        <v/>
      </c>
      <c r="W764" s="10" t="str">
        <f>'Ingest Template'!K764</f>
        <v/>
      </c>
      <c r="X764" s="5"/>
      <c r="Y764" s="5" t="str">
        <f>SUBSTITUTE(SUBSTITUTE(SUBSTITUTE('Ingest Template'!L764,"http:",""),"https:",""),"/","")</f>
        <v/>
      </c>
      <c r="Z764" s="5" t="str">
        <f t="array" ref="Z764">IF('Ingest Template'!A764="Standard",(IF(ISBLANK('Ingest Template'!M764),"", 'Ingest Template'!M764&amp;"|DAR")),(IF(ISBLANK('Ingest Template'!M764),"", 'Ingest Template'!M764&amp;"|Operations - Core Title")))</f>
        <v/>
      </c>
      <c r="AA764" s="5"/>
      <c r="AB764" s="5" t="str">
        <f>'Ingest Template'!F764</f>
        <v/>
      </c>
      <c r="AC764" s="5"/>
      <c r="AD764" s="5"/>
      <c r="AE764" s="5"/>
      <c r="AF764" s="8"/>
      <c r="AG764" s="5" t="str">
        <f t="array" ref="AG764">IF('Ingest Template'!A764="Standard",(CONCATENATE(IF(ISBLANK('Ingest Template'!N764),"", 'Ingest Template'!N764&amp;"|DAR"),CHAR(10), IF(ISBLANK('Ingest Template'!O764),"", 'Ingest Template'!O764&amp;"|DAR"),CHAR(10), IF(ISBLANK('Ingest Template'!P764),"", 'Ingest Template'!P764&amp;"|DAR"))),(CONCATENATE(IF(ISBLANK('Ingest Template'!N764),"", 'Ingest Template'!N764&amp;"|Operations - Core Title"),CHAR(10), IF(ISBLANK('Ingest Template'!O764),"", 'Ingest Template'!O764&amp;"|Operations - Core Title"),CHAR(10), IF(ISBLANK('Ingest Template'!P764),"", 'Ingest Template'!P764&amp;"|Operations - Core Title"))))</f>
        <v>#|Operations - Core Title
</v>
      </c>
      <c r="AH764" s="5"/>
      <c r="AI764" s="5"/>
      <c r="AJ764" s="5"/>
      <c r="AK764" s="5"/>
      <c r="AL764" s="5"/>
    </row>
    <row r="765">
      <c r="A765" s="5"/>
      <c r="B765" s="5" t="str">
        <f>'Ingest Template'!B765&amp;IF('Ingest Template'!A765 = "Standard", " - DAR","")</f>
        <v/>
      </c>
      <c r="C765" s="6" t="str">
        <f>'Ingest Template'!C765</f>
        <v/>
      </c>
      <c r="D765" s="7" t="str">
        <f>'Ingest Template'!E765</f>
        <v/>
      </c>
      <c r="E765" s="5"/>
      <c r="F765" s="5"/>
      <c r="G765" s="5"/>
      <c r="H765" s="7"/>
      <c r="I765" s="5"/>
      <c r="J765" s="7" t="str">
        <f>'Ingest Template'!Q765</f>
        <v/>
      </c>
      <c r="K765" s="5" t="str">
        <f>'Ingest Template'!R765</f>
        <v/>
      </c>
      <c r="L765" s="8" t="s">
        <v>38</v>
      </c>
      <c r="M765" s="9"/>
      <c r="N765" s="5"/>
      <c r="O765" s="5"/>
      <c r="P765" s="5"/>
      <c r="Q765" s="5"/>
      <c r="R765" s="5" t="str">
        <f>'Ingest Template'!D765</f>
        <v/>
      </c>
      <c r="S765" s="5" t="str">
        <f>'Ingest Template'!G765</f>
        <v/>
      </c>
      <c r="T765" s="5" t="str">
        <f>'Ingest Template'!H765</f>
        <v/>
      </c>
      <c r="U765" s="5" t="str">
        <f>LOWER(SUBSTITUTE(SUBSTITUTE(SUBSTITUTE(SUBSTITUTE(SUBSTITUTE('Ingest Template'!I765,"https:",""),"www.",""),"/",""),"?hl=en",""),"instagram.com",""))</f>
        <v/>
      </c>
      <c r="V765" s="10" t="str">
        <f>'Ingest Template'!J765</f>
        <v/>
      </c>
      <c r="W765" s="10" t="str">
        <f>'Ingest Template'!K765</f>
        <v/>
      </c>
      <c r="X765" s="5"/>
      <c r="Y765" s="5" t="str">
        <f>SUBSTITUTE(SUBSTITUTE(SUBSTITUTE('Ingest Template'!L765,"http:",""),"https:",""),"/","")</f>
        <v/>
      </c>
      <c r="Z765" s="5" t="str">
        <f t="array" ref="Z765">IF('Ingest Template'!A765="Standard",(IF(ISBLANK('Ingest Template'!M765),"", 'Ingest Template'!M765&amp;"|DAR")),(IF(ISBLANK('Ingest Template'!M765),"", 'Ingest Template'!M765&amp;"|Operations - Core Title")))</f>
        <v/>
      </c>
      <c r="AA765" s="5"/>
      <c r="AB765" s="5" t="str">
        <f>'Ingest Template'!F765</f>
        <v/>
      </c>
      <c r="AC765" s="5"/>
      <c r="AD765" s="5"/>
      <c r="AE765" s="5"/>
      <c r="AF765" s="8"/>
      <c r="AG765" s="5" t="str">
        <f t="array" ref="AG765">IF('Ingest Template'!A765="Standard",(CONCATENATE(IF(ISBLANK('Ingest Template'!N765),"", 'Ingest Template'!N765&amp;"|DAR"),CHAR(10), IF(ISBLANK('Ingest Template'!O765),"", 'Ingest Template'!O765&amp;"|DAR"),CHAR(10), IF(ISBLANK('Ingest Template'!P765),"", 'Ingest Template'!P765&amp;"|DAR"))),(CONCATENATE(IF(ISBLANK('Ingest Template'!N765),"", 'Ingest Template'!N765&amp;"|Operations - Core Title"),CHAR(10), IF(ISBLANK('Ingest Template'!O765),"", 'Ingest Template'!O765&amp;"|Operations - Core Title"),CHAR(10), IF(ISBLANK('Ingest Template'!P765),"", 'Ingest Template'!P765&amp;"|Operations - Core Title"))))</f>
        <v>#|Operations - Core Title
</v>
      </c>
      <c r="AH765" s="5"/>
      <c r="AI765" s="5"/>
      <c r="AJ765" s="5"/>
      <c r="AK765" s="5"/>
      <c r="AL765" s="5"/>
    </row>
    <row r="766">
      <c r="A766" s="5"/>
      <c r="B766" s="5" t="str">
        <f>'Ingest Template'!B766&amp;IF('Ingest Template'!A766 = "Standard", " - DAR","")</f>
        <v/>
      </c>
      <c r="C766" s="6" t="str">
        <f>'Ingest Template'!C766</f>
        <v/>
      </c>
      <c r="D766" s="7" t="str">
        <f>'Ingest Template'!E766</f>
        <v/>
      </c>
      <c r="E766" s="5"/>
      <c r="F766" s="5"/>
      <c r="G766" s="5"/>
      <c r="H766" s="7"/>
      <c r="I766" s="5"/>
      <c r="J766" s="7" t="str">
        <f>'Ingest Template'!Q766</f>
        <v/>
      </c>
      <c r="K766" s="5" t="str">
        <f>'Ingest Template'!R766</f>
        <v/>
      </c>
      <c r="L766" s="8" t="s">
        <v>38</v>
      </c>
      <c r="M766" s="9"/>
      <c r="N766" s="5"/>
      <c r="O766" s="5"/>
      <c r="P766" s="5"/>
      <c r="Q766" s="5"/>
      <c r="R766" s="5" t="str">
        <f>'Ingest Template'!D766</f>
        <v/>
      </c>
      <c r="S766" s="5" t="str">
        <f>'Ingest Template'!G766</f>
        <v/>
      </c>
      <c r="T766" s="5" t="str">
        <f>'Ingest Template'!H766</f>
        <v/>
      </c>
      <c r="U766" s="5" t="str">
        <f>LOWER(SUBSTITUTE(SUBSTITUTE(SUBSTITUTE(SUBSTITUTE(SUBSTITUTE('Ingest Template'!I766,"https:",""),"www.",""),"/",""),"?hl=en",""),"instagram.com",""))</f>
        <v/>
      </c>
      <c r="V766" s="10" t="str">
        <f>'Ingest Template'!J766</f>
        <v/>
      </c>
      <c r="W766" s="10" t="str">
        <f>'Ingest Template'!K766</f>
        <v/>
      </c>
      <c r="X766" s="5"/>
      <c r="Y766" s="5" t="str">
        <f>SUBSTITUTE(SUBSTITUTE(SUBSTITUTE('Ingest Template'!L766,"http:",""),"https:",""),"/","")</f>
        <v/>
      </c>
      <c r="Z766" s="5" t="str">
        <f t="array" ref="Z766">IF('Ingest Template'!A766="Standard",(IF(ISBLANK('Ingest Template'!M766),"", 'Ingest Template'!M766&amp;"|DAR")),(IF(ISBLANK('Ingest Template'!M766),"", 'Ingest Template'!M766&amp;"|Operations - Core Title")))</f>
        <v/>
      </c>
      <c r="AA766" s="5"/>
      <c r="AB766" s="5" t="str">
        <f>'Ingest Template'!F766</f>
        <v/>
      </c>
      <c r="AC766" s="5"/>
      <c r="AD766" s="5"/>
      <c r="AE766" s="5"/>
      <c r="AF766" s="8"/>
      <c r="AG766" s="5" t="str">
        <f t="array" ref="AG766">IF('Ingest Template'!A766="Standard",(CONCATENATE(IF(ISBLANK('Ingest Template'!N766),"", 'Ingest Template'!N766&amp;"|DAR"),CHAR(10), IF(ISBLANK('Ingest Template'!O766),"", 'Ingest Template'!O766&amp;"|DAR"),CHAR(10), IF(ISBLANK('Ingest Template'!P766),"", 'Ingest Template'!P766&amp;"|DAR"))),(CONCATENATE(IF(ISBLANK('Ingest Template'!N766),"", 'Ingest Template'!N766&amp;"|Operations - Core Title"),CHAR(10), IF(ISBLANK('Ingest Template'!O766),"", 'Ingest Template'!O766&amp;"|Operations - Core Title"),CHAR(10), IF(ISBLANK('Ingest Template'!P766),"", 'Ingest Template'!P766&amp;"|Operations - Core Title"))))</f>
        <v>#|Operations - Core Title
</v>
      </c>
      <c r="AH766" s="5"/>
      <c r="AI766" s="5"/>
      <c r="AJ766" s="5"/>
      <c r="AK766" s="5"/>
      <c r="AL766" s="5"/>
    </row>
    <row r="767">
      <c r="A767" s="5"/>
      <c r="B767" s="5" t="str">
        <f>'Ingest Template'!B767&amp;IF('Ingest Template'!A767 = "Standard", " - DAR","")</f>
        <v/>
      </c>
      <c r="C767" s="6" t="str">
        <f>'Ingest Template'!C767</f>
        <v/>
      </c>
      <c r="D767" s="7" t="str">
        <f>'Ingest Template'!E767</f>
        <v/>
      </c>
      <c r="E767" s="5"/>
      <c r="F767" s="5"/>
      <c r="G767" s="5"/>
      <c r="H767" s="7"/>
      <c r="I767" s="5"/>
      <c r="J767" s="7" t="str">
        <f>'Ingest Template'!Q767</f>
        <v/>
      </c>
      <c r="K767" s="5" t="str">
        <f>'Ingest Template'!R767</f>
        <v/>
      </c>
      <c r="L767" s="8" t="s">
        <v>38</v>
      </c>
      <c r="M767" s="9"/>
      <c r="N767" s="5"/>
      <c r="O767" s="5"/>
      <c r="P767" s="5"/>
      <c r="Q767" s="5"/>
      <c r="R767" s="5" t="str">
        <f>'Ingest Template'!D767</f>
        <v/>
      </c>
      <c r="S767" s="5" t="str">
        <f>'Ingest Template'!G767</f>
        <v/>
      </c>
      <c r="T767" s="5" t="str">
        <f>'Ingest Template'!H767</f>
        <v/>
      </c>
      <c r="U767" s="5" t="str">
        <f>LOWER(SUBSTITUTE(SUBSTITUTE(SUBSTITUTE(SUBSTITUTE(SUBSTITUTE('Ingest Template'!I767,"https:",""),"www.",""),"/",""),"?hl=en",""),"instagram.com",""))</f>
        <v/>
      </c>
      <c r="V767" s="10" t="str">
        <f>'Ingest Template'!J767</f>
        <v/>
      </c>
      <c r="W767" s="10" t="str">
        <f>'Ingest Template'!K767</f>
        <v/>
      </c>
      <c r="X767" s="5"/>
      <c r="Y767" s="5" t="str">
        <f>SUBSTITUTE(SUBSTITUTE(SUBSTITUTE('Ingest Template'!L767,"http:",""),"https:",""),"/","")</f>
        <v/>
      </c>
      <c r="Z767" s="5" t="str">
        <f t="array" ref="Z767">IF('Ingest Template'!A767="Standard",(IF(ISBLANK('Ingest Template'!M767),"", 'Ingest Template'!M767&amp;"|DAR")),(IF(ISBLANK('Ingest Template'!M767),"", 'Ingest Template'!M767&amp;"|Operations - Core Title")))</f>
        <v/>
      </c>
      <c r="AA767" s="5"/>
      <c r="AB767" s="5" t="str">
        <f>'Ingest Template'!F767</f>
        <v/>
      </c>
      <c r="AC767" s="5"/>
      <c r="AD767" s="5"/>
      <c r="AE767" s="5"/>
      <c r="AF767" s="8"/>
      <c r="AG767" s="5" t="str">
        <f t="array" ref="AG767">IF('Ingest Template'!A767="Standard",(CONCATENATE(IF(ISBLANK('Ingest Template'!N767),"", 'Ingest Template'!N767&amp;"|DAR"),CHAR(10), IF(ISBLANK('Ingest Template'!O767),"", 'Ingest Template'!O767&amp;"|DAR"),CHAR(10), IF(ISBLANK('Ingest Template'!P767),"", 'Ingest Template'!P767&amp;"|DAR"))),(CONCATENATE(IF(ISBLANK('Ingest Template'!N767),"", 'Ingest Template'!N767&amp;"|Operations - Core Title"),CHAR(10), IF(ISBLANK('Ingest Template'!O767),"", 'Ingest Template'!O767&amp;"|Operations - Core Title"),CHAR(10), IF(ISBLANK('Ingest Template'!P767),"", 'Ingest Template'!P767&amp;"|Operations - Core Title"))))</f>
        <v>#|Operations - Core Title
</v>
      </c>
      <c r="AH767" s="5"/>
      <c r="AI767" s="5"/>
      <c r="AJ767" s="5"/>
      <c r="AK767" s="5"/>
      <c r="AL767" s="5"/>
    </row>
    <row r="768">
      <c r="A768" s="5"/>
      <c r="B768" s="5" t="str">
        <f>'Ingest Template'!B768&amp;IF('Ingest Template'!A768 = "Standard", " - DAR","")</f>
        <v/>
      </c>
      <c r="C768" s="6" t="str">
        <f>'Ingest Template'!C768</f>
        <v/>
      </c>
      <c r="D768" s="7" t="str">
        <f>'Ingest Template'!E768</f>
        <v/>
      </c>
      <c r="E768" s="5"/>
      <c r="F768" s="5"/>
      <c r="G768" s="5"/>
      <c r="H768" s="7"/>
      <c r="I768" s="5"/>
      <c r="J768" s="7" t="str">
        <f>'Ingest Template'!Q768</f>
        <v/>
      </c>
      <c r="K768" s="5" t="str">
        <f>'Ingest Template'!R768</f>
        <v/>
      </c>
      <c r="L768" s="8" t="s">
        <v>38</v>
      </c>
      <c r="M768" s="9"/>
      <c r="N768" s="5"/>
      <c r="O768" s="5"/>
      <c r="P768" s="5"/>
      <c r="Q768" s="5"/>
      <c r="R768" s="5" t="str">
        <f>'Ingest Template'!D768</f>
        <v/>
      </c>
      <c r="S768" s="5" t="str">
        <f>'Ingest Template'!G768</f>
        <v/>
      </c>
      <c r="T768" s="5" t="str">
        <f>'Ingest Template'!H768</f>
        <v/>
      </c>
      <c r="U768" s="5" t="str">
        <f>LOWER(SUBSTITUTE(SUBSTITUTE(SUBSTITUTE(SUBSTITUTE(SUBSTITUTE('Ingest Template'!I768,"https:",""),"www.",""),"/",""),"?hl=en",""),"instagram.com",""))</f>
        <v/>
      </c>
      <c r="V768" s="10" t="str">
        <f>'Ingest Template'!J768</f>
        <v/>
      </c>
      <c r="W768" s="10" t="str">
        <f>'Ingest Template'!K768</f>
        <v/>
      </c>
      <c r="X768" s="5"/>
      <c r="Y768" s="5" t="str">
        <f>SUBSTITUTE(SUBSTITUTE(SUBSTITUTE('Ingest Template'!L768,"http:",""),"https:",""),"/","")</f>
        <v/>
      </c>
      <c r="Z768" s="5" t="str">
        <f t="array" ref="Z768">IF('Ingest Template'!A768="Standard",(IF(ISBLANK('Ingest Template'!M768),"", 'Ingest Template'!M768&amp;"|DAR")),(IF(ISBLANK('Ingest Template'!M768),"", 'Ingest Template'!M768&amp;"|Operations - Core Title")))</f>
        <v/>
      </c>
      <c r="AA768" s="5"/>
      <c r="AB768" s="5" t="str">
        <f>'Ingest Template'!F768</f>
        <v/>
      </c>
      <c r="AC768" s="5"/>
      <c r="AD768" s="5"/>
      <c r="AE768" s="5"/>
      <c r="AF768" s="8"/>
      <c r="AG768" s="5" t="str">
        <f t="array" ref="AG768">IF('Ingest Template'!A768="Standard",(CONCATENATE(IF(ISBLANK('Ingest Template'!N768),"", 'Ingest Template'!N768&amp;"|DAR"),CHAR(10), IF(ISBLANK('Ingest Template'!O768),"", 'Ingest Template'!O768&amp;"|DAR"),CHAR(10), IF(ISBLANK('Ingest Template'!P768),"", 'Ingest Template'!P768&amp;"|DAR"))),(CONCATENATE(IF(ISBLANK('Ingest Template'!N768),"", 'Ingest Template'!N768&amp;"|Operations - Core Title"),CHAR(10), IF(ISBLANK('Ingest Template'!O768),"", 'Ingest Template'!O768&amp;"|Operations - Core Title"),CHAR(10), IF(ISBLANK('Ingest Template'!P768),"", 'Ingest Template'!P768&amp;"|Operations - Core Title"))))</f>
        <v>#|Operations - Core Title
</v>
      </c>
      <c r="AH768" s="5"/>
      <c r="AI768" s="5"/>
      <c r="AJ768" s="5"/>
      <c r="AK768" s="5"/>
      <c r="AL768" s="5"/>
    </row>
    <row r="769">
      <c r="A769" s="5"/>
      <c r="B769" s="5" t="str">
        <f>'Ingest Template'!B769&amp;IF('Ingest Template'!A769 = "Standard", " - DAR","")</f>
        <v/>
      </c>
      <c r="C769" s="6" t="str">
        <f>'Ingest Template'!C769</f>
        <v/>
      </c>
      <c r="D769" s="7" t="str">
        <f>'Ingest Template'!E769</f>
        <v/>
      </c>
      <c r="E769" s="5"/>
      <c r="F769" s="5"/>
      <c r="G769" s="5"/>
      <c r="H769" s="7"/>
      <c r="I769" s="5"/>
      <c r="J769" s="7" t="str">
        <f>'Ingest Template'!Q769</f>
        <v/>
      </c>
      <c r="K769" s="5" t="str">
        <f>'Ingest Template'!R769</f>
        <v/>
      </c>
      <c r="L769" s="8" t="s">
        <v>38</v>
      </c>
      <c r="M769" s="9"/>
      <c r="N769" s="5"/>
      <c r="O769" s="5"/>
      <c r="P769" s="5"/>
      <c r="Q769" s="5"/>
      <c r="R769" s="5" t="str">
        <f>'Ingest Template'!D769</f>
        <v/>
      </c>
      <c r="S769" s="5" t="str">
        <f>'Ingest Template'!G769</f>
        <v/>
      </c>
      <c r="T769" s="5" t="str">
        <f>'Ingest Template'!H769</f>
        <v/>
      </c>
      <c r="U769" s="5" t="str">
        <f>LOWER(SUBSTITUTE(SUBSTITUTE(SUBSTITUTE(SUBSTITUTE(SUBSTITUTE('Ingest Template'!I769,"https:",""),"www.",""),"/",""),"?hl=en",""),"instagram.com",""))</f>
        <v/>
      </c>
      <c r="V769" s="10" t="str">
        <f>'Ingest Template'!J769</f>
        <v/>
      </c>
      <c r="W769" s="10" t="str">
        <f>'Ingest Template'!K769</f>
        <v/>
      </c>
      <c r="X769" s="5"/>
      <c r="Y769" s="5" t="str">
        <f>SUBSTITUTE(SUBSTITUTE(SUBSTITUTE('Ingest Template'!L769,"http:",""),"https:",""),"/","")</f>
        <v/>
      </c>
      <c r="Z769" s="5" t="str">
        <f t="array" ref="Z769">IF('Ingest Template'!A769="Standard",(IF(ISBLANK('Ingest Template'!M769),"", 'Ingest Template'!M769&amp;"|DAR")),(IF(ISBLANK('Ingest Template'!M769),"", 'Ingest Template'!M769&amp;"|Operations - Core Title")))</f>
        <v/>
      </c>
      <c r="AA769" s="5"/>
      <c r="AB769" s="5" t="str">
        <f>'Ingest Template'!F769</f>
        <v/>
      </c>
      <c r="AC769" s="5"/>
      <c r="AD769" s="5"/>
      <c r="AE769" s="5"/>
      <c r="AF769" s="8"/>
      <c r="AG769" s="5" t="str">
        <f t="array" ref="AG769">IF('Ingest Template'!A769="Standard",(CONCATENATE(IF(ISBLANK('Ingest Template'!N769),"", 'Ingest Template'!N769&amp;"|DAR"),CHAR(10), IF(ISBLANK('Ingest Template'!O769),"", 'Ingest Template'!O769&amp;"|DAR"),CHAR(10), IF(ISBLANK('Ingest Template'!P769),"", 'Ingest Template'!P769&amp;"|DAR"))),(CONCATENATE(IF(ISBLANK('Ingest Template'!N769),"", 'Ingest Template'!N769&amp;"|Operations - Core Title"),CHAR(10), IF(ISBLANK('Ingest Template'!O769),"", 'Ingest Template'!O769&amp;"|Operations - Core Title"),CHAR(10), IF(ISBLANK('Ingest Template'!P769),"", 'Ingest Template'!P769&amp;"|Operations - Core Title"))))</f>
        <v>#|Operations - Core Title
</v>
      </c>
      <c r="AH769" s="5"/>
      <c r="AI769" s="5"/>
      <c r="AJ769" s="5"/>
      <c r="AK769" s="5"/>
      <c r="AL769" s="5"/>
    </row>
    <row r="770">
      <c r="A770" s="5"/>
      <c r="B770" s="5" t="str">
        <f>'Ingest Template'!B770&amp;IF('Ingest Template'!A770 = "Standard", " - DAR","")</f>
        <v/>
      </c>
      <c r="C770" s="6" t="str">
        <f>'Ingest Template'!C770</f>
        <v/>
      </c>
      <c r="D770" s="7" t="str">
        <f>'Ingest Template'!E770</f>
        <v/>
      </c>
      <c r="E770" s="5"/>
      <c r="F770" s="5"/>
      <c r="G770" s="5"/>
      <c r="H770" s="7"/>
      <c r="I770" s="5"/>
      <c r="J770" s="7" t="str">
        <f>'Ingest Template'!Q770</f>
        <v/>
      </c>
      <c r="K770" s="5" t="str">
        <f>'Ingest Template'!R770</f>
        <v/>
      </c>
      <c r="L770" s="8" t="s">
        <v>38</v>
      </c>
      <c r="M770" s="9"/>
      <c r="N770" s="5"/>
      <c r="O770" s="5"/>
      <c r="P770" s="5"/>
      <c r="Q770" s="5"/>
      <c r="R770" s="5" t="str">
        <f>'Ingest Template'!D770</f>
        <v/>
      </c>
      <c r="S770" s="5" t="str">
        <f>'Ingest Template'!G770</f>
        <v/>
      </c>
      <c r="T770" s="5" t="str">
        <f>'Ingest Template'!H770</f>
        <v/>
      </c>
      <c r="U770" s="5" t="str">
        <f>LOWER(SUBSTITUTE(SUBSTITUTE(SUBSTITUTE(SUBSTITUTE(SUBSTITUTE('Ingest Template'!I770,"https:",""),"www.",""),"/",""),"?hl=en",""),"instagram.com",""))</f>
        <v/>
      </c>
      <c r="V770" s="10" t="str">
        <f>'Ingest Template'!J770</f>
        <v/>
      </c>
      <c r="W770" s="10" t="str">
        <f>'Ingest Template'!K770</f>
        <v/>
      </c>
      <c r="X770" s="5"/>
      <c r="Y770" s="5" t="str">
        <f>SUBSTITUTE(SUBSTITUTE(SUBSTITUTE('Ingest Template'!L770,"http:",""),"https:",""),"/","")</f>
        <v/>
      </c>
      <c r="Z770" s="5" t="str">
        <f t="array" ref="Z770">IF('Ingest Template'!A770="Standard",(IF(ISBLANK('Ingest Template'!M770),"", 'Ingest Template'!M770&amp;"|DAR")),(IF(ISBLANK('Ingest Template'!M770),"", 'Ingest Template'!M770&amp;"|Operations - Core Title")))</f>
        <v/>
      </c>
      <c r="AA770" s="5"/>
      <c r="AB770" s="5" t="str">
        <f>'Ingest Template'!F770</f>
        <v/>
      </c>
      <c r="AC770" s="5"/>
      <c r="AD770" s="5"/>
      <c r="AE770" s="5"/>
      <c r="AF770" s="8"/>
      <c r="AG770" s="5" t="str">
        <f t="array" ref="AG770">IF('Ingest Template'!A770="Standard",(CONCATENATE(IF(ISBLANK('Ingest Template'!N770),"", 'Ingest Template'!N770&amp;"|DAR"),CHAR(10), IF(ISBLANK('Ingest Template'!O770),"", 'Ingest Template'!O770&amp;"|DAR"),CHAR(10), IF(ISBLANK('Ingest Template'!P770),"", 'Ingest Template'!P770&amp;"|DAR"))),(CONCATENATE(IF(ISBLANK('Ingest Template'!N770),"", 'Ingest Template'!N770&amp;"|Operations - Core Title"),CHAR(10), IF(ISBLANK('Ingest Template'!O770),"", 'Ingest Template'!O770&amp;"|Operations - Core Title"),CHAR(10), IF(ISBLANK('Ingest Template'!P770),"", 'Ingest Template'!P770&amp;"|Operations - Core Title"))))</f>
        <v>#|Operations - Core Title
</v>
      </c>
      <c r="AH770" s="5"/>
      <c r="AI770" s="5"/>
      <c r="AJ770" s="5"/>
      <c r="AK770" s="5"/>
      <c r="AL770" s="5"/>
    </row>
    <row r="771">
      <c r="A771" s="5"/>
      <c r="B771" s="5" t="str">
        <f>'Ingest Template'!B771&amp;IF('Ingest Template'!A771 = "Standard", " - DAR","")</f>
        <v/>
      </c>
      <c r="C771" s="6" t="str">
        <f>'Ingest Template'!C771</f>
        <v/>
      </c>
      <c r="D771" s="7" t="str">
        <f>'Ingest Template'!E771</f>
        <v/>
      </c>
      <c r="E771" s="5"/>
      <c r="F771" s="5"/>
      <c r="G771" s="5"/>
      <c r="H771" s="7"/>
      <c r="I771" s="5"/>
      <c r="J771" s="7" t="str">
        <f>'Ingest Template'!Q771</f>
        <v/>
      </c>
      <c r="K771" s="5" t="str">
        <f>'Ingest Template'!R771</f>
        <v/>
      </c>
      <c r="L771" s="8" t="s">
        <v>38</v>
      </c>
      <c r="M771" s="9"/>
      <c r="N771" s="5"/>
      <c r="O771" s="5"/>
      <c r="P771" s="5"/>
      <c r="Q771" s="5"/>
      <c r="R771" s="5" t="str">
        <f>'Ingest Template'!D771</f>
        <v/>
      </c>
      <c r="S771" s="5" t="str">
        <f>'Ingest Template'!G771</f>
        <v/>
      </c>
      <c r="T771" s="5" t="str">
        <f>'Ingest Template'!H771</f>
        <v/>
      </c>
      <c r="U771" s="5" t="str">
        <f>LOWER(SUBSTITUTE(SUBSTITUTE(SUBSTITUTE(SUBSTITUTE(SUBSTITUTE('Ingest Template'!I771,"https:",""),"www.",""),"/",""),"?hl=en",""),"instagram.com",""))</f>
        <v/>
      </c>
      <c r="V771" s="10" t="str">
        <f>'Ingest Template'!J771</f>
        <v/>
      </c>
      <c r="W771" s="10" t="str">
        <f>'Ingest Template'!K771</f>
        <v/>
      </c>
      <c r="X771" s="5"/>
      <c r="Y771" s="5" t="str">
        <f>SUBSTITUTE(SUBSTITUTE(SUBSTITUTE('Ingest Template'!L771,"http:",""),"https:",""),"/","")</f>
        <v/>
      </c>
      <c r="Z771" s="5" t="str">
        <f t="array" ref="Z771">IF('Ingest Template'!A771="Standard",(IF(ISBLANK('Ingest Template'!M771),"", 'Ingest Template'!M771&amp;"|DAR")),(IF(ISBLANK('Ingest Template'!M771),"", 'Ingest Template'!M771&amp;"|Operations - Core Title")))</f>
        <v/>
      </c>
      <c r="AA771" s="5"/>
      <c r="AB771" s="5" t="str">
        <f>'Ingest Template'!F771</f>
        <v/>
      </c>
      <c r="AC771" s="5"/>
      <c r="AD771" s="5"/>
      <c r="AE771" s="5"/>
      <c r="AF771" s="8"/>
      <c r="AG771" s="5" t="str">
        <f t="array" ref="AG771">IF('Ingest Template'!A771="Standard",(CONCATENATE(IF(ISBLANK('Ingest Template'!N771),"", 'Ingest Template'!N771&amp;"|DAR"),CHAR(10), IF(ISBLANK('Ingest Template'!O771),"", 'Ingest Template'!O771&amp;"|DAR"),CHAR(10), IF(ISBLANK('Ingest Template'!P771),"", 'Ingest Template'!P771&amp;"|DAR"))),(CONCATENATE(IF(ISBLANK('Ingest Template'!N771),"", 'Ingest Template'!N771&amp;"|Operations - Core Title"),CHAR(10), IF(ISBLANK('Ingest Template'!O771),"", 'Ingest Template'!O771&amp;"|Operations - Core Title"),CHAR(10), IF(ISBLANK('Ingest Template'!P771),"", 'Ingest Template'!P771&amp;"|Operations - Core Title"))))</f>
        <v>#|Operations - Core Title
</v>
      </c>
      <c r="AH771" s="5"/>
      <c r="AI771" s="5"/>
      <c r="AJ771" s="5"/>
      <c r="AK771" s="5"/>
      <c r="AL771" s="5"/>
    </row>
    <row r="772">
      <c r="A772" s="5"/>
      <c r="B772" s="5" t="str">
        <f>'Ingest Template'!B772&amp;IF('Ingest Template'!A772 = "Standard", " - DAR","")</f>
        <v/>
      </c>
      <c r="C772" s="6" t="str">
        <f>'Ingest Template'!C772</f>
        <v/>
      </c>
      <c r="D772" s="7" t="str">
        <f>'Ingest Template'!E772</f>
        <v/>
      </c>
      <c r="E772" s="5"/>
      <c r="F772" s="5"/>
      <c r="G772" s="5"/>
      <c r="H772" s="7"/>
      <c r="I772" s="5"/>
      <c r="J772" s="7" t="str">
        <f>'Ingest Template'!Q772</f>
        <v/>
      </c>
      <c r="K772" s="5" t="str">
        <f>'Ingest Template'!R772</f>
        <v/>
      </c>
      <c r="L772" s="8" t="s">
        <v>38</v>
      </c>
      <c r="M772" s="9"/>
      <c r="N772" s="5"/>
      <c r="O772" s="5"/>
      <c r="P772" s="5"/>
      <c r="Q772" s="5"/>
      <c r="R772" s="5" t="str">
        <f>'Ingest Template'!D772</f>
        <v/>
      </c>
      <c r="S772" s="5" t="str">
        <f>'Ingest Template'!G772</f>
        <v/>
      </c>
      <c r="T772" s="5" t="str">
        <f>'Ingest Template'!H772</f>
        <v/>
      </c>
      <c r="U772" s="5" t="str">
        <f>LOWER(SUBSTITUTE(SUBSTITUTE(SUBSTITUTE(SUBSTITUTE(SUBSTITUTE('Ingest Template'!I772,"https:",""),"www.",""),"/",""),"?hl=en",""),"instagram.com",""))</f>
        <v/>
      </c>
      <c r="V772" s="10" t="str">
        <f>'Ingest Template'!J772</f>
        <v/>
      </c>
      <c r="W772" s="10" t="str">
        <f>'Ingest Template'!K772</f>
        <v/>
      </c>
      <c r="X772" s="5"/>
      <c r="Y772" s="5" t="str">
        <f>SUBSTITUTE(SUBSTITUTE(SUBSTITUTE('Ingest Template'!L772,"http:",""),"https:",""),"/","")</f>
        <v/>
      </c>
      <c r="Z772" s="5" t="str">
        <f t="array" ref="Z772">IF('Ingest Template'!A772="Standard",(IF(ISBLANK('Ingest Template'!M772),"", 'Ingest Template'!M772&amp;"|DAR")),(IF(ISBLANK('Ingest Template'!M772),"", 'Ingest Template'!M772&amp;"|Operations - Core Title")))</f>
        <v/>
      </c>
      <c r="AA772" s="5"/>
      <c r="AB772" s="5" t="str">
        <f>'Ingest Template'!F772</f>
        <v/>
      </c>
      <c r="AC772" s="5"/>
      <c r="AD772" s="5"/>
      <c r="AE772" s="5"/>
      <c r="AF772" s="8"/>
      <c r="AG772" s="5" t="str">
        <f t="array" ref="AG772">IF('Ingest Template'!A772="Standard",(CONCATENATE(IF(ISBLANK('Ingest Template'!N772),"", 'Ingest Template'!N772&amp;"|DAR"),CHAR(10), IF(ISBLANK('Ingest Template'!O772),"", 'Ingest Template'!O772&amp;"|DAR"),CHAR(10), IF(ISBLANK('Ingest Template'!P772),"", 'Ingest Template'!P772&amp;"|DAR"))),(CONCATENATE(IF(ISBLANK('Ingest Template'!N772),"", 'Ingest Template'!N772&amp;"|Operations - Core Title"),CHAR(10), IF(ISBLANK('Ingest Template'!O772),"", 'Ingest Template'!O772&amp;"|Operations - Core Title"),CHAR(10), IF(ISBLANK('Ingest Template'!P772),"", 'Ingest Template'!P772&amp;"|Operations - Core Title"))))</f>
        <v>#|Operations - Core Title
</v>
      </c>
      <c r="AH772" s="5"/>
      <c r="AI772" s="5"/>
      <c r="AJ772" s="5"/>
      <c r="AK772" s="5"/>
      <c r="AL772" s="5"/>
    </row>
    <row r="773">
      <c r="A773" s="5"/>
      <c r="B773" s="5" t="str">
        <f>'Ingest Template'!B773&amp;IF('Ingest Template'!A773 = "Standard", " - DAR","")</f>
        <v/>
      </c>
      <c r="C773" s="6" t="str">
        <f>'Ingest Template'!C773</f>
        <v/>
      </c>
      <c r="D773" s="7" t="str">
        <f>'Ingest Template'!E773</f>
        <v/>
      </c>
      <c r="E773" s="5"/>
      <c r="F773" s="5"/>
      <c r="G773" s="5"/>
      <c r="H773" s="7"/>
      <c r="I773" s="5"/>
      <c r="J773" s="7" t="str">
        <f>'Ingest Template'!Q773</f>
        <v/>
      </c>
      <c r="K773" s="5" t="str">
        <f>'Ingest Template'!R773</f>
        <v/>
      </c>
      <c r="L773" s="8" t="s">
        <v>38</v>
      </c>
      <c r="M773" s="9"/>
      <c r="N773" s="5"/>
      <c r="O773" s="5"/>
      <c r="P773" s="5"/>
      <c r="Q773" s="5"/>
      <c r="R773" s="5" t="str">
        <f>'Ingest Template'!D773</f>
        <v/>
      </c>
      <c r="S773" s="5" t="str">
        <f>'Ingest Template'!G773</f>
        <v/>
      </c>
      <c r="T773" s="5" t="str">
        <f>'Ingest Template'!H773</f>
        <v/>
      </c>
      <c r="U773" s="5" t="str">
        <f>LOWER(SUBSTITUTE(SUBSTITUTE(SUBSTITUTE(SUBSTITUTE(SUBSTITUTE('Ingest Template'!I773,"https:",""),"www.",""),"/",""),"?hl=en",""),"instagram.com",""))</f>
        <v/>
      </c>
      <c r="V773" s="10" t="str">
        <f>'Ingest Template'!J773</f>
        <v/>
      </c>
      <c r="W773" s="10" t="str">
        <f>'Ingest Template'!K773</f>
        <v/>
      </c>
      <c r="X773" s="5"/>
      <c r="Y773" s="5" t="str">
        <f>SUBSTITUTE(SUBSTITUTE(SUBSTITUTE('Ingest Template'!L773,"http:",""),"https:",""),"/","")</f>
        <v/>
      </c>
      <c r="Z773" s="5" t="str">
        <f t="array" ref="Z773">IF('Ingest Template'!A773="Standard",(IF(ISBLANK('Ingest Template'!M773),"", 'Ingest Template'!M773&amp;"|DAR")),(IF(ISBLANK('Ingest Template'!M773),"", 'Ingest Template'!M773&amp;"|Operations - Core Title")))</f>
        <v/>
      </c>
      <c r="AA773" s="5"/>
      <c r="AB773" s="5" t="str">
        <f>'Ingest Template'!F773</f>
        <v/>
      </c>
      <c r="AC773" s="5"/>
      <c r="AD773" s="5"/>
      <c r="AE773" s="5"/>
      <c r="AF773" s="8"/>
      <c r="AG773" s="5" t="str">
        <f t="array" ref="AG773">IF('Ingest Template'!A773="Standard",(CONCATENATE(IF(ISBLANK('Ingest Template'!N773),"", 'Ingest Template'!N773&amp;"|DAR"),CHAR(10), IF(ISBLANK('Ingest Template'!O773),"", 'Ingest Template'!O773&amp;"|DAR"),CHAR(10), IF(ISBLANK('Ingest Template'!P773),"", 'Ingest Template'!P773&amp;"|DAR"))),(CONCATENATE(IF(ISBLANK('Ingest Template'!N773),"", 'Ingest Template'!N773&amp;"|Operations - Core Title"),CHAR(10), IF(ISBLANK('Ingest Template'!O773),"", 'Ingest Template'!O773&amp;"|Operations - Core Title"),CHAR(10), IF(ISBLANK('Ingest Template'!P773),"", 'Ingest Template'!P773&amp;"|Operations - Core Title"))))</f>
        <v>#|Operations - Core Title
</v>
      </c>
      <c r="AH773" s="5"/>
      <c r="AI773" s="5"/>
      <c r="AJ773" s="5"/>
      <c r="AK773" s="5"/>
      <c r="AL773" s="5"/>
    </row>
    <row r="774">
      <c r="A774" s="5"/>
      <c r="B774" s="5" t="str">
        <f>'Ingest Template'!B774&amp;IF('Ingest Template'!A774 = "Standard", " - DAR","")</f>
        <v/>
      </c>
      <c r="C774" s="6" t="str">
        <f>'Ingest Template'!C774</f>
        <v/>
      </c>
      <c r="D774" s="7" t="str">
        <f>'Ingest Template'!E774</f>
        <v/>
      </c>
      <c r="E774" s="5"/>
      <c r="F774" s="5"/>
      <c r="G774" s="5"/>
      <c r="H774" s="7"/>
      <c r="I774" s="5"/>
      <c r="J774" s="7" t="str">
        <f>'Ingest Template'!Q774</f>
        <v/>
      </c>
      <c r="K774" s="5" t="str">
        <f>'Ingest Template'!R774</f>
        <v/>
      </c>
      <c r="L774" s="8" t="s">
        <v>38</v>
      </c>
      <c r="M774" s="9"/>
      <c r="N774" s="5"/>
      <c r="O774" s="5"/>
      <c r="P774" s="5"/>
      <c r="Q774" s="5"/>
      <c r="R774" s="5" t="str">
        <f>'Ingest Template'!D774</f>
        <v/>
      </c>
      <c r="S774" s="5" t="str">
        <f>'Ingest Template'!G774</f>
        <v/>
      </c>
      <c r="T774" s="5" t="str">
        <f>'Ingest Template'!H774</f>
        <v/>
      </c>
      <c r="U774" s="5" t="str">
        <f>LOWER(SUBSTITUTE(SUBSTITUTE(SUBSTITUTE(SUBSTITUTE(SUBSTITUTE('Ingest Template'!I774,"https:",""),"www.",""),"/",""),"?hl=en",""),"instagram.com",""))</f>
        <v/>
      </c>
      <c r="V774" s="10" t="str">
        <f>'Ingest Template'!J774</f>
        <v/>
      </c>
      <c r="W774" s="10" t="str">
        <f>'Ingest Template'!K774</f>
        <v/>
      </c>
      <c r="X774" s="5"/>
      <c r="Y774" s="5" t="str">
        <f>SUBSTITUTE(SUBSTITUTE(SUBSTITUTE('Ingest Template'!L774,"http:",""),"https:",""),"/","")</f>
        <v/>
      </c>
      <c r="Z774" s="5" t="str">
        <f t="array" ref="Z774">IF('Ingest Template'!A774="Standard",(IF(ISBLANK('Ingest Template'!M774),"", 'Ingest Template'!M774&amp;"|DAR")),(IF(ISBLANK('Ingest Template'!M774),"", 'Ingest Template'!M774&amp;"|Operations - Core Title")))</f>
        <v/>
      </c>
      <c r="AA774" s="5"/>
      <c r="AB774" s="5" t="str">
        <f>'Ingest Template'!F774</f>
        <v/>
      </c>
      <c r="AC774" s="5"/>
      <c r="AD774" s="5"/>
      <c r="AE774" s="5"/>
      <c r="AF774" s="8"/>
      <c r="AG774" s="5" t="str">
        <f t="array" ref="AG774">IF('Ingest Template'!A774="Standard",(CONCATENATE(IF(ISBLANK('Ingest Template'!N774),"", 'Ingest Template'!N774&amp;"|DAR"),CHAR(10), IF(ISBLANK('Ingest Template'!O774),"", 'Ingest Template'!O774&amp;"|DAR"),CHAR(10), IF(ISBLANK('Ingest Template'!P774),"", 'Ingest Template'!P774&amp;"|DAR"))),(CONCATENATE(IF(ISBLANK('Ingest Template'!N774),"", 'Ingest Template'!N774&amp;"|Operations - Core Title"),CHAR(10), IF(ISBLANK('Ingest Template'!O774),"", 'Ingest Template'!O774&amp;"|Operations - Core Title"),CHAR(10), IF(ISBLANK('Ingest Template'!P774),"", 'Ingest Template'!P774&amp;"|Operations - Core Title"))))</f>
        <v>#|Operations - Core Title
</v>
      </c>
      <c r="AH774" s="5"/>
      <c r="AI774" s="5"/>
      <c r="AJ774" s="5"/>
      <c r="AK774" s="5"/>
      <c r="AL774" s="5"/>
    </row>
    <row r="775">
      <c r="A775" s="5"/>
      <c r="B775" s="5" t="str">
        <f>'Ingest Template'!B775&amp;IF('Ingest Template'!A775 = "Standard", " - DAR","")</f>
        <v/>
      </c>
      <c r="C775" s="6" t="str">
        <f>'Ingest Template'!C775</f>
        <v/>
      </c>
      <c r="D775" s="7" t="str">
        <f>'Ingest Template'!E775</f>
        <v/>
      </c>
      <c r="E775" s="5"/>
      <c r="F775" s="5"/>
      <c r="G775" s="5"/>
      <c r="H775" s="7"/>
      <c r="I775" s="5"/>
      <c r="J775" s="7" t="str">
        <f>'Ingest Template'!Q775</f>
        <v/>
      </c>
      <c r="K775" s="5" t="str">
        <f>'Ingest Template'!R775</f>
        <v/>
      </c>
      <c r="L775" s="8" t="s">
        <v>38</v>
      </c>
      <c r="M775" s="9"/>
      <c r="N775" s="5"/>
      <c r="O775" s="5"/>
      <c r="P775" s="5"/>
      <c r="Q775" s="5"/>
      <c r="R775" s="5" t="str">
        <f>'Ingest Template'!D775</f>
        <v/>
      </c>
      <c r="S775" s="5" t="str">
        <f>'Ingest Template'!G775</f>
        <v/>
      </c>
      <c r="T775" s="5" t="str">
        <f>'Ingest Template'!H775</f>
        <v/>
      </c>
      <c r="U775" s="5" t="str">
        <f>LOWER(SUBSTITUTE(SUBSTITUTE(SUBSTITUTE(SUBSTITUTE(SUBSTITUTE('Ingest Template'!I775,"https:",""),"www.",""),"/",""),"?hl=en",""),"instagram.com",""))</f>
        <v/>
      </c>
      <c r="V775" s="10" t="str">
        <f>'Ingest Template'!J775</f>
        <v/>
      </c>
      <c r="W775" s="10" t="str">
        <f>'Ingest Template'!K775</f>
        <v/>
      </c>
      <c r="X775" s="5"/>
      <c r="Y775" s="5" t="str">
        <f>SUBSTITUTE(SUBSTITUTE(SUBSTITUTE('Ingest Template'!L775,"http:",""),"https:",""),"/","")</f>
        <v/>
      </c>
      <c r="Z775" s="5" t="str">
        <f t="array" ref="Z775">IF('Ingest Template'!A775="Standard",(IF(ISBLANK('Ingest Template'!M775),"", 'Ingest Template'!M775&amp;"|DAR")),(IF(ISBLANK('Ingest Template'!M775),"", 'Ingest Template'!M775&amp;"|Operations - Core Title")))</f>
        <v/>
      </c>
      <c r="AA775" s="5"/>
      <c r="AB775" s="5" t="str">
        <f>'Ingest Template'!F775</f>
        <v/>
      </c>
      <c r="AC775" s="5"/>
      <c r="AD775" s="5"/>
      <c r="AE775" s="5"/>
      <c r="AF775" s="8"/>
      <c r="AG775" s="5" t="str">
        <f t="array" ref="AG775">IF('Ingest Template'!A775="Standard",(CONCATENATE(IF(ISBLANK('Ingest Template'!N775),"", 'Ingest Template'!N775&amp;"|DAR"),CHAR(10), IF(ISBLANK('Ingest Template'!O775),"", 'Ingest Template'!O775&amp;"|DAR"),CHAR(10), IF(ISBLANK('Ingest Template'!P775),"", 'Ingest Template'!P775&amp;"|DAR"))),(CONCATENATE(IF(ISBLANK('Ingest Template'!N775),"", 'Ingest Template'!N775&amp;"|Operations - Core Title"),CHAR(10), IF(ISBLANK('Ingest Template'!O775),"", 'Ingest Template'!O775&amp;"|Operations - Core Title"),CHAR(10), IF(ISBLANK('Ingest Template'!P775),"", 'Ingest Template'!P775&amp;"|Operations - Core Title"))))</f>
        <v>#|Operations - Core Title
</v>
      </c>
      <c r="AH775" s="5"/>
      <c r="AI775" s="5"/>
      <c r="AJ775" s="5"/>
      <c r="AK775" s="5"/>
      <c r="AL775" s="5"/>
    </row>
    <row r="776">
      <c r="A776" s="5"/>
      <c r="B776" s="5" t="str">
        <f>'Ingest Template'!B776&amp;IF('Ingest Template'!A776 = "Standard", " - DAR","")</f>
        <v/>
      </c>
      <c r="C776" s="6" t="str">
        <f>'Ingest Template'!C776</f>
        <v/>
      </c>
      <c r="D776" s="7" t="str">
        <f>'Ingest Template'!E776</f>
        <v/>
      </c>
      <c r="E776" s="5"/>
      <c r="F776" s="5"/>
      <c r="G776" s="5"/>
      <c r="H776" s="7"/>
      <c r="I776" s="5"/>
      <c r="J776" s="7" t="str">
        <f>'Ingest Template'!Q776</f>
        <v/>
      </c>
      <c r="K776" s="5" t="str">
        <f>'Ingest Template'!R776</f>
        <v/>
      </c>
      <c r="L776" s="8" t="s">
        <v>38</v>
      </c>
      <c r="M776" s="9"/>
      <c r="N776" s="5"/>
      <c r="O776" s="5"/>
      <c r="P776" s="5"/>
      <c r="Q776" s="5"/>
      <c r="R776" s="5" t="str">
        <f>'Ingest Template'!D776</f>
        <v/>
      </c>
      <c r="S776" s="5" t="str">
        <f>'Ingest Template'!G776</f>
        <v/>
      </c>
      <c r="T776" s="5" t="str">
        <f>'Ingest Template'!H776</f>
        <v/>
      </c>
      <c r="U776" s="5" t="str">
        <f>LOWER(SUBSTITUTE(SUBSTITUTE(SUBSTITUTE(SUBSTITUTE(SUBSTITUTE('Ingest Template'!I776,"https:",""),"www.",""),"/",""),"?hl=en",""),"instagram.com",""))</f>
        <v/>
      </c>
      <c r="V776" s="10" t="str">
        <f>'Ingest Template'!J776</f>
        <v/>
      </c>
      <c r="W776" s="10" t="str">
        <f>'Ingest Template'!K776</f>
        <v/>
      </c>
      <c r="X776" s="5"/>
      <c r="Y776" s="5" t="str">
        <f>SUBSTITUTE(SUBSTITUTE(SUBSTITUTE('Ingest Template'!L776,"http:",""),"https:",""),"/","")</f>
        <v/>
      </c>
      <c r="Z776" s="5" t="str">
        <f t="array" ref="Z776">IF('Ingest Template'!A776="Standard",(IF(ISBLANK('Ingest Template'!M776),"", 'Ingest Template'!M776&amp;"|DAR")),(IF(ISBLANK('Ingest Template'!M776),"", 'Ingest Template'!M776&amp;"|Operations - Core Title")))</f>
        <v/>
      </c>
      <c r="AA776" s="5"/>
      <c r="AB776" s="5" t="str">
        <f>'Ingest Template'!F776</f>
        <v/>
      </c>
      <c r="AC776" s="5"/>
      <c r="AD776" s="5"/>
      <c r="AE776" s="5"/>
      <c r="AF776" s="8"/>
      <c r="AG776" s="5" t="str">
        <f t="array" ref="AG776">IF('Ingest Template'!A776="Standard",(CONCATENATE(IF(ISBLANK('Ingest Template'!N776),"", 'Ingest Template'!N776&amp;"|DAR"),CHAR(10), IF(ISBLANK('Ingest Template'!O776),"", 'Ingest Template'!O776&amp;"|DAR"),CHAR(10), IF(ISBLANK('Ingest Template'!P776),"", 'Ingest Template'!P776&amp;"|DAR"))),(CONCATENATE(IF(ISBLANK('Ingest Template'!N776),"", 'Ingest Template'!N776&amp;"|Operations - Core Title"),CHAR(10), IF(ISBLANK('Ingest Template'!O776),"", 'Ingest Template'!O776&amp;"|Operations - Core Title"),CHAR(10), IF(ISBLANK('Ingest Template'!P776),"", 'Ingest Template'!P776&amp;"|Operations - Core Title"))))</f>
        <v>#|Operations - Core Title
</v>
      </c>
      <c r="AH776" s="5"/>
      <c r="AI776" s="5"/>
      <c r="AJ776" s="5"/>
      <c r="AK776" s="5"/>
      <c r="AL776" s="5"/>
    </row>
    <row r="777">
      <c r="A777" s="5"/>
      <c r="B777" s="5" t="str">
        <f>'Ingest Template'!B777&amp;IF('Ingest Template'!A777 = "Standard", " - DAR","")</f>
        <v/>
      </c>
      <c r="C777" s="6" t="str">
        <f>'Ingest Template'!C777</f>
        <v/>
      </c>
      <c r="D777" s="7" t="str">
        <f>'Ingest Template'!E777</f>
        <v/>
      </c>
      <c r="E777" s="5"/>
      <c r="F777" s="5"/>
      <c r="G777" s="5"/>
      <c r="H777" s="7"/>
      <c r="I777" s="5"/>
      <c r="J777" s="7" t="str">
        <f>'Ingest Template'!Q777</f>
        <v/>
      </c>
      <c r="K777" s="5" t="str">
        <f>'Ingest Template'!R777</f>
        <v/>
      </c>
      <c r="L777" s="8" t="s">
        <v>38</v>
      </c>
      <c r="M777" s="9"/>
      <c r="N777" s="5"/>
      <c r="O777" s="5"/>
      <c r="P777" s="5"/>
      <c r="Q777" s="5"/>
      <c r="R777" s="5" t="str">
        <f>'Ingest Template'!D777</f>
        <v/>
      </c>
      <c r="S777" s="5" t="str">
        <f>'Ingest Template'!G777</f>
        <v/>
      </c>
      <c r="T777" s="5" t="str">
        <f>'Ingest Template'!H777</f>
        <v/>
      </c>
      <c r="U777" s="5" t="str">
        <f>LOWER(SUBSTITUTE(SUBSTITUTE(SUBSTITUTE(SUBSTITUTE(SUBSTITUTE('Ingest Template'!I777,"https:",""),"www.",""),"/",""),"?hl=en",""),"instagram.com",""))</f>
        <v/>
      </c>
      <c r="V777" s="10" t="str">
        <f>'Ingest Template'!J777</f>
        <v/>
      </c>
      <c r="W777" s="10" t="str">
        <f>'Ingest Template'!K777</f>
        <v/>
      </c>
      <c r="X777" s="5"/>
      <c r="Y777" s="5" t="str">
        <f>SUBSTITUTE(SUBSTITUTE(SUBSTITUTE('Ingest Template'!L777,"http:",""),"https:",""),"/","")</f>
        <v/>
      </c>
      <c r="Z777" s="5" t="str">
        <f t="array" ref="Z777">IF('Ingest Template'!A777="Standard",(IF(ISBLANK('Ingest Template'!M777),"", 'Ingest Template'!M777&amp;"|DAR")),(IF(ISBLANK('Ingest Template'!M777),"", 'Ingest Template'!M777&amp;"|Operations - Core Title")))</f>
        <v/>
      </c>
      <c r="AA777" s="5"/>
      <c r="AB777" s="5" t="str">
        <f>'Ingest Template'!F777</f>
        <v/>
      </c>
      <c r="AC777" s="5"/>
      <c r="AD777" s="5"/>
      <c r="AE777" s="5"/>
      <c r="AF777" s="8"/>
      <c r="AG777" s="5" t="str">
        <f t="array" ref="AG777">IF('Ingest Template'!A777="Standard",(CONCATENATE(IF(ISBLANK('Ingest Template'!N777),"", 'Ingest Template'!N777&amp;"|DAR"),CHAR(10), IF(ISBLANK('Ingest Template'!O777),"", 'Ingest Template'!O777&amp;"|DAR"),CHAR(10), IF(ISBLANK('Ingest Template'!P777),"", 'Ingest Template'!P777&amp;"|DAR"))),(CONCATENATE(IF(ISBLANK('Ingest Template'!N777),"", 'Ingest Template'!N777&amp;"|Operations - Core Title"),CHAR(10), IF(ISBLANK('Ingest Template'!O777),"", 'Ingest Template'!O777&amp;"|Operations - Core Title"),CHAR(10), IF(ISBLANK('Ingest Template'!P777),"", 'Ingest Template'!P777&amp;"|Operations - Core Title"))))</f>
        <v>#|Operations - Core Title
</v>
      </c>
      <c r="AH777" s="5"/>
      <c r="AI777" s="5"/>
      <c r="AJ777" s="5"/>
      <c r="AK777" s="5"/>
      <c r="AL777" s="5"/>
    </row>
    <row r="778">
      <c r="A778" s="5"/>
      <c r="B778" s="5" t="str">
        <f>'Ingest Template'!B778&amp;IF('Ingest Template'!A778 = "Standard", " - DAR","")</f>
        <v/>
      </c>
      <c r="C778" s="6" t="str">
        <f>'Ingest Template'!C778</f>
        <v/>
      </c>
      <c r="D778" s="7" t="str">
        <f>'Ingest Template'!E778</f>
        <v/>
      </c>
      <c r="E778" s="5"/>
      <c r="F778" s="5"/>
      <c r="G778" s="5"/>
      <c r="H778" s="7"/>
      <c r="I778" s="5"/>
      <c r="J778" s="7" t="str">
        <f>'Ingest Template'!Q778</f>
        <v/>
      </c>
      <c r="K778" s="5" t="str">
        <f>'Ingest Template'!R778</f>
        <v/>
      </c>
      <c r="L778" s="8" t="s">
        <v>38</v>
      </c>
      <c r="M778" s="9"/>
      <c r="N778" s="5"/>
      <c r="O778" s="5"/>
      <c r="P778" s="5"/>
      <c r="Q778" s="5"/>
      <c r="R778" s="5" t="str">
        <f>'Ingest Template'!D778</f>
        <v/>
      </c>
      <c r="S778" s="5" t="str">
        <f>'Ingest Template'!G778</f>
        <v/>
      </c>
      <c r="T778" s="5" t="str">
        <f>'Ingest Template'!H778</f>
        <v/>
      </c>
      <c r="U778" s="5" t="str">
        <f>LOWER(SUBSTITUTE(SUBSTITUTE(SUBSTITUTE(SUBSTITUTE(SUBSTITUTE('Ingest Template'!I778,"https:",""),"www.",""),"/",""),"?hl=en",""),"instagram.com",""))</f>
        <v/>
      </c>
      <c r="V778" s="10" t="str">
        <f>'Ingest Template'!J778</f>
        <v/>
      </c>
      <c r="W778" s="10" t="str">
        <f>'Ingest Template'!K778</f>
        <v/>
      </c>
      <c r="X778" s="5"/>
      <c r="Y778" s="5" t="str">
        <f>SUBSTITUTE(SUBSTITUTE(SUBSTITUTE('Ingest Template'!L778,"http:",""),"https:",""),"/","")</f>
        <v/>
      </c>
      <c r="Z778" s="5" t="str">
        <f t="array" ref="Z778">IF('Ingest Template'!A778="Standard",(IF(ISBLANK('Ingest Template'!M778),"", 'Ingest Template'!M778&amp;"|DAR")),(IF(ISBLANK('Ingest Template'!M778),"", 'Ingest Template'!M778&amp;"|Operations - Core Title")))</f>
        <v/>
      </c>
      <c r="AA778" s="5"/>
      <c r="AB778" s="5" t="str">
        <f>'Ingest Template'!F778</f>
        <v/>
      </c>
      <c r="AC778" s="5"/>
      <c r="AD778" s="5"/>
      <c r="AE778" s="5"/>
      <c r="AF778" s="8"/>
      <c r="AG778" s="5" t="str">
        <f t="array" ref="AG778">IF('Ingest Template'!A778="Standard",(CONCATENATE(IF(ISBLANK('Ingest Template'!N778),"", 'Ingest Template'!N778&amp;"|DAR"),CHAR(10), IF(ISBLANK('Ingest Template'!O778),"", 'Ingest Template'!O778&amp;"|DAR"),CHAR(10), IF(ISBLANK('Ingest Template'!P778),"", 'Ingest Template'!P778&amp;"|DAR"))),(CONCATENATE(IF(ISBLANK('Ingest Template'!N778),"", 'Ingest Template'!N778&amp;"|Operations - Core Title"),CHAR(10), IF(ISBLANK('Ingest Template'!O778),"", 'Ingest Template'!O778&amp;"|Operations - Core Title"),CHAR(10), IF(ISBLANK('Ingest Template'!P778),"", 'Ingest Template'!P778&amp;"|Operations - Core Title"))))</f>
        <v>#|Operations - Core Title
</v>
      </c>
      <c r="AH778" s="5"/>
      <c r="AI778" s="5"/>
      <c r="AJ778" s="5"/>
      <c r="AK778" s="5"/>
      <c r="AL778" s="5"/>
    </row>
    <row r="779">
      <c r="A779" s="5"/>
      <c r="B779" s="5" t="str">
        <f>'Ingest Template'!B779&amp;IF('Ingest Template'!A779 = "Standard", " - DAR","")</f>
        <v/>
      </c>
      <c r="C779" s="6" t="str">
        <f>'Ingest Template'!C779</f>
        <v/>
      </c>
      <c r="D779" s="7" t="str">
        <f>'Ingest Template'!E779</f>
        <v/>
      </c>
      <c r="E779" s="5"/>
      <c r="F779" s="5"/>
      <c r="G779" s="5"/>
      <c r="H779" s="7"/>
      <c r="I779" s="5"/>
      <c r="J779" s="7" t="str">
        <f>'Ingest Template'!Q779</f>
        <v/>
      </c>
      <c r="K779" s="5" t="str">
        <f>'Ingest Template'!R779</f>
        <v/>
      </c>
      <c r="L779" s="8" t="s">
        <v>38</v>
      </c>
      <c r="M779" s="9"/>
      <c r="N779" s="5"/>
      <c r="O779" s="5"/>
      <c r="P779" s="5"/>
      <c r="Q779" s="5"/>
      <c r="R779" s="5" t="str">
        <f>'Ingest Template'!D779</f>
        <v/>
      </c>
      <c r="S779" s="5" t="str">
        <f>'Ingest Template'!G779</f>
        <v/>
      </c>
      <c r="T779" s="5" t="str">
        <f>'Ingest Template'!H779</f>
        <v/>
      </c>
      <c r="U779" s="5" t="str">
        <f>LOWER(SUBSTITUTE(SUBSTITUTE(SUBSTITUTE(SUBSTITUTE(SUBSTITUTE('Ingest Template'!I779,"https:",""),"www.",""),"/",""),"?hl=en",""),"instagram.com",""))</f>
        <v/>
      </c>
      <c r="V779" s="10" t="str">
        <f>'Ingest Template'!J779</f>
        <v/>
      </c>
      <c r="W779" s="10" t="str">
        <f>'Ingest Template'!K779</f>
        <v/>
      </c>
      <c r="X779" s="5"/>
      <c r="Y779" s="5" t="str">
        <f>SUBSTITUTE(SUBSTITUTE(SUBSTITUTE('Ingest Template'!L779,"http:",""),"https:",""),"/","")</f>
        <v/>
      </c>
      <c r="Z779" s="5" t="str">
        <f t="array" ref="Z779">IF('Ingest Template'!A779="Standard",(IF(ISBLANK('Ingest Template'!M779),"", 'Ingest Template'!M779&amp;"|DAR")),(IF(ISBLANK('Ingest Template'!M779),"", 'Ingest Template'!M779&amp;"|Operations - Core Title")))</f>
        <v/>
      </c>
      <c r="AA779" s="5"/>
      <c r="AB779" s="5" t="str">
        <f>'Ingest Template'!F779</f>
        <v/>
      </c>
      <c r="AC779" s="5"/>
      <c r="AD779" s="5"/>
      <c r="AE779" s="5"/>
      <c r="AF779" s="8"/>
      <c r="AG779" s="5" t="str">
        <f t="array" ref="AG779">IF('Ingest Template'!A779="Standard",(CONCATENATE(IF(ISBLANK('Ingest Template'!N779),"", 'Ingest Template'!N779&amp;"|DAR"),CHAR(10), IF(ISBLANK('Ingest Template'!O779),"", 'Ingest Template'!O779&amp;"|DAR"),CHAR(10), IF(ISBLANK('Ingest Template'!P779),"", 'Ingest Template'!P779&amp;"|DAR"))),(CONCATENATE(IF(ISBLANK('Ingest Template'!N779),"", 'Ingest Template'!N779&amp;"|Operations - Core Title"),CHAR(10), IF(ISBLANK('Ingest Template'!O779),"", 'Ingest Template'!O779&amp;"|Operations - Core Title"),CHAR(10), IF(ISBLANK('Ingest Template'!P779),"", 'Ingest Template'!P779&amp;"|Operations - Core Title"))))</f>
        <v>#|Operations - Core Title
</v>
      </c>
      <c r="AH779" s="5"/>
      <c r="AI779" s="5"/>
      <c r="AJ779" s="5"/>
      <c r="AK779" s="5"/>
      <c r="AL779" s="5"/>
    </row>
    <row r="780">
      <c r="A780" s="5"/>
      <c r="B780" s="5" t="str">
        <f>'Ingest Template'!B780&amp;IF('Ingest Template'!A780 = "Standard", " - DAR","")</f>
        <v/>
      </c>
      <c r="C780" s="6" t="str">
        <f>'Ingest Template'!C780</f>
        <v/>
      </c>
      <c r="D780" s="7" t="str">
        <f>'Ingest Template'!E780</f>
        <v/>
      </c>
      <c r="E780" s="5"/>
      <c r="F780" s="5"/>
      <c r="G780" s="5"/>
      <c r="H780" s="7"/>
      <c r="I780" s="5"/>
      <c r="J780" s="7" t="str">
        <f>'Ingest Template'!Q780</f>
        <v/>
      </c>
      <c r="K780" s="5" t="str">
        <f>'Ingest Template'!R780</f>
        <v/>
      </c>
      <c r="L780" s="8" t="s">
        <v>38</v>
      </c>
      <c r="M780" s="9"/>
      <c r="N780" s="5"/>
      <c r="O780" s="5"/>
      <c r="P780" s="5"/>
      <c r="Q780" s="5"/>
      <c r="R780" s="5" t="str">
        <f>'Ingest Template'!D780</f>
        <v/>
      </c>
      <c r="S780" s="5" t="str">
        <f>'Ingest Template'!G780</f>
        <v/>
      </c>
      <c r="T780" s="5" t="str">
        <f>'Ingest Template'!H780</f>
        <v/>
      </c>
      <c r="U780" s="5" t="str">
        <f>LOWER(SUBSTITUTE(SUBSTITUTE(SUBSTITUTE(SUBSTITUTE(SUBSTITUTE('Ingest Template'!I780,"https:",""),"www.",""),"/",""),"?hl=en",""),"instagram.com",""))</f>
        <v/>
      </c>
      <c r="V780" s="10" t="str">
        <f>'Ingest Template'!J780</f>
        <v/>
      </c>
      <c r="W780" s="10" t="str">
        <f>'Ingest Template'!K780</f>
        <v/>
      </c>
      <c r="X780" s="5"/>
      <c r="Y780" s="5" t="str">
        <f>SUBSTITUTE(SUBSTITUTE(SUBSTITUTE('Ingest Template'!L780,"http:",""),"https:",""),"/","")</f>
        <v/>
      </c>
      <c r="Z780" s="5" t="str">
        <f t="array" ref="Z780">IF('Ingest Template'!A780="Standard",(IF(ISBLANK('Ingest Template'!M780),"", 'Ingest Template'!M780&amp;"|DAR")),(IF(ISBLANK('Ingest Template'!M780),"", 'Ingest Template'!M780&amp;"|Operations - Core Title")))</f>
        <v/>
      </c>
      <c r="AA780" s="5"/>
      <c r="AB780" s="5" t="str">
        <f>'Ingest Template'!F780</f>
        <v/>
      </c>
      <c r="AC780" s="5"/>
      <c r="AD780" s="5"/>
      <c r="AE780" s="5"/>
      <c r="AF780" s="8"/>
      <c r="AG780" s="5" t="str">
        <f t="array" ref="AG780">IF('Ingest Template'!A780="Standard",(CONCATENATE(IF(ISBLANK('Ingest Template'!N780),"", 'Ingest Template'!N780&amp;"|DAR"),CHAR(10), IF(ISBLANK('Ingest Template'!O780),"", 'Ingest Template'!O780&amp;"|DAR"),CHAR(10), IF(ISBLANK('Ingest Template'!P780),"", 'Ingest Template'!P780&amp;"|DAR"))),(CONCATENATE(IF(ISBLANK('Ingest Template'!N780),"", 'Ingest Template'!N780&amp;"|Operations - Core Title"),CHAR(10), IF(ISBLANK('Ingest Template'!O780),"", 'Ingest Template'!O780&amp;"|Operations - Core Title"),CHAR(10), IF(ISBLANK('Ingest Template'!P780),"", 'Ingest Template'!P780&amp;"|Operations - Core Title"))))</f>
        <v>#|Operations - Core Title
</v>
      </c>
      <c r="AH780" s="5"/>
      <c r="AI780" s="5"/>
      <c r="AJ780" s="5"/>
      <c r="AK780" s="5"/>
      <c r="AL780" s="5"/>
    </row>
    <row r="781">
      <c r="A781" s="5"/>
      <c r="B781" s="5" t="str">
        <f>'Ingest Template'!B781&amp;IF('Ingest Template'!A781 = "Standard", " - DAR","")</f>
        <v/>
      </c>
      <c r="C781" s="6" t="str">
        <f>'Ingest Template'!C781</f>
        <v/>
      </c>
      <c r="D781" s="7" t="str">
        <f>'Ingest Template'!E781</f>
        <v/>
      </c>
      <c r="E781" s="5"/>
      <c r="F781" s="5"/>
      <c r="G781" s="5"/>
      <c r="H781" s="7"/>
      <c r="I781" s="5"/>
      <c r="J781" s="7" t="str">
        <f>'Ingest Template'!Q781</f>
        <v/>
      </c>
      <c r="K781" s="5" t="str">
        <f>'Ingest Template'!R781</f>
        <v/>
      </c>
      <c r="L781" s="8" t="s">
        <v>38</v>
      </c>
      <c r="M781" s="9"/>
      <c r="N781" s="5"/>
      <c r="O781" s="5"/>
      <c r="P781" s="5"/>
      <c r="Q781" s="5"/>
      <c r="R781" s="5" t="str">
        <f>'Ingest Template'!D781</f>
        <v/>
      </c>
      <c r="S781" s="5" t="str">
        <f>'Ingest Template'!G781</f>
        <v/>
      </c>
      <c r="T781" s="5" t="str">
        <f>'Ingest Template'!H781</f>
        <v/>
      </c>
      <c r="U781" s="5" t="str">
        <f>LOWER(SUBSTITUTE(SUBSTITUTE(SUBSTITUTE(SUBSTITUTE(SUBSTITUTE('Ingest Template'!I781,"https:",""),"www.",""),"/",""),"?hl=en",""),"instagram.com",""))</f>
        <v/>
      </c>
      <c r="V781" s="10" t="str">
        <f>'Ingest Template'!J781</f>
        <v/>
      </c>
      <c r="W781" s="10" t="str">
        <f>'Ingest Template'!K781</f>
        <v/>
      </c>
      <c r="X781" s="5"/>
      <c r="Y781" s="5" t="str">
        <f>SUBSTITUTE(SUBSTITUTE(SUBSTITUTE('Ingest Template'!L781,"http:",""),"https:",""),"/","")</f>
        <v/>
      </c>
      <c r="Z781" s="5" t="str">
        <f t="array" ref="Z781">IF('Ingest Template'!A781="Standard",(IF(ISBLANK('Ingest Template'!M781),"", 'Ingest Template'!M781&amp;"|DAR")),(IF(ISBLANK('Ingest Template'!M781),"", 'Ingest Template'!M781&amp;"|Operations - Core Title")))</f>
        <v/>
      </c>
      <c r="AA781" s="5"/>
      <c r="AB781" s="5" t="str">
        <f>'Ingest Template'!F781</f>
        <v/>
      </c>
      <c r="AC781" s="5"/>
      <c r="AD781" s="5"/>
      <c r="AE781" s="5"/>
      <c r="AF781" s="8"/>
      <c r="AG781" s="5" t="str">
        <f t="array" ref="AG781">IF('Ingest Template'!A781="Standard",(CONCATENATE(IF(ISBLANK('Ingest Template'!N781),"", 'Ingest Template'!N781&amp;"|DAR"),CHAR(10), IF(ISBLANK('Ingest Template'!O781),"", 'Ingest Template'!O781&amp;"|DAR"),CHAR(10), IF(ISBLANK('Ingest Template'!P781),"", 'Ingest Template'!P781&amp;"|DAR"))),(CONCATENATE(IF(ISBLANK('Ingest Template'!N781),"", 'Ingest Template'!N781&amp;"|Operations - Core Title"),CHAR(10), IF(ISBLANK('Ingest Template'!O781),"", 'Ingest Template'!O781&amp;"|Operations - Core Title"),CHAR(10), IF(ISBLANK('Ingest Template'!P781),"", 'Ingest Template'!P781&amp;"|Operations - Core Title"))))</f>
        <v>#|Operations - Core Title
</v>
      </c>
      <c r="AH781" s="5"/>
      <c r="AI781" s="5"/>
      <c r="AJ781" s="5"/>
      <c r="AK781" s="5"/>
      <c r="AL781" s="5"/>
    </row>
    <row r="782">
      <c r="A782" s="5"/>
      <c r="B782" s="5" t="str">
        <f>'Ingest Template'!B782&amp;IF('Ingest Template'!A782 = "Standard", " - DAR","")</f>
        <v/>
      </c>
      <c r="C782" s="6" t="str">
        <f>'Ingest Template'!C782</f>
        <v/>
      </c>
      <c r="D782" s="7" t="str">
        <f>'Ingest Template'!E782</f>
        <v/>
      </c>
      <c r="E782" s="5"/>
      <c r="F782" s="5"/>
      <c r="G782" s="5"/>
      <c r="H782" s="7"/>
      <c r="I782" s="5"/>
      <c r="J782" s="7" t="str">
        <f>'Ingest Template'!Q782</f>
        <v/>
      </c>
      <c r="K782" s="5" t="str">
        <f>'Ingest Template'!R782</f>
        <v/>
      </c>
      <c r="L782" s="8" t="s">
        <v>38</v>
      </c>
      <c r="M782" s="9"/>
      <c r="N782" s="5"/>
      <c r="O782" s="5"/>
      <c r="P782" s="5"/>
      <c r="Q782" s="5"/>
      <c r="R782" s="5" t="str">
        <f>'Ingest Template'!D782</f>
        <v/>
      </c>
      <c r="S782" s="5" t="str">
        <f>'Ingest Template'!G782</f>
        <v/>
      </c>
      <c r="T782" s="5" t="str">
        <f>'Ingest Template'!H782</f>
        <v/>
      </c>
      <c r="U782" s="5" t="str">
        <f>LOWER(SUBSTITUTE(SUBSTITUTE(SUBSTITUTE(SUBSTITUTE(SUBSTITUTE('Ingest Template'!I782,"https:",""),"www.",""),"/",""),"?hl=en",""),"instagram.com",""))</f>
        <v/>
      </c>
      <c r="V782" s="10" t="str">
        <f>'Ingest Template'!J782</f>
        <v/>
      </c>
      <c r="W782" s="10" t="str">
        <f>'Ingest Template'!K782</f>
        <v/>
      </c>
      <c r="X782" s="5"/>
      <c r="Y782" s="5" t="str">
        <f>SUBSTITUTE(SUBSTITUTE(SUBSTITUTE('Ingest Template'!L782,"http:",""),"https:",""),"/","")</f>
        <v/>
      </c>
      <c r="Z782" s="5" t="str">
        <f t="array" ref="Z782">IF('Ingest Template'!A782="Standard",(IF(ISBLANK('Ingest Template'!M782),"", 'Ingest Template'!M782&amp;"|DAR")),(IF(ISBLANK('Ingest Template'!M782),"", 'Ingest Template'!M782&amp;"|Operations - Core Title")))</f>
        <v/>
      </c>
      <c r="AA782" s="5"/>
      <c r="AB782" s="5" t="str">
        <f>'Ingest Template'!F782</f>
        <v/>
      </c>
      <c r="AC782" s="5"/>
      <c r="AD782" s="5"/>
      <c r="AE782" s="5"/>
      <c r="AF782" s="8"/>
      <c r="AG782" s="5" t="str">
        <f t="array" ref="AG782">IF('Ingest Template'!A782="Standard",(CONCATENATE(IF(ISBLANK('Ingest Template'!N782),"", 'Ingest Template'!N782&amp;"|DAR"),CHAR(10), IF(ISBLANK('Ingest Template'!O782),"", 'Ingest Template'!O782&amp;"|DAR"),CHAR(10), IF(ISBLANK('Ingest Template'!P782),"", 'Ingest Template'!P782&amp;"|DAR"))),(CONCATENATE(IF(ISBLANK('Ingest Template'!N782),"", 'Ingest Template'!N782&amp;"|Operations - Core Title"),CHAR(10), IF(ISBLANK('Ingest Template'!O782),"", 'Ingest Template'!O782&amp;"|Operations - Core Title"),CHAR(10), IF(ISBLANK('Ingest Template'!P782),"", 'Ingest Template'!P782&amp;"|Operations - Core Title"))))</f>
        <v>#|Operations - Core Title
</v>
      </c>
      <c r="AH782" s="5"/>
      <c r="AI782" s="5"/>
      <c r="AJ782" s="5"/>
      <c r="AK782" s="5"/>
      <c r="AL782" s="5"/>
    </row>
    <row r="783">
      <c r="A783" s="5"/>
      <c r="B783" s="5" t="str">
        <f>'Ingest Template'!B783&amp;IF('Ingest Template'!A783 = "Standard", " - DAR","")</f>
        <v/>
      </c>
      <c r="C783" s="6" t="str">
        <f>'Ingest Template'!C783</f>
        <v/>
      </c>
      <c r="D783" s="7" t="str">
        <f>'Ingest Template'!E783</f>
        <v/>
      </c>
      <c r="E783" s="5"/>
      <c r="F783" s="5"/>
      <c r="G783" s="5"/>
      <c r="H783" s="7"/>
      <c r="I783" s="5"/>
      <c r="J783" s="7" t="str">
        <f>'Ingest Template'!Q783</f>
        <v/>
      </c>
      <c r="K783" s="5" t="str">
        <f>'Ingest Template'!R783</f>
        <v/>
      </c>
      <c r="L783" s="8" t="s">
        <v>38</v>
      </c>
      <c r="M783" s="9"/>
      <c r="N783" s="5"/>
      <c r="O783" s="5"/>
      <c r="P783" s="5"/>
      <c r="Q783" s="5"/>
      <c r="R783" s="5" t="str">
        <f>'Ingest Template'!D783</f>
        <v/>
      </c>
      <c r="S783" s="5" t="str">
        <f>'Ingest Template'!G783</f>
        <v/>
      </c>
      <c r="T783" s="5" t="str">
        <f>'Ingest Template'!H783</f>
        <v/>
      </c>
      <c r="U783" s="5" t="str">
        <f>LOWER(SUBSTITUTE(SUBSTITUTE(SUBSTITUTE(SUBSTITUTE(SUBSTITUTE('Ingest Template'!I783,"https:",""),"www.",""),"/",""),"?hl=en",""),"instagram.com",""))</f>
        <v/>
      </c>
      <c r="V783" s="10" t="str">
        <f>'Ingest Template'!J783</f>
        <v/>
      </c>
      <c r="W783" s="10" t="str">
        <f>'Ingest Template'!K783</f>
        <v/>
      </c>
      <c r="X783" s="5"/>
      <c r="Y783" s="5" t="str">
        <f>SUBSTITUTE(SUBSTITUTE(SUBSTITUTE('Ingest Template'!L783,"http:",""),"https:",""),"/","")</f>
        <v/>
      </c>
      <c r="Z783" s="5" t="str">
        <f t="array" ref="Z783">IF('Ingest Template'!A783="Standard",(IF(ISBLANK('Ingest Template'!M783),"", 'Ingest Template'!M783&amp;"|DAR")),(IF(ISBLANK('Ingest Template'!M783),"", 'Ingest Template'!M783&amp;"|Operations - Core Title")))</f>
        <v/>
      </c>
      <c r="AA783" s="5"/>
      <c r="AB783" s="5" t="str">
        <f>'Ingest Template'!F783</f>
        <v/>
      </c>
      <c r="AC783" s="5"/>
      <c r="AD783" s="5"/>
      <c r="AE783" s="5"/>
      <c r="AF783" s="8"/>
      <c r="AG783" s="5" t="str">
        <f t="array" ref="AG783">IF('Ingest Template'!A783="Standard",(CONCATENATE(IF(ISBLANK('Ingest Template'!N783),"", 'Ingest Template'!N783&amp;"|DAR"),CHAR(10), IF(ISBLANK('Ingest Template'!O783),"", 'Ingest Template'!O783&amp;"|DAR"),CHAR(10), IF(ISBLANK('Ingest Template'!P783),"", 'Ingest Template'!P783&amp;"|DAR"))),(CONCATENATE(IF(ISBLANK('Ingest Template'!N783),"", 'Ingest Template'!N783&amp;"|Operations - Core Title"),CHAR(10), IF(ISBLANK('Ingest Template'!O783),"", 'Ingest Template'!O783&amp;"|Operations - Core Title"),CHAR(10), IF(ISBLANK('Ingest Template'!P783),"", 'Ingest Template'!P783&amp;"|Operations - Core Title"))))</f>
        <v>#|Operations - Core Title
</v>
      </c>
      <c r="AH783" s="5"/>
      <c r="AI783" s="5"/>
      <c r="AJ783" s="5"/>
      <c r="AK783" s="5"/>
      <c r="AL783" s="5"/>
    </row>
    <row r="784">
      <c r="A784" s="5"/>
      <c r="B784" s="5" t="str">
        <f>'Ingest Template'!B784&amp;IF('Ingest Template'!A784 = "Standard", " - DAR","")</f>
        <v/>
      </c>
      <c r="C784" s="6" t="str">
        <f>'Ingest Template'!C784</f>
        <v/>
      </c>
      <c r="D784" s="7" t="str">
        <f>'Ingest Template'!E784</f>
        <v/>
      </c>
      <c r="E784" s="5"/>
      <c r="F784" s="5"/>
      <c r="G784" s="5"/>
      <c r="H784" s="7"/>
      <c r="I784" s="5"/>
      <c r="J784" s="7" t="str">
        <f>'Ingest Template'!Q784</f>
        <v/>
      </c>
      <c r="K784" s="5" t="str">
        <f>'Ingest Template'!R784</f>
        <v/>
      </c>
      <c r="L784" s="8" t="s">
        <v>38</v>
      </c>
      <c r="M784" s="9"/>
      <c r="N784" s="5"/>
      <c r="O784" s="5"/>
      <c r="P784" s="5"/>
      <c r="Q784" s="5"/>
      <c r="R784" s="5" t="str">
        <f>'Ingest Template'!D784</f>
        <v/>
      </c>
      <c r="S784" s="5" t="str">
        <f>'Ingest Template'!G784</f>
        <v/>
      </c>
      <c r="T784" s="5" t="str">
        <f>'Ingest Template'!H784</f>
        <v/>
      </c>
      <c r="U784" s="5" t="str">
        <f>LOWER(SUBSTITUTE(SUBSTITUTE(SUBSTITUTE(SUBSTITUTE(SUBSTITUTE('Ingest Template'!I784,"https:",""),"www.",""),"/",""),"?hl=en",""),"instagram.com",""))</f>
        <v/>
      </c>
      <c r="V784" s="10" t="str">
        <f>'Ingest Template'!J784</f>
        <v/>
      </c>
      <c r="W784" s="10" t="str">
        <f>'Ingest Template'!K784</f>
        <v/>
      </c>
      <c r="X784" s="5"/>
      <c r="Y784" s="5" t="str">
        <f>SUBSTITUTE(SUBSTITUTE(SUBSTITUTE('Ingest Template'!L784,"http:",""),"https:",""),"/","")</f>
        <v/>
      </c>
      <c r="Z784" s="5" t="str">
        <f t="array" ref="Z784">IF('Ingest Template'!A784="Standard",(IF(ISBLANK('Ingest Template'!M784),"", 'Ingest Template'!M784&amp;"|DAR")),(IF(ISBLANK('Ingest Template'!M784),"", 'Ingest Template'!M784&amp;"|Operations - Core Title")))</f>
        <v/>
      </c>
      <c r="AA784" s="5"/>
      <c r="AB784" s="5" t="str">
        <f>'Ingest Template'!F784</f>
        <v/>
      </c>
      <c r="AC784" s="5"/>
      <c r="AD784" s="5"/>
      <c r="AE784" s="5"/>
      <c r="AF784" s="8"/>
      <c r="AG784" s="5" t="str">
        <f t="array" ref="AG784">IF('Ingest Template'!A784="Standard",(CONCATENATE(IF(ISBLANK('Ingest Template'!N784),"", 'Ingest Template'!N784&amp;"|DAR"),CHAR(10), IF(ISBLANK('Ingest Template'!O784),"", 'Ingest Template'!O784&amp;"|DAR"),CHAR(10), IF(ISBLANK('Ingest Template'!P784),"", 'Ingest Template'!P784&amp;"|DAR"))),(CONCATENATE(IF(ISBLANK('Ingest Template'!N784),"", 'Ingest Template'!N784&amp;"|Operations - Core Title"),CHAR(10), IF(ISBLANK('Ingest Template'!O784),"", 'Ingest Template'!O784&amp;"|Operations - Core Title"),CHAR(10), IF(ISBLANK('Ingest Template'!P784),"", 'Ingest Template'!P784&amp;"|Operations - Core Title"))))</f>
        <v>#|Operations - Core Title
</v>
      </c>
      <c r="AH784" s="5"/>
      <c r="AI784" s="5"/>
      <c r="AJ784" s="5"/>
      <c r="AK784" s="5"/>
      <c r="AL784" s="5"/>
    </row>
    <row r="785">
      <c r="A785" s="5"/>
      <c r="B785" s="5" t="str">
        <f>'Ingest Template'!B785&amp;IF('Ingest Template'!A785 = "Standard", " - DAR","")</f>
        <v/>
      </c>
      <c r="C785" s="6" t="str">
        <f>'Ingest Template'!C785</f>
        <v/>
      </c>
      <c r="D785" s="7" t="str">
        <f>'Ingest Template'!E785</f>
        <v/>
      </c>
      <c r="E785" s="5"/>
      <c r="F785" s="5"/>
      <c r="G785" s="5"/>
      <c r="H785" s="7"/>
      <c r="I785" s="5"/>
      <c r="J785" s="7" t="str">
        <f>'Ingest Template'!Q785</f>
        <v/>
      </c>
      <c r="K785" s="5" t="str">
        <f>'Ingest Template'!R785</f>
        <v/>
      </c>
      <c r="L785" s="8" t="s">
        <v>38</v>
      </c>
      <c r="M785" s="9"/>
      <c r="N785" s="5"/>
      <c r="O785" s="5"/>
      <c r="P785" s="5"/>
      <c r="Q785" s="5"/>
      <c r="R785" s="5" t="str">
        <f>'Ingest Template'!D785</f>
        <v/>
      </c>
      <c r="S785" s="5" t="str">
        <f>'Ingest Template'!G785</f>
        <v/>
      </c>
      <c r="T785" s="5" t="str">
        <f>'Ingest Template'!H785</f>
        <v/>
      </c>
      <c r="U785" s="5" t="str">
        <f>LOWER(SUBSTITUTE(SUBSTITUTE(SUBSTITUTE(SUBSTITUTE(SUBSTITUTE('Ingest Template'!I785,"https:",""),"www.",""),"/",""),"?hl=en",""),"instagram.com",""))</f>
        <v/>
      </c>
      <c r="V785" s="10" t="str">
        <f>'Ingest Template'!J785</f>
        <v/>
      </c>
      <c r="W785" s="10" t="str">
        <f>'Ingest Template'!K785</f>
        <v/>
      </c>
      <c r="X785" s="5"/>
      <c r="Y785" s="5" t="str">
        <f>SUBSTITUTE(SUBSTITUTE(SUBSTITUTE('Ingest Template'!L785,"http:",""),"https:",""),"/","")</f>
        <v/>
      </c>
      <c r="Z785" s="5" t="str">
        <f t="array" ref="Z785">IF('Ingest Template'!A785="Standard",(IF(ISBLANK('Ingest Template'!M785),"", 'Ingest Template'!M785&amp;"|DAR")),(IF(ISBLANK('Ingest Template'!M785),"", 'Ingest Template'!M785&amp;"|Operations - Core Title")))</f>
        <v/>
      </c>
      <c r="AA785" s="5"/>
      <c r="AB785" s="5" t="str">
        <f>'Ingest Template'!F785</f>
        <v/>
      </c>
      <c r="AC785" s="5"/>
      <c r="AD785" s="5"/>
      <c r="AE785" s="5"/>
      <c r="AF785" s="8"/>
      <c r="AG785" s="5" t="str">
        <f t="array" ref="AG785">IF('Ingest Template'!A785="Standard",(CONCATENATE(IF(ISBLANK('Ingest Template'!N785),"", 'Ingest Template'!N785&amp;"|DAR"),CHAR(10), IF(ISBLANK('Ingest Template'!O785),"", 'Ingest Template'!O785&amp;"|DAR"),CHAR(10), IF(ISBLANK('Ingest Template'!P785),"", 'Ingest Template'!P785&amp;"|DAR"))),(CONCATENATE(IF(ISBLANK('Ingest Template'!N785),"", 'Ingest Template'!N785&amp;"|Operations - Core Title"),CHAR(10), IF(ISBLANK('Ingest Template'!O785),"", 'Ingest Template'!O785&amp;"|Operations - Core Title"),CHAR(10), IF(ISBLANK('Ingest Template'!P785),"", 'Ingest Template'!P785&amp;"|Operations - Core Title"))))</f>
        <v>#|Operations - Core Title
</v>
      </c>
      <c r="AH785" s="5"/>
      <c r="AI785" s="5"/>
      <c r="AJ785" s="5"/>
      <c r="AK785" s="5"/>
      <c r="AL785" s="5"/>
    </row>
    <row r="786">
      <c r="A786" s="5"/>
      <c r="B786" s="5" t="str">
        <f>'Ingest Template'!B786&amp;IF('Ingest Template'!A786 = "Standard", " - DAR","")</f>
        <v/>
      </c>
      <c r="C786" s="6" t="str">
        <f>'Ingest Template'!C786</f>
        <v/>
      </c>
      <c r="D786" s="7" t="str">
        <f>'Ingest Template'!E786</f>
        <v/>
      </c>
      <c r="E786" s="5"/>
      <c r="F786" s="5"/>
      <c r="G786" s="5"/>
      <c r="H786" s="7"/>
      <c r="I786" s="5"/>
      <c r="J786" s="7" t="str">
        <f>'Ingest Template'!Q786</f>
        <v/>
      </c>
      <c r="K786" s="5" t="str">
        <f>'Ingest Template'!R786</f>
        <v/>
      </c>
      <c r="L786" s="8" t="s">
        <v>38</v>
      </c>
      <c r="M786" s="9"/>
      <c r="N786" s="5"/>
      <c r="O786" s="5"/>
      <c r="P786" s="5"/>
      <c r="Q786" s="5"/>
      <c r="R786" s="5" t="str">
        <f>'Ingest Template'!D786</f>
        <v/>
      </c>
      <c r="S786" s="5" t="str">
        <f>'Ingest Template'!G786</f>
        <v/>
      </c>
      <c r="T786" s="5" t="str">
        <f>'Ingest Template'!H786</f>
        <v/>
      </c>
      <c r="U786" s="5" t="str">
        <f>LOWER(SUBSTITUTE(SUBSTITUTE(SUBSTITUTE(SUBSTITUTE(SUBSTITUTE('Ingest Template'!I786,"https:",""),"www.",""),"/",""),"?hl=en",""),"instagram.com",""))</f>
        <v/>
      </c>
      <c r="V786" s="10" t="str">
        <f>'Ingest Template'!J786</f>
        <v/>
      </c>
      <c r="W786" s="10" t="str">
        <f>'Ingest Template'!K786</f>
        <v/>
      </c>
      <c r="X786" s="5"/>
      <c r="Y786" s="5" t="str">
        <f>SUBSTITUTE(SUBSTITUTE(SUBSTITUTE('Ingest Template'!L786,"http:",""),"https:",""),"/","")</f>
        <v/>
      </c>
      <c r="Z786" s="5" t="str">
        <f t="array" ref="Z786">IF('Ingest Template'!A786="Standard",(IF(ISBLANK('Ingest Template'!M786),"", 'Ingest Template'!M786&amp;"|DAR")),(IF(ISBLANK('Ingest Template'!M786),"", 'Ingest Template'!M786&amp;"|Operations - Core Title")))</f>
        <v/>
      </c>
      <c r="AA786" s="5"/>
      <c r="AB786" s="5" t="str">
        <f>'Ingest Template'!F786</f>
        <v/>
      </c>
      <c r="AC786" s="5"/>
      <c r="AD786" s="5"/>
      <c r="AE786" s="5"/>
      <c r="AF786" s="8"/>
      <c r="AG786" s="5" t="str">
        <f t="array" ref="AG786">IF('Ingest Template'!A786="Standard",(CONCATENATE(IF(ISBLANK('Ingest Template'!N786),"", 'Ingest Template'!N786&amp;"|DAR"),CHAR(10), IF(ISBLANK('Ingest Template'!O786),"", 'Ingest Template'!O786&amp;"|DAR"),CHAR(10), IF(ISBLANK('Ingest Template'!P786),"", 'Ingest Template'!P786&amp;"|DAR"))),(CONCATENATE(IF(ISBLANK('Ingest Template'!N786),"", 'Ingest Template'!N786&amp;"|Operations - Core Title"),CHAR(10), IF(ISBLANK('Ingest Template'!O786),"", 'Ingest Template'!O786&amp;"|Operations - Core Title"),CHAR(10), IF(ISBLANK('Ingest Template'!P786),"", 'Ingest Template'!P786&amp;"|Operations - Core Title"))))</f>
        <v>#|Operations - Core Title
</v>
      </c>
      <c r="AH786" s="5"/>
      <c r="AI786" s="5"/>
      <c r="AJ786" s="5"/>
      <c r="AK786" s="5"/>
      <c r="AL786" s="5"/>
    </row>
    <row r="787">
      <c r="A787" s="5"/>
      <c r="B787" s="5" t="str">
        <f>'Ingest Template'!B787&amp;IF('Ingest Template'!A787 = "Standard", " - DAR","")</f>
        <v/>
      </c>
      <c r="C787" s="6" t="str">
        <f>'Ingest Template'!C787</f>
        <v/>
      </c>
      <c r="D787" s="7" t="str">
        <f>'Ingest Template'!E787</f>
        <v/>
      </c>
      <c r="E787" s="5"/>
      <c r="F787" s="5"/>
      <c r="G787" s="5"/>
      <c r="H787" s="7"/>
      <c r="I787" s="5"/>
      <c r="J787" s="7" t="str">
        <f>'Ingest Template'!Q787</f>
        <v/>
      </c>
      <c r="K787" s="5" t="str">
        <f>'Ingest Template'!R787</f>
        <v/>
      </c>
      <c r="L787" s="8" t="s">
        <v>38</v>
      </c>
      <c r="M787" s="9"/>
      <c r="N787" s="5"/>
      <c r="O787" s="5"/>
      <c r="P787" s="5"/>
      <c r="Q787" s="5"/>
      <c r="R787" s="5" t="str">
        <f>'Ingest Template'!D787</f>
        <v/>
      </c>
      <c r="S787" s="5" t="str">
        <f>'Ingest Template'!G787</f>
        <v/>
      </c>
      <c r="T787" s="5" t="str">
        <f>'Ingest Template'!H787</f>
        <v/>
      </c>
      <c r="U787" s="5" t="str">
        <f>LOWER(SUBSTITUTE(SUBSTITUTE(SUBSTITUTE(SUBSTITUTE(SUBSTITUTE('Ingest Template'!I787,"https:",""),"www.",""),"/",""),"?hl=en",""),"instagram.com",""))</f>
        <v/>
      </c>
      <c r="V787" s="10" t="str">
        <f>'Ingest Template'!J787</f>
        <v/>
      </c>
      <c r="W787" s="10" t="str">
        <f>'Ingest Template'!K787</f>
        <v/>
      </c>
      <c r="X787" s="5"/>
      <c r="Y787" s="5" t="str">
        <f>SUBSTITUTE(SUBSTITUTE(SUBSTITUTE('Ingest Template'!L787,"http:",""),"https:",""),"/","")</f>
        <v/>
      </c>
      <c r="Z787" s="5" t="str">
        <f t="array" ref="Z787">IF('Ingest Template'!A787="Standard",(IF(ISBLANK('Ingest Template'!M787),"", 'Ingest Template'!M787&amp;"|DAR")),(IF(ISBLANK('Ingest Template'!M787),"", 'Ingest Template'!M787&amp;"|Operations - Core Title")))</f>
        <v/>
      </c>
      <c r="AA787" s="5"/>
      <c r="AB787" s="5" t="str">
        <f>'Ingest Template'!F787</f>
        <v/>
      </c>
      <c r="AC787" s="5"/>
      <c r="AD787" s="5"/>
      <c r="AE787" s="5"/>
      <c r="AF787" s="8"/>
      <c r="AG787" s="5" t="str">
        <f t="array" ref="AG787">IF('Ingest Template'!A787="Standard",(CONCATENATE(IF(ISBLANK('Ingest Template'!N787),"", 'Ingest Template'!N787&amp;"|DAR"),CHAR(10), IF(ISBLANK('Ingest Template'!O787),"", 'Ingest Template'!O787&amp;"|DAR"),CHAR(10), IF(ISBLANK('Ingest Template'!P787),"", 'Ingest Template'!P787&amp;"|DAR"))),(CONCATENATE(IF(ISBLANK('Ingest Template'!N787),"", 'Ingest Template'!N787&amp;"|Operations - Core Title"),CHAR(10), IF(ISBLANK('Ingest Template'!O787),"", 'Ingest Template'!O787&amp;"|Operations - Core Title"),CHAR(10), IF(ISBLANK('Ingest Template'!P787),"", 'Ingest Template'!P787&amp;"|Operations - Core Title"))))</f>
        <v>#|Operations - Core Title
</v>
      </c>
      <c r="AH787" s="5"/>
      <c r="AI787" s="5"/>
      <c r="AJ787" s="5"/>
      <c r="AK787" s="5"/>
      <c r="AL787" s="5"/>
    </row>
    <row r="788">
      <c r="A788" s="5"/>
      <c r="B788" s="5" t="str">
        <f>'Ingest Template'!B788&amp;IF('Ingest Template'!A788 = "Standard", " - DAR","")</f>
        <v/>
      </c>
      <c r="C788" s="6" t="str">
        <f>'Ingest Template'!C788</f>
        <v/>
      </c>
      <c r="D788" s="7" t="str">
        <f>'Ingest Template'!E788</f>
        <v/>
      </c>
      <c r="E788" s="5"/>
      <c r="F788" s="5"/>
      <c r="G788" s="5"/>
      <c r="H788" s="7"/>
      <c r="I788" s="5"/>
      <c r="J788" s="7" t="str">
        <f>'Ingest Template'!Q788</f>
        <v/>
      </c>
      <c r="K788" s="5" t="str">
        <f>'Ingest Template'!R788</f>
        <v/>
      </c>
      <c r="L788" s="8" t="s">
        <v>38</v>
      </c>
      <c r="M788" s="9"/>
      <c r="N788" s="5"/>
      <c r="O788" s="5"/>
      <c r="P788" s="5"/>
      <c r="Q788" s="5"/>
      <c r="R788" s="5" t="str">
        <f>'Ingest Template'!D788</f>
        <v/>
      </c>
      <c r="S788" s="5" t="str">
        <f>'Ingest Template'!G788</f>
        <v/>
      </c>
      <c r="T788" s="5" t="str">
        <f>'Ingest Template'!H788</f>
        <v/>
      </c>
      <c r="U788" s="5" t="str">
        <f>LOWER(SUBSTITUTE(SUBSTITUTE(SUBSTITUTE(SUBSTITUTE(SUBSTITUTE('Ingest Template'!I788,"https:",""),"www.",""),"/",""),"?hl=en",""),"instagram.com",""))</f>
        <v/>
      </c>
      <c r="V788" s="10" t="str">
        <f>'Ingest Template'!J788</f>
        <v/>
      </c>
      <c r="W788" s="10" t="str">
        <f>'Ingest Template'!K788</f>
        <v/>
      </c>
      <c r="X788" s="5"/>
      <c r="Y788" s="5" t="str">
        <f>SUBSTITUTE(SUBSTITUTE(SUBSTITUTE('Ingest Template'!L788,"http:",""),"https:",""),"/","")</f>
        <v/>
      </c>
      <c r="Z788" s="5" t="str">
        <f t="array" ref="Z788">IF('Ingest Template'!A788="Standard",(IF(ISBLANK('Ingest Template'!M788),"", 'Ingest Template'!M788&amp;"|DAR")),(IF(ISBLANK('Ingest Template'!M788),"", 'Ingest Template'!M788&amp;"|Operations - Core Title")))</f>
        <v/>
      </c>
      <c r="AA788" s="5"/>
      <c r="AB788" s="5" t="str">
        <f>'Ingest Template'!F788</f>
        <v/>
      </c>
      <c r="AC788" s="5"/>
      <c r="AD788" s="5"/>
      <c r="AE788" s="5"/>
      <c r="AF788" s="8"/>
      <c r="AG788" s="5" t="str">
        <f t="array" ref="AG788">IF('Ingest Template'!A788="Standard",(CONCATENATE(IF(ISBLANK('Ingest Template'!N788),"", 'Ingest Template'!N788&amp;"|DAR"),CHAR(10), IF(ISBLANK('Ingest Template'!O788),"", 'Ingest Template'!O788&amp;"|DAR"),CHAR(10), IF(ISBLANK('Ingest Template'!P788),"", 'Ingest Template'!P788&amp;"|DAR"))),(CONCATENATE(IF(ISBLANK('Ingest Template'!N788),"", 'Ingest Template'!N788&amp;"|Operations - Core Title"),CHAR(10), IF(ISBLANK('Ingest Template'!O788),"", 'Ingest Template'!O788&amp;"|Operations - Core Title"),CHAR(10), IF(ISBLANK('Ingest Template'!P788),"", 'Ingest Template'!P788&amp;"|Operations - Core Title"))))</f>
        <v>#|Operations - Core Title
</v>
      </c>
      <c r="AH788" s="5"/>
      <c r="AI788" s="5"/>
      <c r="AJ788" s="5"/>
      <c r="AK788" s="5"/>
      <c r="AL788" s="5"/>
    </row>
    <row r="789">
      <c r="A789" s="5"/>
      <c r="B789" s="5" t="str">
        <f>'Ingest Template'!B789&amp;IF('Ingest Template'!A789 = "Standard", " - DAR","")</f>
        <v/>
      </c>
      <c r="C789" s="6" t="str">
        <f>'Ingest Template'!C789</f>
        <v/>
      </c>
      <c r="D789" s="7" t="str">
        <f>'Ingest Template'!E789</f>
        <v/>
      </c>
      <c r="E789" s="5"/>
      <c r="F789" s="5"/>
      <c r="G789" s="5"/>
      <c r="H789" s="7"/>
      <c r="I789" s="5"/>
      <c r="J789" s="7" t="str">
        <f>'Ingest Template'!Q789</f>
        <v/>
      </c>
      <c r="K789" s="5" t="str">
        <f>'Ingest Template'!R789</f>
        <v/>
      </c>
      <c r="L789" s="8" t="s">
        <v>38</v>
      </c>
      <c r="M789" s="9"/>
      <c r="N789" s="5"/>
      <c r="O789" s="5"/>
      <c r="P789" s="5"/>
      <c r="Q789" s="5"/>
      <c r="R789" s="5" t="str">
        <f>'Ingest Template'!D789</f>
        <v/>
      </c>
      <c r="S789" s="5" t="str">
        <f>'Ingest Template'!G789</f>
        <v/>
      </c>
      <c r="T789" s="5" t="str">
        <f>'Ingest Template'!H789</f>
        <v/>
      </c>
      <c r="U789" s="5" t="str">
        <f>LOWER(SUBSTITUTE(SUBSTITUTE(SUBSTITUTE(SUBSTITUTE(SUBSTITUTE('Ingest Template'!I789,"https:",""),"www.",""),"/",""),"?hl=en",""),"instagram.com",""))</f>
        <v/>
      </c>
      <c r="V789" s="10" t="str">
        <f>'Ingest Template'!J789</f>
        <v/>
      </c>
      <c r="W789" s="10" t="str">
        <f>'Ingest Template'!K789</f>
        <v/>
      </c>
      <c r="X789" s="5"/>
      <c r="Y789" s="5" t="str">
        <f>SUBSTITUTE(SUBSTITUTE(SUBSTITUTE('Ingest Template'!L789,"http:",""),"https:",""),"/","")</f>
        <v/>
      </c>
      <c r="Z789" s="5" t="str">
        <f t="array" ref="Z789">IF('Ingest Template'!A789="Standard",(IF(ISBLANK('Ingest Template'!M789),"", 'Ingest Template'!M789&amp;"|DAR")),(IF(ISBLANK('Ingest Template'!M789),"", 'Ingest Template'!M789&amp;"|Operations - Core Title")))</f>
        <v/>
      </c>
      <c r="AA789" s="5"/>
      <c r="AB789" s="5" t="str">
        <f>'Ingest Template'!F789</f>
        <v/>
      </c>
      <c r="AC789" s="5"/>
      <c r="AD789" s="5"/>
      <c r="AE789" s="5"/>
      <c r="AF789" s="8"/>
      <c r="AG789" s="5" t="str">
        <f t="array" ref="AG789">IF('Ingest Template'!A789="Standard",(CONCATENATE(IF(ISBLANK('Ingest Template'!N789),"", 'Ingest Template'!N789&amp;"|DAR"),CHAR(10), IF(ISBLANK('Ingest Template'!O789),"", 'Ingest Template'!O789&amp;"|DAR"),CHAR(10), IF(ISBLANK('Ingest Template'!P789),"", 'Ingest Template'!P789&amp;"|DAR"))),(CONCATENATE(IF(ISBLANK('Ingest Template'!N789),"", 'Ingest Template'!N789&amp;"|Operations - Core Title"),CHAR(10), IF(ISBLANK('Ingest Template'!O789),"", 'Ingest Template'!O789&amp;"|Operations - Core Title"),CHAR(10), IF(ISBLANK('Ingest Template'!P789),"", 'Ingest Template'!P789&amp;"|Operations - Core Title"))))</f>
        <v>#|Operations - Core Title
</v>
      </c>
      <c r="AH789" s="5"/>
      <c r="AI789" s="5"/>
      <c r="AJ789" s="5"/>
      <c r="AK789" s="5"/>
      <c r="AL789" s="5"/>
    </row>
    <row r="790">
      <c r="A790" s="5"/>
      <c r="B790" s="5" t="str">
        <f>'Ingest Template'!B790&amp;IF('Ingest Template'!A790 = "Standard", " - DAR","")</f>
        <v/>
      </c>
      <c r="C790" s="6" t="str">
        <f>'Ingest Template'!C790</f>
        <v/>
      </c>
      <c r="D790" s="7" t="str">
        <f>'Ingest Template'!E790</f>
        <v/>
      </c>
      <c r="E790" s="5"/>
      <c r="F790" s="5"/>
      <c r="G790" s="5"/>
      <c r="H790" s="7"/>
      <c r="I790" s="5"/>
      <c r="J790" s="7" t="str">
        <f>'Ingest Template'!Q790</f>
        <v/>
      </c>
      <c r="K790" s="5" t="str">
        <f>'Ingest Template'!R790</f>
        <v/>
      </c>
      <c r="L790" s="8" t="s">
        <v>38</v>
      </c>
      <c r="M790" s="9"/>
      <c r="N790" s="5"/>
      <c r="O790" s="5"/>
      <c r="P790" s="5"/>
      <c r="Q790" s="5"/>
      <c r="R790" s="5" t="str">
        <f>'Ingest Template'!D790</f>
        <v/>
      </c>
      <c r="S790" s="5" t="str">
        <f>'Ingest Template'!G790</f>
        <v/>
      </c>
      <c r="T790" s="5" t="str">
        <f>'Ingest Template'!H790</f>
        <v/>
      </c>
      <c r="U790" s="5" t="str">
        <f>LOWER(SUBSTITUTE(SUBSTITUTE(SUBSTITUTE(SUBSTITUTE(SUBSTITUTE('Ingest Template'!I790,"https:",""),"www.",""),"/",""),"?hl=en",""),"instagram.com",""))</f>
        <v/>
      </c>
      <c r="V790" s="10" t="str">
        <f>'Ingest Template'!J790</f>
        <v/>
      </c>
      <c r="W790" s="10" t="str">
        <f>'Ingest Template'!K790</f>
        <v/>
      </c>
      <c r="X790" s="5"/>
      <c r="Y790" s="5" t="str">
        <f>SUBSTITUTE(SUBSTITUTE(SUBSTITUTE('Ingest Template'!L790,"http:",""),"https:",""),"/","")</f>
        <v/>
      </c>
      <c r="Z790" s="5" t="str">
        <f t="array" ref="Z790">IF('Ingest Template'!A790="Standard",(IF(ISBLANK('Ingest Template'!M790),"", 'Ingest Template'!M790&amp;"|DAR")),(IF(ISBLANK('Ingest Template'!M790),"", 'Ingest Template'!M790&amp;"|Operations - Core Title")))</f>
        <v/>
      </c>
      <c r="AA790" s="5"/>
      <c r="AB790" s="5" t="str">
        <f>'Ingest Template'!F790</f>
        <v/>
      </c>
      <c r="AC790" s="5"/>
      <c r="AD790" s="5"/>
      <c r="AE790" s="5"/>
      <c r="AF790" s="8"/>
      <c r="AG790" s="5" t="str">
        <f t="array" ref="AG790">IF('Ingest Template'!A790="Standard",(CONCATENATE(IF(ISBLANK('Ingest Template'!N790),"", 'Ingest Template'!N790&amp;"|DAR"),CHAR(10), IF(ISBLANK('Ingest Template'!O790),"", 'Ingest Template'!O790&amp;"|DAR"),CHAR(10), IF(ISBLANK('Ingest Template'!P790),"", 'Ingest Template'!P790&amp;"|DAR"))),(CONCATENATE(IF(ISBLANK('Ingest Template'!N790),"", 'Ingest Template'!N790&amp;"|Operations - Core Title"),CHAR(10), IF(ISBLANK('Ingest Template'!O790),"", 'Ingest Template'!O790&amp;"|Operations - Core Title"),CHAR(10), IF(ISBLANK('Ingest Template'!P790),"", 'Ingest Template'!P790&amp;"|Operations - Core Title"))))</f>
        <v>#|Operations - Core Title
</v>
      </c>
      <c r="AH790" s="5"/>
      <c r="AI790" s="5"/>
      <c r="AJ790" s="5"/>
      <c r="AK790" s="5"/>
      <c r="AL790" s="5"/>
    </row>
    <row r="791">
      <c r="A791" s="5"/>
      <c r="B791" s="5" t="str">
        <f>'Ingest Template'!B791&amp;IF('Ingest Template'!A791 = "Standard", " - DAR","")</f>
        <v/>
      </c>
      <c r="C791" s="6" t="str">
        <f>'Ingest Template'!C791</f>
        <v/>
      </c>
      <c r="D791" s="7" t="str">
        <f>'Ingest Template'!E791</f>
        <v/>
      </c>
      <c r="E791" s="5"/>
      <c r="F791" s="5"/>
      <c r="G791" s="5"/>
      <c r="H791" s="7"/>
      <c r="I791" s="5"/>
      <c r="J791" s="7" t="str">
        <f>'Ingest Template'!Q791</f>
        <v/>
      </c>
      <c r="K791" s="5" t="str">
        <f>'Ingest Template'!R791</f>
        <v/>
      </c>
      <c r="L791" s="8" t="s">
        <v>38</v>
      </c>
      <c r="M791" s="9"/>
      <c r="N791" s="5"/>
      <c r="O791" s="5"/>
      <c r="P791" s="5"/>
      <c r="Q791" s="5"/>
      <c r="R791" s="5" t="str">
        <f>'Ingest Template'!D791</f>
        <v/>
      </c>
      <c r="S791" s="5" t="str">
        <f>'Ingest Template'!G791</f>
        <v/>
      </c>
      <c r="T791" s="5" t="str">
        <f>'Ingest Template'!H791</f>
        <v/>
      </c>
      <c r="U791" s="5" t="str">
        <f>LOWER(SUBSTITUTE(SUBSTITUTE(SUBSTITUTE(SUBSTITUTE(SUBSTITUTE('Ingest Template'!I791,"https:",""),"www.",""),"/",""),"?hl=en",""),"instagram.com",""))</f>
        <v/>
      </c>
      <c r="V791" s="10" t="str">
        <f>'Ingest Template'!J791</f>
        <v/>
      </c>
      <c r="W791" s="10" t="str">
        <f>'Ingest Template'!K791</f>
        <v/>
      </c>
      <c r="X791" s="5"/>
      <c r="Y791" s="5" t="str">
        <f>SUBSTITUTE(SUBSTITUTE(SUBSTITUTE('Ingest Template'!L791,"http:",""),"https:",""),"/","")</f>
        <v/>
      </c>
      <c r="Z791" s="5" t="str">
        <f t="array" ref="Z791">IF('Ingest Template'!A791="Standard",(IF(ISBLANK('Ingest Template'!M791),"", 'Ingest Template'!M791&amp;"|DAR")),(IF(ISBLANK('Ingest Template'!M791),"", 'Ingest Template'!M791&amp;"|Operations - Core Title")))</f>
        <v/>
      </c>
      <c r="AA791" s="5"/>
      <c r="AB791" s="5" t="str">
        <f>'Ingest Template'!F791</f>
        <v/>
      </c>
      <c r="AC791" s="5"/>
      <c r="AD791" s="5"/>
      <c r="AE791" s="5"/>
      <c r="AF791" s="8"/>
      <c r="AG791" s="5" t="str">
        <f t="array" ref="AG791">IF('Ingest Template'!A791="Standard",(CONCATENATE(IF(ISBLANK('Ingest Template'!N791),"", 'Ingest Template'!N791&amp;"|DAR"),CHAR(10), IF(ISBLANK('Ingest Template'!O791),"", 'Ingest Template'!O791&amp;"|DAR"),CHAR(10), IF(ISBLANK('Ingest Template'!P791),"", 'Ingest Template'!P791&amp;"|DAR"))),(CONCATENATE(IF(ISBLANK('Ingest Template'!N791),"", 'Ingest Template'!N791&amp;"|Operations - Core Title"),CHAR(10), IF(ISBLANK('Ingest Template'!O791),"", 'Ingest Template'!O791&amp;"|Operations - Core Title"),CHAR(10), IF(ISBLANK('Ingest Template'!P791),"", 'Ingest Template'!P791&amp;"|Operations - Core Title"))))</f>
        <v>#|Operations - Core Title
</v>
      </c>
      <c r="AH791" s="5"/>
      <c r="AI791" s="5"/>
      <c r="AJ791" s="5"/>
      <c r="AK791" s="5"/>
      <c r="AL791" s="5"/>
    </row>
    <row r="792">
      <c r="A792" s="5"/>
      <c r="B792" s="5" t="str">
        <f>'Ingest Template'!B792&amp;IF('Ingest Template'!A792 = "Standard", " - DAR","")</f>
        <v/>
      </c>
      <c r="C792" s="6" t="str">
        <f>'Ingest Template'!C792</f>
        <v/>
      </c>
      <c r="D792" s="7" t="str">
        <f>'Ingest Template'!E792</f>
        <v/>
      </c>
      <c r="E792" s="5"/>
      <c r="F792" s="5"/>
      <c r="G792" s="5"/>
      <c r="H792" s="7"/>
      <c r="I792" s="5"/>
      <c r="J792" s="7" t="str">
        <f>'Ingest Template'!Q792</f>
        <v/>
      </c>
      <c r="K792" s="5" t="str">
        <f>'Ingest Template'!R792</f>
        <v/>
      </c>
      <c r="L792" s="8" t="s">
        <v>38</v>
      </c>
      <c r="M792" s="9"/>
      <c r="N792" s="5"/>
      <c r="O792" s="5"/>
      <c r="P792" s="5"/>
      <c r="Q792" s="5"/>
      <c r="R792" s="5" t="str">
        <f>'Ingest Template'!D792</f>
        <v/>
      </c>
      <c r="S792" s="5" t="str">
        <f>'Ingest Template'!G792</f>
        <v/>
      </c>
      <c r="T792" s="5" t="str">
        <f>'Ingest Template'!H792</f>
        <v/>
      </c>
      <c r="U792" s="5" t="str">
        <f>LOWER(SUBSTITUTE(SUBSTITUTE(SUBSTITUTE(SUBSTITUTE(SUBSTITUTE('Ingest Template'!I792,"https:",""),"www.",""),"/",""),"?hl=en",""),"instagram.com",""))</f>
        <v/>
      </c>
      <c r="V792" s="10" t="str">
        <f>'Ingest Template'!J792</f>
        <v/>
      </c>
      <c r="W792" s="10" t="str">
        <f>'Ingest Template'!K792</f>
        <v/>
      </c>
      <c r="X792" s="5"/>
      <c r="Y792" s="5" t="str">
        <f>SUBSTITUTE(SUBSTITUTE(SUBSTITUTE('Ingest Template'!L792,"http:",""),"https:",""),"/","")</f>
        <v/>
      </c>
      <c r="Z792" s="5" t="str">
        <f t="array" ref="Z792">IF('Ingest Template'!A792="Standard",(IF(ISBLANK('Ingest Template'!M792),"", 'Ingest Template'!M792&amp;"|DAR")),(IF(ISBLANK('Ingest Template'!M792),"", 'Ingest Template'!M792&amp;"|Operations - Core Title")))</f>
        <v/>
      </c>
      <c r="AA792" s="5"/>
      <c r="AB792" s="5" t="str">
        <f>'Ingest Template'!F792</f>
        <v/>
      </c>
      <c r="AC792" s="5"/>
      <c r="AD792" s="5"/>
      <c r="AE792" s="5"/>
      <c r="AF792" s="8"/>
      <c r="AG792" s="5" t="str">
        <f t="array" ref="AG792">IF('Ingest Template'!A792="Standard",(CONCATENATE(IF(ISBLANK('Ingest Template'!N792),"", 'Ingest Template'!N792&amp;"|DAR"),CHAR(10), IF(ISBLANK('Ingest Template'!O792),"", 'Ingest Template'!O792&amp;"|DAR"),CHAR(10), IF(ISBLANK('Ingest Template'!P792),"", 'Ingest Template'!P792&amp;"|DAR"))),(CONCATENATE(IF(ISBLANK('Ingest Template'!N792),"", 'Ingest Template'!N792&amp;"|Operations - Core Title"),CHAR(10), IF(ISBLANK('Ingest Template'!O792),"", 'Ingest Template'!O792&amp;"|Operations - Core Title"),CHAR(10), IF(ISBLANK('Ingest Template'!P792),"", 'Ingest Template'!P792&amp;"|Operations - Core Title"))))</f>
        <v>#|Operations - Core Title
</v>
      </c>
      <c r="AH792" s="5"/>
      <c r="AI792" s="5"/>
      <c r="AJ792" s="5"/>
      <c r="AK792" s="5"/>
      <c r="AL792" s="5"/>
    </row>
    <row r="793">
      <c r="A793" s="5"/>
      <c r="B793" s="5" t="str">
        <f>'Ingest Template'!B793&amp;IF('Ingest Template'!A793 = "Standard", " - DAR","")</f>
        <v/>
      </c>
      <c r="C793" s="6" t="str">
        <f>'Ingest Template'!C793</f>
        <v/>
      </c>
      <c r="D793" s="7" t="str">
        <f>'Ingest Template'!E793</f>
        <v/>
      </c>
      <c r="E793" s="5"/>
      <c r="F793" s="5"/>
      <c r="G793" s="5"/>
      <c r="H793" s="7"/>
      <c r="I793" s="5"/>
      <c r="J793" s="7" t="str">
        <f>'Ingest Template'!Q793</f>
        <v/>
      </c>
      <c r="K793" s="5" t="str">
        <f>'Ingest Template'!R793</f>
        <v/>
      </c>
      <c r="L793" s="8" t="s">
        <v>38</v>
      </c>
      <c r="M793" s="9"/>
      <c r="N793" s="5"/>
      <c r="O793" s="5"/>
      <c r="P793" s="5"/>
      <c r="Q793" s="5"/>
      <c r="R793" s="5" t="str">
        <f>'Ingest Template'!D793</f>
        <v/>
      </c>
      <c r="S793" s="5" t="str">
        <f>'Ingest Template'!G793</f>
        <v/>
      </c>
      <c r="T793" s="5" t="str">
        <f>'Ingest Template'!H793</f>
        <v/>
      </c>
      <c r="U793" s="5" t="str">
        <f>LOWER(SUBSTITUTE(SUBSTITUTE(SUBSTITUTE(SUBSTITUTE(SUBSTITUTE('Ingest Template'!I793,"https:",""),"www.",""),"/",""),"?hl=en",""),"instagram.com",""))</f>
        <v/>
      </c>
      <c r="V793" s="10" t="str">
        <f>'Ingest Template'!J793</f>
        <v/>
      </c>
      <c r="W793" s="10" t="str">
        <f>'Ingest Template'!K793</f>
        <v/>
      </c>
      <c r="X793" s="5"/>
      <c r="Y793" s="5" t="str">
        <f>SUBSTITUTE(SUBSTITUTE(SUBSTITUTE('Ingest Template'!L793,"http:",""),"https:",""),"/","")</f>
        <v/>
      </c>
      <c r="Z793" s="5" t="str">
        <f t="array" ref="Z793">IF('Ingest Template'!A793="Standard",(IF(ISBLANK('Ingest Template'!M793),"", 'Ingest Template'!M793&amp;"|DAR")),(IF(ISBLANK('Ingest Template'!M793),"", 'Ingest Template'!M793&amp;"|Operations - Core Title")))</f>
        <v/>
      </c>
      <c r="AA793" s="5"/>
      <c r="AB793" s="5" t="str">
        <f>'Ingest Template'!F793</f>
        <v/>
      </c>
      <c r="AC793" s="5"/>
      <c r="AD793" s="5"/>
      <c r="AE793" s="5"/>
      <c r="AF793" s="8"/>
      <c r="AG793" s="5" t="str">
        <f t="array" ref="AG793">IF('Ingest Template'!A793="Standard",(CONCATENATE(IF(ISBLANK('Ingest Template'!N793),"", 'Ingest Template'!N793&amp;"|DAR"),CHAR(10), IF(ISBLANK('Ingest Template'!O793),"", 'Ingest Template'!O793&amp;"|DAR"),CHAR(10), IF(ISBLANK('Ingest Template'!P793),"", 'Ingest Template'!P793&amp;"|DAR"))),(CONCATENATE(IF(ISBLANK('Ingest Template'!N793),"", 'Ingest Template'!N793&amp;"|Operations - Core Title"),CHAR(10), IF(ISBLANK('Ingest Template'!O793),"", 'Ingest Template'!O793&amp;"|Operations - Core Title"),CHAR(10), IF(ISBLANK('Ingest Template'!P793),"", 'Ingest Template'!P793&amp;"|Operations - Core Title"))))</f>
        <v>#|Operations - Core Title
</v>
      </c>
      <c r="AH793" s="5"/>
      <c r="AI793" s="5"/>
      <c r="AJ793" s="5"/>
      <c r="AK793" s="5"/>
      <c r="AL793" s="5"/>
    </row>
    <row r="794">
      <c r="A794" s="5"/>
      <c r="B794" s="5" t="str">
        <f>'Ingest Template'!B794&amp;IF('Ingest Template'!A794 = "Standard", " - DAR","")</f>
        <v/>
      </c>
      <c r="C794" s="6" t="str">
        <f>'Ingest Template'!C794</f>
        <v/>
      </c>
      <c r="D794" s="7" t="str">
        <f>'Ingest Template'!E794</f>
        <v/>
      </c>
      <c r="E794" s="5"/>
      <c r="F794" s="5"/>
      <c r="G794" s="5"/>
      <c r="H794" s="7"/>
      <c r="I794" s="5"/>
      <c r="J794" s="7" t="str">
        <f>'Ingest Template'!Q794</f>
        <v/>
      </c>
      <c r="K794" s="5" t="str">
        <f>'Ingest Template'!R794</f>
        <v/>
      </c>
      <c r="L794" s="8" t="s">
        <v>38</v>
      </c>
      <c r="M794" s="9"/>
      <c r="N794" s="5"/>
      <c r="O794" s="5"/>
      <c r="P794" s="5"/>
      <c r="Q794" s="5"/>
      <c r="R794" s="5" t="str">
        <f>'Ingest Template'!D794</f>
        <v/>
      </c>
      <c r="S794" s="5" t="str">
        <f>'Ingest Template'!G794</f>
        <v/>
      </c>
      <c r="T794" s="5" t="str">
        <f>'Ingest Template'!H794</f>
        <v/>
      </c>
      <c r="U794" s="5" t="str">
        <f>LOWER(SUBSTITUTE(SUBSTITUTE(SUBSTITUTE(SUBSTITUTE(SUBSTITUTE('Ingest Template'!I794,"https:",""),"www.",""),"/",""),"?hl=en",""),"instagram.com",""))</f>
        <v/>
      </c>
      <c r="V794" s="10" t="str">
        <f>'Ingest Template'!J794</f>
        <v/>
      </c>
      <c r="W794" s="10" t="str">
        <f>'Ingest Template'!K794</f>
        <v/>
      </c>
      <c r="X794" s="5"/>
      <c r="Y794" s="5" t="str">
        <f>SUBSTITUTE(SUBSTITUTE(SUBSTITUTE('Ingest Template'!L794,"http:",""),"https:",""),"/","")</f>
        <v/>
      </c>
      <c r="Z794" s="5" t="str">
        <f t="array" ref="Z794">IF('Ingest Template'!A794="Standard",(IF(ISBLANK('Ingest Template'!M794),"", 'Ingest Template'!M794&amp;"|DAR")),(IF(ISBLANK('Ingest Template'!M794),"", 'Ingest Template'!M794&amp;"|Operations - Core Title")))</f>
        <v/>
      </c>
      <c r="AA794" s="5"/>
      <c r="AB794" s="5" t="str">
        <f>'Ingest Template'!F794</f>
        <v/>
      </c>
      <c r="AC794" s="5"/>
      <c r="AD794" s="5"/>
      <c r="AE794" s="5"/>
      <c r="AF794" s="8"/>
      <c r="AG794" s="5" t="str">
        <f t="array" ref="AG794">IF('Ingest Template'!A794="Standard",(CONCATENATE(IF(ISBLANK('Ingest Template'!N794),"", 'Ingest Template'!N794&amp;"|DAR"),CHAR(10), IF(ISBLANK('Ingest Template'!O794),"", 'Ingest Template'!O794&amp;"|DAR"),CHAR(10), IF(ISBLANK('Ingest Template'!P794),"", 'Ingest Template'!P794&amp;"|DAR"))),(CONCATENATE(IF(ISBLANK('Ingest Template'!N794),"", 'Ingest Template'!N794&amp;"|Operations - Core Title"),CHAR(10), IF(ISBLANK('Ingest Template'!O794),"", 'Ingest Template'!O794&amp;"|Operations - Core Title"),CHAR(10), IF(ISBLANK('Ingest Template'!P794),"", 'Ingest Template'!P794&amp;"|Operations - Core Title"))))</f>
        <v>#|Operations - Core Title
</v>
      </c>
      <c r="AH794" s="5"/>
      <c r="AI794" s="5"/>
      <c r="AJ794" s="5"/>
      <c r="AK794" s="5"/>
      <c r="AL794" s="5"/>
    </row>
    <row r="795">
      <c r="A795" s="5"/>
      <c r="B795" s="5" t="str">
        <f>'Ingest Template'!B795&amp;IF('Ingest Template'!A795 = "Standard", " - DAR","")</f>
        <v/>
      </c>
      <c r="C795" s="6" t="str">
        <f>'Ingest Template'!C795</f>
        <v/>
      </c>
      <c r="D795" s="7" t="str">
        <f>'Ingest Template'!E795</f>
        <v/>
      </c>
      <c r="E795" s="5"/>
      <c r="F795" s="5"/>
      <c r="G795" s="5"/>
      <c r="H795" s="7"/>
      <c r="I795" s="5"/>
      <c r="J795" s="7" t="str">
        <f>'Ingest Template'!Q795</f>
        <v/>
      </c>
      <c r="K795" s="5" t="str">
        <f>'Ingest Template'!R795</f>
        <v/>
      </c>
      <c r="L795" s="8" t="s">
        <v>38</v>
      </c>
      <c r="M795" s="9"/>
      <c r="N795" s="5"/>
      <c r="O795" s="5"/>
      <c r="P795" s="5"/>
      <c r="Q795" s="5"/>
      <c r="R795" s="5" t="str">
        <f>'Ingest Template'!D795</f>
        <v/>
      </c>
      <c r="S795" s="5" t="str">
        <f>'Ingest Template'!G795</f>
        <v/>
      </c>
      <c r="T795" s="5" t="str">
        <f>'Ingest Template'!H795</f>
        <v/>
      </c>
      <c r="U795" s="5" t="str">
        <f>LOWER(SUBSTITUTE(SUBSTITUTE(SUBSTITUTE(SUBSTITUTE(SUBSTITUTE('Ingest Template'!I795,"https:",""),"www.",""),"/",""),"?hl=en",""),"instagram.com",""))</f>
        <v/>
      </c>
      <c r="V795" s="10" t="str">
        <f>'Ingest Template'!J795</f>
        <v/>
      </c>
      <c r="W795" s="10" t="str">
        <f>'Ingest Template'!K795</f>
        <v/>
      </c>
      <c r="X795" s="5"/>
      <c r="Y795" s="5" t="str">
        <f>SUBSTITUTE(SUBSTITUTE(SUBSTITUTE('Ingest Template'!L795,"http:",""),"https:",""),"/","")</f>
        <v/>
      </c>
      <c r="Z795" s="5" t="str">
        <f t="array" ref="Z795">IF('Ingest Template'!A795="Standard",(IF(ISBLANK('Ingest Template'!M795),"", 'Ingest Template'!M795&amp;"|DAR")),(IF(ISBLANK('Ingest Template'!M795),"", 'Ingest Template'!M795&amp;"|Operations - Core Title")))</f>
        <v/>
      </c>
      <c r="AA795" s="5"/>
      <c r="AB795" s="5" t="str">
        <f>'Ingest Template'!F795</f>
        <v/>
      </c>
      <c r="AC795" s="5"/>
      <c r="AD795" s="5"/>
      <c r="AE795" s="5"/>
      <c r="AF795" s="8"/>
      <c r="AG795" s="5" t="str">
        <f t="array" ref="AG795">IF('Ingest Template'!A795="Standard",(CONCATENATE(IF(ISBLANK('Ingest Template'!N795),"", 'Ingest Template'!N795&amp;"|DAR"),CHAR(10), IF(ISBLANK('Ingest Template'!O795),"", 'Ingest Template'!O795&amp;"|DAR"),CHAR(10), IF(ISBLANK('Ingest Template'!P795),"", 'Ingest Template'!P795&amp;"|DAR"))),(CONCATENATE(IF(ISBLANK('Ingest Template'!N795),"", 'Ingest Template'!N795&amp;"|Operations - Core Title"),CHAR(10), IF(ISBLANK('Ingest Template'!O795),"", 'Ingest Template'!O795&amp;"|Operations - Core Title"),CHAR(10), IF(ISBLANK('Ingest Template'!P795),"", 'Ingest Template'!P795&amp;"|Operations - Core Title"))))</f>
        <v>#|Operations - Core Title
</v>
      </c>
      <c r="AH795" s="5"/>
      <c r="AI795" s="5"/>
      <c r="AJ795" s="5"/>
      <c r="AK795" s="5"/>
      <c r="AL795" s="5"/>
    </row>
    <row r="796">
      <c r="A796" s="5"/>
      <c r="B796" s="5" t="str">
        <f>'Ingest Template'!B796&amp;IF('Ingest Template'!A796 = "Standard", " - DAR","")</f>
        <v/>
      </c>
      <c r="C796" s="6" t="str">
        <f>'Ingest Template'!C796</f>
        <v/>
      </c>
      <c r="D796" s="7" t="str">
        <f>'Ingest Template'!E796</f>
        <v/>
      </c>
      <c r="E796" s="5"/>
      <c r="F796" s="5"/>
      <c r="G796" s="5"/>
      <c r="H796" s="7"/>
      <c r="I796" s="5"/>
      <c r="J796" s="7" t="str">
        <f>'Ingest Template'!Q796</f>
        <v/>
      </c>
      <c r="K796" s="5" t="str">
        <f>'Ingest Template'!R796</f>
        <v/>
      </c>
      <c r="L796" s="8" t="s">
        <v>38</v>
      </c>
      <c r="M796" s="9"/>
      <c r="N796" s="5"/>
      <c r="O796" s="5"/>
      <c r="P796" s="5"/>
      <c r="Q796" s="5"/>
      <c r="R796" s="5" t="str">
        <f>'Ingest Template'!D796</f>
        <v/>
      </c>
      <c r="S796" s="5" t="str">
        <f>'Ingest Template'!G796</f>
        <v/>
      </c>
      <c r="T796" s="5" t="str">
        <f>'Ingest Template'!H796</f>
        <v/>
      </c>
      <c r="U796" s="5" t="str">
        <f>LOWER(SUBSTITUTE(SUBSTITUTE(SUBSTITUTE(SUBSTITUTE(SUBSTITUTE('Ingest Template'!I796,"https:",""),"www.",""),"/",""),"?hl=en",""),"instagram.com",""))</f>
        <v/>
      </c>
      <c r="V796" s="10" t="str">
        <f>'Ingest Template'!J796</f>
        <v/>
      </c>
      <c r="W796" s="10" t="str">
        <f>'Ingest Template'!K796</f>
        <v/>
      </c>
      <c r="X796" s="5"/>
      <c r="Y796" s="5" t="str">
        <f>SUBSTITUTE(SUBSTITUTE(SUBSTITUTE('Ingest Template'!L796,"http:",""),"https:",""),"/","")</f>
        <v/>
      </c>
      <c r="Z796" s="5" t="str">
        <f t="array" ref="Z796">IF('Ingest Template'!A796="Standard",(IF(ISBLANK('Ingest Template'!M796),"", 'Ingest Template'!M796&amp;"|DAR")),(IF(ISBLANK('Ingest Template'!M796),"", 'Ingest Template'!M796&amp;"|Operations - Core Title")))</f>
        <v/>
      </c>
      <c r="AA796" s="5"/>
      <c r="AB796" s="5" t="str">
        <f>'Ingest Template'!F796</f>
        <v/>
      </c>
      <c r="AC796" s="5"/>
      <c r="AD796" s="5"/>
      <c r="AE796" s="5"/>
      <c r="AF796" s="8"/>
      <c r="AG796" s="5" t="str">
        <f t="array" ref="AG796">IF('Ingest Template'!A796="Standard",(CONCATENATE(IF(ISBLANK('Ingest Template'!N796),"", 'Ingest Template'!N796&amp;"|DAR"),CHAR(10), IF(ISBLANK('Ingest Template'!O796),"", 'Ingest Template'!O796&amp;"|DAR"),CHAR(10), IF(ISBLANK('Ingest Template'!P796),"", 'Ingest Template'!P796&amp;"|DAR"))),(CONCATENATE(IF(ISBLANK('Ingest Template'!N796),"", 'Ingest Template'!N796&amp;"|Operations - Core Title"),CHAR(10), IF(ISBLANK('Ingest Template'!O796),"", 'Ingest Template'!O796&amp;"|Operations - Core Title"),CHAR(10), IF(ISBLANK('Ingest Template'!P796),"", 'Ingest Template'!P796&amp;"|Operations - Core Title"))))</f>
        <v>#|Operations - Core Title
</v>
      </c>
      <c r="AH796" s="5"/>
      <c r="AI796" s="5"/>
      <c r="AJ796" s="5"/>
      <c r="AK796" s="5"/>
      <c r="AL796" s="5"/>
    </row>
    <row r="797">
      <c r="A797" s="5"/>
      <c r="B797" s="5" t="str">
        <f>'Ingest Template'!B797&amp;IF('Ingest Template'!A797 = "Standard", " - DAR","")</f>
        <v/>
      </c>
      <c r="C797" s="6" t="str">
        <f>'Ingest Template'!C797</f>
        <v/>
      </c>
      <c r="D797" s="7" t="str">
        <f>'Ingest Template'!E797</f>
        <v/>
      </c>
      <c r="E797" s="5"/>
      <c r="F797" s="5"/>
      <c r="G797" s="5"/>
      <c r="H797" s="7"/>
      <c r="I797" s="5"/>
      <c r="J797" s="7" t="str">
        <f>'Ingest Template'!Q797</f>
        <v/>
      </c>
      <c r="K797" s="5" t="str">
        <f>'Ingest Template'!R797</f>
        <v/>
      </c>
      <c r="L797" s="8" t="s">
        <v>38</v>
      </c>
      <c r="M797" s="9"/>
      <c r="N797" s="5"/>
      <c r="O797" s="5"/>
      <c r="P797" s="5"/>
      <c r="Q797" s="5"/>
      <c r="R797" s="5" t="str">
        <f>'Ingest Template'!D797</f>
        <v/>
      </c>
      <c r="S797" s="5" t="str">
        <f>'Ingest Template'!G797</f>
        <v/>
      </c>
      <c r="T797" s="5" t="str">
        <f>'Ingest Template'!H797</f>
        <v/>
      </c>
      <c r="U797" s="5" t="str">
        <f>LOWER(SUBSTITUTE(SUBSTITUTE(SUBSTITUTE(SUBSTITUTE(SUBSTITUTE('Ingest Template'!I797,"https:",""),"www.",""),"/",""),"?hl=en",""),"instagram.com",""))</f>
        <v/>
      </c>
      <c r="V797" s="10" t="str">
        <f>'Ingest Template'!J797</f>
        <v/>
      </c>
      <c r="W797" s="10" t="str">
        <f>'Ingest Template'!K797</f>
        <v/>
      </c>
      <c r="X797" s="5"/>
      <c r="Y797" s="5" t="str">
        <f>SUBSTITUTE(SUBSTITUTE(SUBSTITUTE('Ingest Template'!L797,"http:",""),"https:",""),"/","")</f>
        <v/>
      </c>
      <c r="Z797" s="5" t="str">
        <f t="array" ref="Z797">IF('Ingest Template'!A797="Standard",(IF(ISBLANK('Ingest Template'!M797),"", 'Ingest Template'!M797&amp;"|DAR")),(IF(ISBLANK('Ingest Template'!M797),"", 'Ingest Template'!M797&amp;"|Operations - Core Title")))</f>
        <v/>
      </c>
      <c r="AA797" s="5"/>
      <c r="AB797" s="5" t="str">
        <f>'Ingest Template'!F797</f>
        <v/>
      </c>
      <c r="AC797" s="5"/>
      <c r="AD797" s="5"/>
      <c r="AE797" s="5"/>
      <c r="AF797" s="8"/>
      <c r="AG797" s="5" t="str">
        <f t="array" ref="AG797">IF('Ingest Template'!A797="Standard",(CONCATENATE(IF(ISBLANK('Ingest Template'!N797),"", 'Ingest Template'!N797&amp;"|DAR"),CHAR(10), IF(ISBLANK('Ingest Template'!O797),"", 'Ingest Template'!O797&amp;"|DAR"),CHAR(10), IF(ISBLANK('Ingest Template'!P797),"", 'Ingest Template'!P797&amp;"|DAR"))),(CONCATENATE(IF(ISBLANK('Ingest Template'!N797),"", 'Ingest Template'!N797&amp;"|Operations - Core Title"),CHAR(10), IF(ISBLANK('Ingest Template'!O797),"", 'Ingest Template'!O797&amp;"|Operations - Core Title"),CHAR(10), IF(ISBLANK('Ingest Template'!P797),"", 'Ingest Template'!P797&amp;"|Operations - Core Title"))))</f>
        <v>#|Operations - Core Title
</v>
      </c>
      <c r="AH797" s="5"/>
      <c r="AI797" s="5"/>
      <c r="AJ797" s="5"/>
      <c r="AK797" s="5"/>
      <c r="AL797" s="5"/>
    </row>
    <row r="798">
      <c r="A798" s="5"/>
      <c r="B798" s="5" t="str">
        <f>'Ingest Template'!B798&amp;IF('Ingest Template'!A798 = "Standard", " - DAR","")</f>
        <v/>
      </c>
      <c r="C798" s="6" t="str">
        <f>'Ingest Template'!C798</f>
        <v/>
      </c>
      <c r="D798" s="7" t="str">
        <f>'Ingest Template'!E798</f>
        <v/>
      </c>
      <c r="E798" s="5"/>
      <c r="F798" s="5"/>
      <c r="G798" s="5"/>
      <c r="H798" s="7"/>
      <c r="I798" s="5"/>
      <c r="J798" s="7" t="str">
        <f>'Ingest Template'!Q798</f>
        <v/>
      </c>
      <c r="K798" s="5" t="str">
        <f>'Ingest Template'!R798</f>
        <v/>
      </c>
      <c r="L798" s="8" t="s">
        <v>38</v>
      </c>
      <c r="M798" s="9"/>
      <c r="N798" s="5"/>
      <c r="O798" s="5"/>
      <c r="P798" s="5"/>
      <c r="Q798" s="5"/>
      <c r="R798" s="5" t="str">
        <f>'Ingest Template'!D798</f>
        <v/>
      </c>
      <c r="S798" s="5" t="str">
        <f>'Ingest Template'!G798</f>
        <v/>
      </c>
      <c r="T798" s="5" t="str">
        <f>'Ingest Template'!H798</f>
        <v/>
      </c>
      <c r="U798" s="5" t="str">
        <f>LOWER(SUBSTITUTE(SUBSTITUTE(SUBSTITUTE(SUBSTITUTE(SUBSTITUTE('Ingest Template'!I798,"https:",""),"www.",""),"/",""),"?hl=en",""),"instagram.com",""))</f>
        <v/>
      </c>
      <c r="V798" s="10" t="str">
        <f>'Ingest Template'!J798</f>
        <v/>
      </c>
      <c r="W798" s="10" t="str">
        <f>'Ingest Template'!K798</f>
        <v/>
      </c>
      <c r="X798" s="5"/>
      <c r="Y798" s="5" t="str">
        <f>SUBSTITUTE(SUBSTITUTE(SUBSTITUTE('Ingest Template'!L798,"http:",""),"https:",""),"/","")</f>
        <v/>
      </c>
      <c r="Z798" s="5" t="str">
        <f t="array" ref="Z798">IF('Ingest Template'!A798="Standard",(IF(ISBLANK('Ingest Template'!M798),"", 'Ingest Template'!M798&amp;"|DAR")),(IF(ISBLANK('Ingest Template'!M798),"", 'Ingest Template'!M798&amp;"|Operations - Core Title")))</f>
        <v/>
      </c>
      <c r="AA798" s="5"/>
      <c r="AB798" s="5" t="str">
        <f>'Ingest Template'!F798</f>
        <v/>
      </c>
      <c r="AC798" s="5"/>
      <c r="AD798" s="5"/>
      <c r="AE798" s="5"/>
      <c r="AF798" s="8"/>
      <c r="AG798" s="5" t="str">
        <f t="array" ref="AG798">IF('Ingest Template'!A798="Standard",(CONCATENATE(IF(ISBLANK('Ingest Template'!N798),"", 'Ingest Template'!N798&amp;"|DAR"),CHAR(10), IF(ISBLANK('Ingest Template'!O798),"", 'Ingest Template'!O798&amp;"|DAR"),CHAR(10), IF(ISBLANK('Ingest Template'!P798),"", 'Ingest Template'!P798&amp;"|DAR"))),(CONCATENATE(IF(ISBLANK('Ingest Template'!N798),"", 'Ingest Template'!N798&amp;"|Operations - Core Title"),CHAR(10), IF(ISBLANK('Ingest Template'!O798),"", 'Ingest Template'!O798&amp;"|Operations - Core Title"),CHAR(10), IF(ISBLANK('Ingest Template'!P798),"", 'Ingest Template'!P798&amp;"|Operations - Core Title"))))</f>
        <v>#|Operations - Core Title
</v>
      </c>
      <c r="AH798" s="5"/>
      <c r="AI798" s="5"/>
      <c r="AJ798" s="5"/>
      <c r="AK798" s="5"/>
      <c r="AL798" s="5"/>
    </row>
    <row r="799">
      <c r="A799" s="5"/>
      <c r="B799" s="5" t="str">
        <f>'Ingest Template'!B799&amp;IF('Ingest Template'!A799 = "Standard", " - DAR","")</f>
        <v/>
      </c>
      <c r="C799" s="6" t="str">
        <f>'Ingest Template'!C799</f>
        <v/>
      </c>
      <c r="D799" s="7" t="str">
        <f>'Ingest Template'!E799</f>
        <v/>
      </c>
      <c r="E799" s="5"/>
      <c r="F799" s="5"/>
      <c r="G799" s="5"/>
      <c r="H799" s="7"/>
      <c r="I799" s="5"/>
      <c r="J799" s="7" t="str">
        <f>'Ingest Template'!Q799</f>
        <v/>
      </c>
      <c r="K799" s="5" t="str">
        <f>'Ingest Template'!R799</f>
        <v/>
      </c>
      <c r="L799" s="8" t="s">
        <v>38</v>
      </c>
      <c r="M799" s="9"/>
      <c r="N799" s="5"/>
      <c r="O799" s="5"/>
      <c r="P799" s="5"/>
      <c r="Q799" s="5"/>
      <c r="R799" s="5" t="str">
        <f>'Ingest Template'!D799</f>
        <v/>
      </c>
      <c r="S799" s="5" t="str">
        <f>'Ingest Template'!G799</f>
        <v/>
      </c>
      <c r="T799" s="5" t="str">
        <f>'Ingest Template'!H799</f>
        <v/>
      </c>
      <c r="U799" s="5" t="str">
        <f>LOWER(SUBSTITUTE(SUBSTITUTE(SUBSTITUTE(SUBSTITUTE(SUBSTITUTE('Ingest Template'!I799,"https:",""),"www.",""),"/",""),"?hl=en",""),"instagram.com",""))</f>
        <v/>
      </c>
      <c r="V799" s="10" t="str">
        <f>'Ingest Template'!J799</f>
        <v/>
      </c>
      <c r="W799" s="10" t="str">
        <f>'Ingest Template'!K799</f>
        <v/>
      </c>
      <c r="X799" s="5"/>
      <c r="Y799" s="5" t="str">
        <f>SUBSTITUTE(SUBSTITUTE(SUBSTITUTE('Ingest Template'!L799,"http:",""),"https:",""),"/","")</f>
        <v/>
      </c>
      <c r="Z799" s="5" t="str">
        <f t="array" ref="Z799">IF('Ingest Template'!A799="Standard",(IF(ISBLANK('Ingest Template'!M799),"", 'Ingest Template'!M799&amp;"|DAR")),(IF(ISBLANK('Ingest Template'!M799),"", 'Ingest Template'!M799&amp;"|Operations - Core Title")))</f>
        <v/>
      </c>
      <c r="AA799" s="5"/>
      <c r="AB799" s="5" t="str">
        <f>'Ingest Template'!F799</f>
        <v/>
      </c>
      <c r="AC799" s="5"/>
      <c r="AD799" s="5"/>
      <c r="AE799" s="5"/>
      <c r="AF799" s="8"/>
      <c r="AG799" s="5" t="str">
        <f t="array" ref="AG799">IF('Ingest Template'!A799="Standard",(CONCATENATE(IF(ISBLANK('Ingest Template'!N799),"", 'Ingest Template'!N799&amp;"|DAR"),CHAR(10), IF(ISBLANK('Ingest Template'!O799),"", 'Ingest Template'!O799&amp;"|DAR"),CHAR(10), IF(ISBLANK('Ingest Template'!P799),"", 'Ingest Template'!P799&amp;"|DAR"))),(CONCATENATE(IF(ISBLANK('Ingest Template'!N799),"", 'Ingest Template'!N799&amp;"|Operations - Core Title"),CHAR(10), IF(ISBLANK('Ingest Template'!O799),"", 'Ingest Template'!O799&amp;"|Operations - Core Title"),CHAR(10), IF(ISBLANK('Ingest Template'!P799),"", 'Ingest Template'!P799&amp;"|Operations - Core Title"))))</f>
        <v>#|Operations - Core Title
</v>
      </c>
      <c r="AH799" s="5"/>
      <c r="AI799" s="5"/>
      <c r="AJ799" s="5"/>
      <c r="AK799" s="5"/>
      <c r="AL799" s="5"/>
    </row>
    <row r="800">
      <c r="A800" s="5"/>
      <c r="B800" s="5" t="str">
        <f>'Ingest Template'!B800&amp;IF('Ingest Template'!A800 = "Standard", " - DAR","")</f>
        <v/>
      </c>
      <c r="C800" s="6" t="str">
        <f>'Ingest Template'!C800</f>
        <v/>
      </c>
      <c r="D800" s="7" t="str">
        <f>'Ingest Template'!E800</f>
        <v/>
      </c>
      <c r="E800" s="5"/>
      <c r="F800" s="5"/>
      <c r="G800" s="5"/>
      <c r="H800" s="7"/>
      <c r="I800" s="5"/>
      <c r="J800" s="7" t="str">
        <f>'Ingest Template'!Q800</f>
        <v/>
      </c>
      <c r="K800" s="5" t="str">
        <f>'Ingest Template'!R800</f>
        <v/>
      </c>
      <c r="L800" s="8" t="s">
        <v>38</v>
      </c>
      <c r="M800" s="9"/>
      <c r="N800" s="5"/>
      <c r="O800" s="5"/>
      <c r="P800" s="5"/>
      <c r="Q800" s="5"/>
      <c r="R800" s="5" t="str">
        <f>'Ingest Template'!D800</f>
        <v/>
      </c>
      <c r="S800" s="5" t="str">
        <f>'Ingest Template'!G800</f>
        <v/>
      </c>
      <c r="T800" s="5" t="str">
        <f>'Ingest Template'!H800</f>
        <v/>
      </c>
      <c r="U800" s="5" t="str">
        <f>LOWER(SUBSTITUTE(SUBSTITUTE(SUBSTITUTE(SUBSTITUTE(SUBSTITUTE('Ingest Template'!I800,"https:",""),"www.",""),"/",""),"?hl=en",""),"instagram.com",""))</f>
        <v/>
      </c>
      <c r="V800" s="10" t="str">
        <f>'Ingest Template'!J800</f>
        <v/>
      </c>
      <c r="W800" s="10" t="str">
        <f>'Ingest Template'!K800</f>
        <v/>
      </c>
      <c r="X800" s="5"/>
      <c r="Y800" s="5" t="str">
        <f>SUBSTITUTE(SUBSTITUTE(SUBSTITUTE('Ingest Template'!L800,"http:",""),"https:",""),"/","")</f>
        <v/>
      </c>
      <c r="Z800" s="5" t="str">
        <f t="array" ref="Z800">IF('Ingest Template'!A800="Standard",(IF(ISBLANK('Ingest Template'!M800),"", 'Ingest Template'!M800&amp;"|DAR")),(IF(ISBLANK('Ingest Template'!M800),"", 'Ingest Template'!M800&amp;"|Operations - Core Title")))</f>
        <v/>
      </c>
      <c r="AA800" s="5"/>
      <c r="AB800" s="5" t="str">
        <f>'Ingest Template'!F800</f>
        <v/>
      </c>
      <c r="AC800" s="5"/>
      <c r="AD800" s="5"/>
      <c r="AE800" s="5"/>
      <c r="AF800" s="8"/>
      <c r="AG800" s="5" t="str">
        <f t="array" ref="AG800">IF('Ingest Template'!A800="Standard",(CONCATENATE(IF(ISBLANK('Ingest Template'!N800),"", 'Ingest Template'!N800&amp;"|DAR"),CHAR(10), IF(ISBLANK('Ingest Template'!O800),"", 'Ingest Template'!O800&amp;"|DAR"),CHAR(10), IF(ISBLANK('Ingest Template'!P800),"", 'Ingest Template'!P800&amp;"|DAR"))),(CONCATENATE(IF(ISBLANK('Ingest Template'!N800),"", 'Ingest Template'!N800&amp;"|Operations - Core Title"),CHAR(10), IF(ISBLANK('Ingest Template'!O800),"", 'Ingest Template'!O800&amp;"|Operations - Core Title"),CHAR(10), IF(ISBLANK('Ingest Template'!P800),"", 'Ingest Template'!P800&amp;"|Operations - Core Title"))))</f>
        <v>#|Operations - Core Title
</v>
      </c>
      <c r="AH800" s="5"/>
      <c r="AI800" s="5"/>
      <c r="AJ800" s="5"/>
      <c r="AK800" s="5"/>
      <c r="AL800" s="5"/>
    </row>
    <row r="801">
      <c r="A801" s="5"/>
      <c r="B801" s="5" t="str">
        <f>'Ingest Template'!B801&amp;IF('Ingest Template'!A801 = "Standard", " - DAR","")</f>
        <v/>
      </c>
      <c r="C801" s="6" t="str">
        <f>'Ingest Template'!C801</f>
        <v/>
      </c>
      <c r="D801" s="7" t="str">
        <f>'Ingest Template'!E801</f>
        <v/>
      </c>
      <c r="E801" s="5"/>
      <c r="F801" s="5"/>
      <c r="G801" s="5"/>
      <c r="H801" s="7"/>
      <c r="I801" s="5"/>
      <c r="J801" s="7" t="str">
        <f>'Ingest Template'!Q801</f>
        <v/>
      </c>
      <c r="K801" s="5" t="str">
        <f>'Ingest Template'!R801</f>
        <v/>
      </c>
      <c r="L801" s="8" t="s">
        <v>38</v>
      </c>
      <c r="M801" s="9"/>
      <c r="N801" s="5"/>
      <c r="O801" s="5"/>
      <c r="P801" s="5"/>
      <c r="Q801" s="5"/>
      <c r="R801" s="5" t="str">
        <f>'Ingest Template'!D801</f>
        <v/>
      </c>
      <c r="S801" s="5" t="str">
        <f>'Ingest Template'!G801</f>
        <v/>
      </c>
      <c r="T801" s="5" t="str">
        <f>'Ingest Template'!H801</f>
        <v/>
      </c>
      <c r="U801" s="5" t="str">
        <f>LOWER(SUBSTITUTE(SUBSTITUTE(SUBSTITUTE(SUBSTITUTE(SUBSTITUTE('Ingest Template'!I801,"https:",""),"www.",""),"/",""),"?hl=en",""),"instagram.com",""))</f>
        <v/>
      </c>
      <c r="V801" s="10" t="str">
        <f>'Ingest Template'!J801</f>
        <v/>
      </c>
      <c r="W801" s="10" t="str">
        <f>'Ingest Template'!K801</f>
        <v/>
      </c>
      <c r="X801" s="5"/>
      <c r="Y801" s="5" t="str">
        <f>SUBSTITUTE(SUBSTITUTE(SUBSTITUTE('Ingest Template'!L801,"http:",""),"https:",""),"/","")</f>
        <v/>
      </c>
      <c r="Z801" s="5" t="str">
        <f t="array" ref="Z801">IF('Ingest Template'!A801="Standard",(IF(ISBLANK('Ingest Template'!M801),"", 'Ingest Template'!M801&amp;"|DAR")),(IF(ISBLANK('Ingest Template'!M801),"", 'Ingest Template'!M801&amp;"|Operations - Core Title")))</f>
        <v/>
      </c>
      <c r="AA801" s="5"/>
      <c r="AB801" s="5" t="str">
        <f>'Ingest Template'!F801</f>
        <v/>
      </c>
      <c r="AC801" s="5"/>
      <c r="AD801" s="5"/>
      <c r="AE801" s="5"/>
      <c r="AF801" s="8"/>
      <c r="AG801" s="5" t="str">
        <f t="array" ref="AG801">IF('Ingest Template'!A801="Standard",(CONCATENATE(IF(ISBLANK('Ingest Template'!N801),"", 'Ingest Template'!N801&amp;"|DAR"),CHAR(10), IF(ISBLANK('Ingest Template'!O801),"", 'Ingest Template'!O801&amp;"|DAR"),CHAR(10), IF(ISBLANK('Ingest Template'!P801),"", 'Ingest Template'!P801&amp;"|DAR"))),(CONCATENATE(IF(ISBLANK('Ingest Template'!N801),"", 'Ingest Template'!N801&amp;"|Operations - Core Title"),CHAR(10), IF(ISBLANK('Ingest Template'!O801),"", 'Ingest Template'!O801&amp;"|Operations - Core Title"),CHAR(10), IF(ISBLANK('Ingest Template'!P801),"", 'Ingest Template'!P801&amp;"|Operations - Core Title"))))</f>
        <v>#|Operations - Core Title
</v>
      </c>
      <c r="AH801" s="5"/>
      <c r="AI801" s="5"/>
      <c r="AJ801" s="5"/>
      <c r="AK801" s="5"/>
      <c r="AL801" s="5"/>
    </row>
    <row r="802">
      <c r="A802" s="5"/>
      <c r="B802" s="5" t="str">
        <f>'Ingest Template'!B802&amp;IF('Ingest Template'!A802 = "Standard", " - DAR","")</f>
        <v/>
      </c>
      <c r="C802" s="6" t="str">
        <f>'Ingest Template'!C802</f>
        <v/>
      </c>
      <c r="D802" s="7" t="str">
        <f>'Ingest Template'!E802</f>
        <v/>
      </c>
      <c r="E802" s="5"/>
      <c r="F802" s="5"/>
      <c r="G802" s="5"/>
      <c r="H802" s="7"/>
      <c r="I802" s="5"/>
      <c r="J802" s="7" t="str">
        <f>'Ingest Template'!Q802</f>
        <v/>
      </c>
      <c r="K802" s="5" t="str">
        <f>'Ingest Template'!R802</f>
        <v/>
      </c>
      <c r="L802" s="8" t="s">
        <v>38</v>
      </c>
      <c r="M802" s="9"/>
      <c r="N802" s="5"/>
      <c r="O802" s="5"/>
      <c r="P802" s="5"/>
      <c r="Q802" s="5"/>
      <c r="R802" s="5" t="str">
        <f>'Ingest Template'!D802</f>
        <v/>
      </c>
      <c r="S802" s="5" t="str">
        <f>'Ingest Template'!G802</f>
        <v/>
      </c>
      <c r="T802" s="5" t="str">
        <f>'Ingest Template'!H802</f>
        <v/>
      </c>
      <c r="U802" s="5" t="str">
        <f>LOWER(SUBSTITUTE(SUBSTITUTE(SUBSTITUTE(SUBSTITUTE(SUBSTITUTE('Ingest Template'!I802,"https:",""),"www.",""),"/",""),"?hl=en",""),"instagram.com",""))</f>
        <v/>
      </c>
      <c r="V802" s="10" t="str">
        <f>'Ingest Template'!J802</f>
        <v/>
      </c>
      <c r="W802" s="10" t="str">
        <f>'Ingest Template'!K802</f>
        <v/>
      </c>
      <c r="X802" s="5"/>
      <c r="Y802" s="5" t="str">
        <f>SUBSTITUTE(SUBSTITUTE(SUBSTITUTE('Ingest Template'!L802,"http:",""),"https:",""),"/","")</f>
        <v/>
      </c>
      <c r="Z802" s="5" t="str">
        <f t="array" ref="Z802">IF('Ingest Template'!A802="Standard",(IF(ISBLANK('Ingest Template'!M802),"", 'Ingest Template'!M802&amp;"|DAR")),(IF(ISBLANK('Ingest Template'!M802),"", 'Ingest Template'!M802&amp;"|Operations - Core Title")))</f>
        <v/>
      </c>
      <c r="AA802" s="5"/>
      <c r="AB802" s="5" t="str">
        <f>'Ingest Template'!F802</f>
        <v/>
      </c>
      <c r="AC802" s="5"/>
      <c r="AD802" s="5"/>
      <c r="AE802" s="5"/>
      <c r="AF802" s="8"/>
      <c r="AG802" s="5" t="str">
        <f t="array" ref="AG802">IF('Ingest Template'!A802="Standard",(CONCATENATE(IF(ISBLANK('Ingest Template'!N802),"", 'Ingest Template'!N802&amp;"|DAR"),CHAR(10), IF(ISBLANK('Ingest Template'!O802),"", 'Ingest Template'!O802&amp;"|DAR"),CHAR(10), IF(ISBLANK('Ingest Template'!P802),"", 'Ingest Template'!P802&amp;"|DAR"))),(CONCATENATE(IF(ISBLANK('Ingest Template'!N802),"", 'Ingest Template'!N802&amp;"|Operations - Core Title"),CHAR(10), IF(ISBLANK('Ingest Template'!O802),"", 'Ingest Template'!O802&amp;"|Operations - Core Title"),CHAR(10), IF(ISBLANK('Ingest Template'!P802),"", 'Ingest Template'!P802&amp;"|Operations - Core Title"))))</f>
        <v>#|Operations - Core Title
</v>
      </c>
      <c r="AH802" s="5"/>
      <c r="AI802" s="5"/>
      <c r="AJ802" s="5"/>
      <c r="AK802" s="5"/>
      <c r="AL802" s="5"/>
    </row>
    <row r="803">
      <c r="A803" s="5"/>
      <c r="B803" s="5" t="str">
        <f>'Ingest Template'!B803&amp;IF('Ingest Template'!A803 = "Standard", " - DAR","")</f>
        <v/>
      </c>
      <c r="C803" s="6" t="str">
        <f>'Ingest Template'!C803</f>
        <v/>
      </c>
      <c r="D803" s="7" t="str">
        <f>'Ingest Template'!E803</f>
        <v/>
      </c>
      <c r="E803" s="5"/>
      <c r="F803" s="5"/>
      <c r="G803" s="5"/>
      <c r="H803" s="7"/>
      <c r="I803" s="5"/>
      <c r="J803" s="7" t="str">
        <f>'Ingest Template'!Q803</f>
        <v/>
      </c>
      <c r="K803" s="5" t="str">
        <f>'Ingest Template'!R803</f>
        <v/>
      </c>
      <c r="L803" s="8" t="s">
        <v>38</v>
      </c>
      <c r="M803" s="9"/>
      <c r="N803" s="5"/>
      <c r="O803" s="5"/>
      <c r="P803" s="5"/>
      <c r="Q803" s="5"/>
      <c r="R803" s="5" t="str">
        <f>'Ingest Template'!D803</f>
        <v/>
      </c>
      <c r="S803" s="5" t="str">
        <f>'Ingest Template'!G803</f>
        <v/>
      </c>
      <c r="T803" s="5" t="str">
        <f>'Ingest Template'!H803</f>
        <v/>
      </c>
      <c r="U803" s="5" t="str">
        <f>LOWER(SUBSTITUTE(SUBSTITUTE(SUBSTITUTE(SUBSTITUTE(SUBSTITUTE('Ingest Template'!I803,"https:",""),"www.",""),"/",""),"?hl=en",""),"instagram.com",""))</f>
        <v/>
      </c>
      <c r="V803" s="10" t="str">
        <f>'Ingest Template'!J803</f>
        <v/>
      </c>
      <c r="W803" s="10" t="str">
        <f>'Ingest Template'!K803</f>
        <v/>
      </c>
      <c r="X803" s="5"/>
      <c r="Y803" s="5" t="str">
        <f>SUBSTITUTE(SUBSTITUTE(SUBSTITUTE('Ingest Template'!L803,"http:",""),"https:",""),"/","")</f>
        <v/>
      </c>
      <c r="Z803" s="5" t="str">
        <f t="array" ref="Z803">IF('Ingest Template'!A803="Standard",(IF(ISBLANK('Ingest Template'!M803),"", 'Ingest Template'!M803&amp;"|DAR")),(IF(ISBLANK('Ingest Template'!M803),"", 'Ingest Template'!M803&amp;"|Operations - Core Title")))</f>
        <v/>
      </c>
      <c r="AA803" s="5"/>
      <c r="AB803" s="5" t="str">
        <f>'Ingest Template'!F803</f>
        <v/>
      </c>
      <c r="AC803" s="5"/>
      <c r="AD803" s="5"/>
      <c r="AE803" s="5"/>
      <c r="AF803" s="8"/>
      <c r="AG803" s="5" t="str">
        <f t="array" ref="AG803">IF('Ingest Template'!A803="Standard",(CONCATENATE(IF(ISBLANK('Ingest Template'!N803),"", 'Ingest Template'!N803&amp;"|DAR"),CHAR(10), IF(ISBLANK('Ingest Template'!O803),"", 'Ingest Template'!O803&amp;"|DAR"),CHAR(10), IF(ISBLANK('Ingest Template'!P803),"", 'Ingest Template'!P803&amp;"|DAR"))),(CONCATENATE(IF(ISBLANK('Ingest Template'!N803),"", 'Ingest Template'!N803&amp;"|Operations - Core Title"),CHAR(10), IF(ISBLANK('Ingest Template'!O803),"", 'Ingest Template'!O803&amp;"|Operations - Core Title"),CHAR(10), IF(ISBLANK('Ingest Template'!P803),"", 'Ingest Template'!P803&amp;"|Operations - Core Title"))))</f>
        <v>#|Operations - Core Title
</v>
      </c>
      <c r="AH803" s="5"/>
      <c r="AI803" s="5"/>
      <c r="AJ803" s="5"/>
      <c r="AK803" s="5"/>
      <c r="AL803" s="5"/>
    </row>
    <row r="804">
      <c r="A804" s="5"/>
      <c r="B804" s="5" t="str">
        <f>'Ingest Template'!B804&amp;IF('Ingest Template'!A804 = "Standard", " - DAR","")</f>
        <v/>
      </c>
      <c r="C804" s="6" t="str">
        <f>'Ingest Template'!C804</f>
        <v/>
      </c>
      <c r="D804" s="7" t="str">
        <f>'Ingest Template'!E804</f>
        <v/>
      </c>
      <c r="E804" s="5"/>
      <c r="F804" s="5"/>
      <c r="G804" s="5"/>
      <c r="H804" s="7"/>
      <c r="I804" s="5"/>
      <c r="J804" s="7" t="str">
        <f>'Ingest Template'!Q804</f>
        <v/>
      </c>
      <c r="K804" s="5" t="str">
        <f>'Ingest Template'!R804</f>
        <v/>
      </c>
      <c r="L804" s="8" t="s">
        <v>38</v>
      </c>
      <c r="M804" s="9"/>
      <c r="N804" s="5"/>
      <c r="O804" s="5"/>
      <c r="P804" s="5"/>
      <c r="Q804" s="5"/>
      <c r="R804" s="5" t="str">
        <f>'Ingest Template'!D804</f>
        <v/>
      </c>
      <c r="S804" s="5" t="str">
        <f>'Ingest Template'!G804</f>
        <v/>
      </c>
      <c r="T804" s="5" t="str">
        <f>'Ingest Template'!H804</f>
        <v/>
      </c>
      <c r="U804" s="5" t="str">
        <f>LOWER(SUBSTITUTE(SUBSTITUTE(SUBSTITUTE(SUBSTITUTE(SUBSTITUTE('Ingest Template'!I804,"https:",""),"www.",""),"/",""),"?hl=en",""),"instagram.com",""))</f>
        <v/>
      </c>
      <c r="V804" s="10" t="str">
        <f>'Ingest Template'!J804</f>
        <v/>
      </c>
      <c r="W804" s="10" t="str">
        <f>'Ingest Template'!K804</f>
        <v/>
      </c>
      <c r="X804" s="5"/>
      <c r="Y804" s="5" t="str">
        <f>SUBSTITUTE(SUBSTITUTE(SUBSTITUTE('Ingest Template'!L804,"http:",""),"https:",""),"/","")</f>
        <v/>
      </c>
      <c r="Z804" s="5" t="str">
        <f t="array" ref="Z804">IF('Ingest Template'!A804="Standard",(IF(ISBLANK('Ingest Template'!M804),"", 'Ingest Template'!M804&amp;"|DAR")),(IF(ISBLANK('Ingest Template'!M804),"", 'Ingest Template'!M804&amp;"|Operations - Core Title")))</f>
        <v/>
      </c>
      <c r="AA804" s="5"/>
      <c r="AB804" s="5" t="str">
        <f>'Ingest Template'!F804</f>
        <v/>
      </c>
      <c r="AC804" s="5"/>
      <c r="AD804" s="5"/>
      <c r="AE804" s="5"/>
      <c r="AF804" s="8"/>
      <c r="AG804" s="5" t="str">
        <f t="array" ref="AG804">IF('Ingest Template'!A804="Standard",(CONCATENATE(IF(ISBLANK('Ingest Template'!N804),"", 'Ingest Template'!N804&amp;"|DAR"),CHAR(10), IF(ISBLANK('Ingest Template'!O804),"", 'Ingest Template'!O804&amp;"|DAR"),CHAR(10), IF(ISBLANK('Ingest Template'!P804),"", 'Ingest Template'!P804&amp;"|DAR"))),(CONCATENATE(IF(ISBLANK('Ingest Template'!N804),"", 'Ingest Template'!N804&amp;"|Operations - Core Title"),CHAR(10), IF(ISBLANK('Ingest Template'!O804),"", 'Ingest Template'!O804&amp;"|Operations - Core Title"),CHAR(10), IF(ISBLANK('Ingest Template'!P804),"", 'Ingest Template'!P804&amp;"|Operations - Core Title"))))</f>
        <v>#|Operations - Core Title
</v>
      </c>
      <c r="AH804" s="5"/>
      <c r="AI804" s="5"/>
      <c r="AJ804" s="5"/>
      <c r="AK804" s="5"/>
      <c r="AL804" s="5"/>
    </row>
    <row r="805">
      <c r="A805" s="5"/>
      <c r="B805" s="5" t="str">
        <f>'Ingest Template'!B805&amp;IF('Ingest Template'!A805 = "Standard", " - DAR","")</f>
        <v/>
      </c>
      <c r="C805" s="6" t="str">
        <f>'Ingest Template'!C805</f>
        <v/>
      </c>
      <c r="D805" s="7" t="str">
        <f>'Ingest Template'!E805</f>
        <v/>
      </c>
      <c r="E805" s="5"/>
      <c r="F805" s="5"/>
      <c r="G805" s="5"/>
      <c r="H805" s="7"/>
      <c r="I805" s="5"/>
      <c r="J805" s="7" t="str">
        <f>'Ingest Template'!Q805</f>
        <v/>
      </c>
      <c r="K805" s="5" t="str">
        <f>'Ingest Template'!R805</f>
        <v/>
      </c>
      <c r="L805" s="8" t="s">
        <v>38</v>
      </c>
      <c r="M805" s="9"/>
      <c r="N805" s="5"/>
      <c r="O805" s="5"/>
      <c r="P805" s="5"/>
      <c r="Q805" s="5"/>
      <c r="R805" s="5" t="str">
        <f>'Ingest Template'!D805</f>
        <v/>
      </c>
      <c r="S805" s="5" t="str">
        <f>'Ingest Template'!G805</f>
        <v/>
      </c>
      <c r="T805" s="5" t="str">
        <f>'Ingest Template'!H805</f>
        <v/>
      </c>
      <c r="U805" s="5" t="str">
        <f>LOWER(SUBSTITUTE(SUBSTITUTE(SUBSTITUTE(SUBSTITUTE(SUBSTITUTE('Ingest Template'!I805,"https:",""),"www.",""),"/",""),"?hl=en",""),"instagram.com",""))</f>
        <v/>
      </c>
      <c r="V805" s="10" t="str">
        <f>'Ingest Template'!J805</f>
        <v/>
      </c>
      <c r="W805" s="10" t="str">
        <f>'Ingest Template'!K805</f>
        <v/>
      </c>
      <c r="X805" s="5"/>
      <c r="Y805" s="5" t="str">
        <f>SUBSTITUTE(SUBSTITUTE(SUBSTITUTE('Ingest Template'!L805,"http:",""),"https:",""),"/","")</f>
        <v/>
      </c>
      <c r="Z805" s="5" t="str">
        <f t="array" ref="Z805">IF('Ingest Template'!A805="Standard",(IF(ISBLANK('Ingest Template'!M805),"", 'Ingest Template'!M805&amp;"|DAR")),(IF(ISBLANK('Ingest Template'!M805),"", 'Ingest Template'!M805&amp;"|Operations - Core Title")))</f>
        <v/>
      </c>
      <c r="AA805" s="5"/>
      <c r="AB805" s="5" t="str">
        <f>'Ingest Template'!F805</f>
        <v/>
      </c>
      <c r="AC805" s="5"/>
      <c r="AD805" s="5"/>
      <c r="AE805" s="5"/>
      <c r="AF805" s="8"/>
      <c r="AG805" s="5" t="str">
        <f t="array" ref="AG805">IF('Ingest Template'!A805="Standard",(CONCATENATE(IF(ISBLANK('Ingest Template'!N805),"", 'Ingest Template'!N805&amp;"|DAR"),CHAR(10), IF(ISBLANK('Ingest Template'!O805),"", 'Ingest Template'!O805&amp;"|DAR"),CHAR(10), IF(ISBLANK('Ingest Template'!P805),"", 'Ingest Template'!P805&amp;"|DAR"))),(CONCATENATE(IF(ISBLANK('Ingest Template'!N805),"", 'Ingest Template'!N805&amp;"|Operations - Core Title"),CHAR(10), IF(ISBLANK('Ingest Template'!O805),"", 'Ingest Template'!O805&amp;"|Operations - Core Title"),CHAR(10), IF(ISBLANK('Ingest Template'!P805),"", 'Ingest Template'!P805&amp;"|Operations - Core Title"))))</f>
        <v>#|Operations - Core Title
</v>
      </c>
      <c r="AH805" s="5"/>
      <c r="AI805" s="5"/>
      <c r="AJ805" s="5"/>
      <c r="AK805" s="5"/>
      <c r="AL805" s="5"/>
    </row>
    <row r="806">
      <c r="A806" s="5"/>
      <c r="B806" s="5" t="str">
        <f>'Ingest Template'!B806&amp;IF('Ingest Template'!A806 = "Standard", " - DAR","")</f>
        <v/>
      </c>
      <c r="C806" s="6" t="str">
        <f>'Ingest Template'!C806</f>
        <v/>
      </c>
      <c r="D806" s="7" t="str">
        <f>'Ingest Template'!E806</f>
        <v/>
      </c>
      <c r="E806" s="5"/>
      <c r="F806" s="5"/>
      <c r="G806" s="5"/>
      <c r="H806" s="7"/>
      <c r="I806" s="5"/>
      <c r="J806" s="7" t="str">
        <f>'Ingest Template'!Q806</f>
        <v/>
      </c>
      <c r="K806" s="5" t="str">
        <f>'Ingest Template'!R806</f>
        <v/>
      </c>
      <c r="L806" s="8" t="s">
        <v>38</v>
      </c>
      <c r="M806" s="9"/>
      <c r="N806" s="5"/>
      <c r="O806" s="5"/>
      <c r="P806" s="5"/>
      <c r="Q806" s="5"/>
      <c r="R806" s="5" t="str">
        <f>'Ingest Template'!D806</f>
        <v/>
      </c>
      <c r="S806" s="5" t="str">
        <f>'Ingest Template'!G806</f>
        <v/>
      </c>
      <c r="T806" s="5" t="str">
        <f>'Ingest Template'!H806</f>
        <v/>
      </c>
      <c r="U806" s="5" t="str">
        <f>LOWER(SUBSTITUTE(SUBSTITUTE(SUBSTITUTE(SUBSTITUTE(SUBSTITUTE('Ingest Template'!I806,"https:",""),"www.",""),"/",""),"?hl=en",""),"instagram.com",""))</f>
        <v/>
      </c>
      <c r="V806" s="10" t="str">
        <f>'Ingest Template'!J806</f>
        <v/>
      </c>
      <c r="W806" s="10" t="str">
        <f>'Ingest Template'!K806</f>
        <v/>
      </c>
      <c r="X806" s="5"/>
      <c r="Y806" s="5" t="str">
        <f>SUBSTITUTE(SUBSTITUTE(SUBSTITUTE('Ingest Template'!L806,"http:",""),"https:",""),"/","")</f>
        <v/>
      </c>
      <c r="Z806" s="5" t="str">
        <f t="array" ref="Z806">IF('Ingest Template'!A806="Standard",(IF(ISBLANK('Ingest Template'!M806),"", 'Ingest Template'!M806&amp;"|DAR")),(IF(ISBLANK('Ingest Template'!M806),"", 'Ingest Template'!M806&amp;"|Operations - Core Title")))</f>
        <v/>
      </c>
      <c r="AA806" s="5"/>
      <c r="AB806" s="5" t="str">
        <f>'Ingest Template'!F806</f>
        <v/>
      </c>
      <c r="AC806" s="5"/>
      <c r="AD806" s="5"/>
      <c r="AE806" s="5"/>
      <c r="AF806" s="8"/>
      <c r="AG806" s="5" t="str">
        <f t="array" ref="AG806">IF('Ingest Template'!A806="Standard",(CONCATENATE(IF(ISBLANK('Ingest Template'!N806),"", 'Ingest Template'!N806&amp;"|DAR"),CHAR(10), IF(ISBLANK('Ingest Template'!O806),"", 'Ingest Template'!O806&amp;"|DAR"),CHAR(10), IF(ISBLANK('Ingest Template'!P806),"", 'Ingest Template'!P806&amp;"|DAR"))),(CONCATENATE(IF(ISBLANK('Ingest Template'!N806),"", 'Ingest Template'!N806&amp;"|Operations - Core Title"),CHAR(10), IF(ISBLANK('Ingest Template'!O806),"", 'Ingest Template'!O806&amp;"|Operations - Core Title"),CHAR(10), IF(ISBLANK('Ingest Template'!P806),"", 'Ingest Template'!P806&amp;"|Operations - Core Title"))))</f>
        <v>#|Operations - Core Title
</v>
      </c>
      <c r="AH806" s="5"/>
      <c r="AI806" s="5"/>
      <c r="AJ806" s="5"/>
      <c r="AK806" s="5"/>
      <c r="AL806" s="5"/>
    </row>
    <row r="807">
      <c r="A807" s="5"/>
      <c r="B807" s="5" t="str">
        <f>'Ingest Template'!B807&amp;IF('Ingest Template'!A807 = "Standard", " - DAR","")</f>
        <v/>
      </c>
      <c r="C807" s="6" t="str">
        <f>'Ingest Template'!C807</f>
        <v/>
      </c>
      <c r="D807" s="7" t="str">
        <f>'Ingest Template'!E807</f>
        <v/>
      </c>
      <c r="E807" s="5"/>
      <c r="F807" s="5"/>
      <c r="G807" s="5"/>
      <c r="H807" s="7"/>
      <c r="I807" s="5"/>
      <c r="J807" s="7" t="str">
        <f>'Ingest Template'!Q807</f>
        <v/>
      </c>
      <c r="K807" s="5" t="str">
        <f>'Ingest Template'!R807</f>
        <v/>
      </c>
      <c r="L807" s="8" t="s">
        <v>38</v>
      </c>
      <c r="M807" s="9"/>
      <c r="N807" s="5"/>
      <c r="O807" s="5"/>
      <c r="P807" s="5"/>
      <c r="Q807" s="5"/>
      <c r="R807" s="5" t="str">
        <f>'Ingest Template'!D807</f>
        <v/>
      </c>
      <c r="S807" s="5" t="str">
        <f>'Ingest Template'!G807</f>
        <v/>
      </c>
      <c r="T807" s="5" t="str">
        <f>'Ingest Template'!H807</f>
        <v/>
      </c>
      <c r="U807" s="5" t="str">
        <f>LOWER(SUBSTITUTE(SUBSTITUTE(SUBSTITUTE(SUBSTITUTE(SUBSTITUTE('Ingest Template'!I807,"https:",""),"www.",""),"/",""),"?hl=en",""),"instagram.com",""))</f>
        <v/>
      </c>
      <c r="V807" s="10" t="str">
        <f>'Ingest Template'!J807</f>
        <v/>
      </c>
      <c r="W807" s="10" t="str">
        <f>'Ingest Template'!K807</f>
        <v/>
      </c>
      <c r="X807" s="5"/>
      <c r="Y807" s="5" t="str">
        <f>SUBSTITUTE(SUBSTITUTE(SUBSTITUTE('Ingest Template'!L807,"http:",""),"https:",""),"/","")</f>
        <v/>
      </c>
      <c r="Z807" s="5" t="str">
        <f t="array" ref="Z807">IF('Ingest Template'!A807="Standard",(IF(ISBLANK('Ingest Template'!M807),"", 'Ingest Template'!M807&amp;"|DAR")),(IF(ISBLANK('Ingest Template'!M807),"", 'Ingest Template'!M807&amp;"|Operations - Core Title")))</f>
        <v/>
      </c>
      <c r="AA807" s="5"/>
      <c r="AB807" s="5" t="str">
        <f>'Ingest Template'!F807</f>
        <v/>
      </c>
      <c r="AC807" s="5"/>
      <c r="AD807" s="5"/>
      <c r="AE807" s="5"/>
      <c r="AF807" s="8"/>
      <c r="AG807" s="5" t="str">
        <f t="array" ref="AG807">IF('Ingest Template'!A807="Standard",(CONCATENATE(IF(ISBLANK('Ingest Template'!N807),"", 'Ingest Template'!N807&amp;"|DAR"),CHAR(10), IF(ISBLANK('Ingest Template'!O807),"", 'Ingest Template'!O807&amp;"|DAR"),CHAR(10), IF(ISBLANK('Ingest Template'!P807),"", 'Ingest Template'!P807&amp;"|DAR"))),(CONCATENATE(IF(ISBLANK('Ingest Template'!N807),"", 'Ingest Template'!N807&amp;"|Operations - Core Title"),CHAR(10), IF(ISBLANK('Ingest Template'!O807),"", 'Ingest Template'!O807&amp;"|Operations - Core Title"),CHAR(10), IF(ISBLANK('Ingest Template'!P807),"", 'Ingest Template'!P807&amp;"|Operations - Core Title"))))</f>
        <v>#|Operations - Core Title
</v>
      </c>
      <c r="AH807" s="5"/>
      <c r="AI807" s="5"/>
      <c r="AJ807" s="5"/>
      <c r="AK807" s="5"/>
      <c r="AL807" s="5"/>
    </row>
    <row r="808">
      <c r="A808" s="5"/>
      <c r="B808" s="5" t="str">
        <f>'Ingest Template'!B808&amp;IF('Ingest Template'!A808 = "Standard", " - DAR","")</f>
        <v/>
      </c>
      <c r="C808" s="6" t="str">
        <f>'Ingest Template'!C808</f>
        <v/>
      </c>
      <c r="D808" s="7" t="str">
        <f>'Ingest Template'!E808</f>
        <v/>
      </c>
      <c r="E808" s="5"/>
      <c r="F808" s="5"/>
      <c r="G808" s="5"/>
      <c r="H808" s="7"/>
      <c r="I808" s="5"/>
      <c r="J808" s="7" t="str">
        <f>'Ingest Template'!Q808</f>
        <v/>
      </c>
      <c r="K808" s="5" t="str">
        <f>'Ingest Template'!R808</f>
        <v/>
      </c>
      <c r="L808" s="8" t="s">
        <v>38</v>
      </c>
      <c r="M808" s="9"/>
      <c r="N808" s="5"/>
      <c r="O808" s="5"/>
      <c r="P808" s="5"/>
      <c r="Q808" s="5"/>
      <c r="R808" s="5" t="str">
        <f>'Ingest Template'!D808</f>
        <v/>
      </c>
      <c r="S808" s="5" t="str">
        <f>'Ingest Template'!G808</f>
        <v/>
      </c>
      <c r="T808" s="5" t="str">
        <f>'Ingest Template'!H808</f>
        <v/>
      </c>
      <c r="U808" s="5" t="str">
        <f>LOWER(SUBSTITUTE(SUBSTITUTE(SUBSTITUTE(SUBSTITUTE(SUBSTITUTE('Ingest Template'!I808,"https:",""),"www.",""),"/",""),"?hl=en",""),"instagram.com",""))</f>
        <v/>
      </c>
      <c r="V808" s="10" t="str">
        <f>'Ingest Template'!J808</f>
        <v/>
      </c>
      <c r="W808" s="10" t="str">
        <f>'Ingest Template'!K808</f>
        <v/>
      </c>
      <c r="X808" s="5"/>
      <c r="Y808" s="5" t="str">
        <f>SUBSTITUTE(SUBSTITUTE(SUBSTITUTE('Ingest Template'!L808,"http:",""),"https:",""),"/","")</f>
        <v/>
      </c>
      <c r="Z808" s="5" t="str">
        <f t="array" ref="Z808">IF('Ingest Template'!A808="Standard",(IF(ISBLANK('Ingest Template'!M808),"", 'Ingest Template'!M808&amp;"|DAR")),(IF(ISBLANK('Ingest Template'!M808),"", 'Ingest Template'!M808&amp;"|Operations - Core Title")))</f>
        <v/>
      </c>
      <c r="AA808" s="5"/>
      <c r="AB808" s="5" t="str">
        <f>'Ingest Template'!F808</f>
        <v/>
      </c>
      <c r="AC808" s="5"/>
      <c r="AD808" s="5"/>
      <c r="AE808" s="5"/>
      <c r="AF808" s="8"/>
      <c r="AG808" s="5" t="str">
        <f t="array" ref="AG808">IF('Ingest Template'!A808="Standard",(CONCATENATE(IF(ISBLANK('Ingest Template'!N808),"", 'Ingest Template'!N808&amp;"|DAR"),CHAR(10), IF(ISBLANK('Ingest Template'!O808),"", 'Ingest Template'!O808&amp;"|DAR"),CHAR(10), IF(ISBLANK('Ingest Template'!P808),"", 'Ingest Template'!P808&amp;"|DAR"))),(CONCATENATE(IF(ISBLANK('Ingest Template'!N808),"", 'Ingest Template'!N808&amp;"|Operations - Core Title"),CHAR(10), IF(ISBLANK('Ingest Template'!O808),"", 'Ingest Template'!O808&amp;"|Operations - Core Title"),CHAR(10), IF(ISBLANK('Ingest Template'!P808),"", 'Ingest Template'!P808&amp;"|Operations - Core Title"))))</f>
        <v>#|Operations - Core Title
</v>
      </c>
      <c r="AH808" s="5"/>
      <c r="AI808" s="5"/>
      <c r="AJ808" s="5"/>
      <c r="AK808" s="5"/>
      <c r="AL808" s="5"/>
    </row>
    <row r="809">
      <c r="A809" s="5"/>
      <c r="B809" s="5" t="str">
        <f>'Ingest Template'!B809&amp;IF('Ingest Template'!A809 = "Standard", " - DAR","")</f>
        <v/>
      </c>
      <c r="C809" s="6" t="str">
        <f>'Ingest Template'!C809</f>
        <v/>
      </c>
      <c r="D809" s="7" t="str">
        <f>'Ingest Template'!E809</f>
        <v/>
      </c>
      <c r="E809" s="5"/>
      <c r="F809" s="5"/>
      <c r="G809" s="5"/>
      <c r="H809" s="7"/>
      <c r="I809" s="5"/>
      <c r="J809" s="7" t="str">
        <f>'Ingest Template'!Q809</f>
        <v/>
      </c>
      <c r="K809" s="5" t="str">
        <f>'Ingest Template'!R809</f>
        <v/>
      </c>
      <c r="L809" s="8" t="s">
        <v>38</v>
      </c>
      <c r="M809" s="9"/>
      <c r="N809" s="5"/>
      <c r="O809" s="5"/>
      <c r="P809" s="5"/>
      <c r="Q809" s="5"/>
      <c r="R809" s="5" t="str">
        <f>'Ingest Template'!D809</f>
        <v/>
      </c>
      <c r="S809" s="5" t="str">
        <f>'Ingest Template'!G809</f>
        <v/>
      </c>
      <c r="T809" s="5" t="str">
        <f>'Ingest Template'!H809</f>
        <v/>
      </c>
      <c r="U809" s="5" t="str">
        <f>LOWER(SUBSTITUTE(SUBSTITUTE(SUBSTITUTE(SUBSTITUTE(SUBSTITUTE('Ingest Template'!I809,"https:",""),"www.",""),"/",""),"?hl=en",""),"instagram.com",""))</f>
        <v/>
      </c>
      <c r="V809" s="10" t="str">
        <f>'Ingest Template'!J809</f>
        <v/>
      </c>
      <c r="W809" s="10" t="str">
        <f>'Ingest Template'!K809</f>
        <v/>
      </c>
      <c r="X809" s="5"/>
      <c r="Y809" s="5" t="str">
        <f>SUBSTITUTE(SUBSTITUTE(SUBSTITUTE('Ingest Template'!L809,"http:",""),"https:",""),"/","")</f>
        <v/>
      </c>
      <c r="Z809" s="5" t="str">
        <f t="array" ref="Z809">IF('Ingest Template'!A809="Standard",(IF(ISBLANK('Ingest Template'!M809),"", 'Ingest Template'!M809&amp;"|DAR")),(IF(ISBLANK('Ingest Template'!M809),"", 'Ingest Template'!M809&amp;"|Operations - Core Title")))</f>
        <v/>
      </c>
      <c r="AA809" s="5"/>
      <c r="AB809" s="5" t="str">
        <f>'Ingest Template'!F809</f>
        <v/>
      </c>
      <c r="AC809" s="5"/>
      <c r="AD809" s="5"/>
      <c r="AE809" s="5"/>
      <c r="AF809" s="8"/>
      <c r="AG809" s="5" t="str">
        <f t="array" ref="AG809">IF('Ingest Template'!A809="Standard",(CONCATENATE(IF(ISBLANK('Ingest Template'!N809),"", 'Ingest Template'!N809&amp;"|DAR"),CHAR(10), IF(ISBLANK('Ingest Template'!O809),"", 'Ingest Template'!O809&amp;"|DAR"),CHAR(10), IF(ISBLANK('Ingest Template'!P809),"", 'Ingest Template'!P809&amp;"|DAR"))),(CONCATENATE(IF(ISBLANK('Ingest Template'!N809),"", 'Ingest Template'!N809&amp;"|Operations - Core Title"),CHAR(10), IF(ISBLANK('Ingest Template'!O809),"", 'Ingest Template'!O809&amp;"|Operations - Core Title"),CHAR(10), IF(ISBLANK('Ingest Template'!P809),"", 'Ingest Template'!P809&amp;"|Operations - Core Title"))))</f>
        <v>#|Operations - Core Title
</v>
      </c>
      <c r="AH809" s="5"/>
      <c r="AI809" s="5"/>
      <c r="AJ809" s="5"/>
      <c r="AK809" s="5"/>
      <c r="AL809" s="5"/>
    </row>
    <row r="810">
      <c r="A810" s="5"/>
      <c r="B810" s="5" t="str">
        <f>'Ingest Template'!B810&amp;IF('Ingest Template'!A810 = "Standard", " - DAR","")</f>
        <v/>
      </c>
      <c r="C810" s="6" t="str">
        <f>'Ingest Template'!C810</f>
        <v/>
      </c>
      <c r="D810" s="7" t="str">
        <f>'Ingest Template'!E810</f>
        <v/>
      </c>
      <c r="E810" s="5"/>
      <c r="F810" s="5"/>
      <c r="G810" s="5"/>
      <c r="H810" s="7"/>
      <c r="I810" s="5"/>
      <c r="J810" s="7" t="str">
        <f>'Ingest Template'!Q810</f>
        <v/>
      </c>
      <c r="K810" s="5" t="str">
        <f>'Ingest Template'!R810</f>
        <v/>
      </c>
      <c r="L810" s="8" t="s">
        <v>38</v>
      </c>
      <c r="M810" s="9"/>
      <c r="N810" s="5"/>
      <c r="O810" s="5"/>
      <c r="P810" s="5"/>
      <c r="Q810" s="5"/>
      <c r="R810" s="5" t="str">
        <f>'Ingest Template'!D810</f>
        <v/>
      </c>
      <c r="S810" s="5" t="str">
        <f>'Ingest Template'!G810</f>
        <v/>
      </c>
      <c r="T810" s="5" t="str">
        <f>'Ingest Template'!H810</f>
        <v/>
      </c>
      <c r="U810" s="5" t="str">
        <f>LOWER(SUBSTITUTE(SUBSTITUTE(SUBSTITUTE(SUBSTITUTE(SUBSTITUTE('Ingest Template'!I810,"https:",""),"www.",""),"/",""),"?hl=en",""),"instagram.com",""))</f>
        <v/>
      </c>
      <c r="V810" s="10" t="str">
        <f>'Ingest Template'!J810</f>
        <v/>
      </c>
      <c r="W810" s="10" t="str">
        <f>'Ingest Template'!K810</f>
        <v/>
      </c>
      <c r="X810" s="5"/>
      <c r="Y810" s="5" t="str">
        <f>SUBSTITUTE(SUBSTITUTE(SUBSTITUTE('Ingest Template'!L810,"http:",""),"https:",""),"/","")</f>
        <v/>
      </c>
      <c r="Z810" s="5" t="str">
        <f t="array" ref="Z810">IF('Ingest Template'!A810="Standard",(IF(ISBLANK('Ingest Template'!M810),"", 'Ingest Template'!M810&amp;"|DAR")),(IF(ISBLANK('Ingest Template'!M810),"", 'Ingest Template'!M810&amp;"|Operations - Core Title")))</f>
        <v/>
      </c>
      <c r="AA810" s="5"/>
      <c r="AB810" s="5" t="str">
        <f>'Ingest Template'!F810</f>
        <v/>
      </c>
      <c r="AC810" s="5"/>
      <c r="AD810" s="5"/>
      <c r="AE810" s="5"/>
      <c r="AF810" s="8"/>
      <c r="AG810" s="5" t="str">
        <f t="array" ref="AG810">IF('Ingest Template'!A810="Standard",(CONCATENATE(IF(ISBLANK('Ingest Template'!N810),"", 'Ingest Template'!N810&amp;"|DAR"),CHAR(10), IF(ISBLANK('Ingest Template'!O810),"", 'Ingest Template'!O810&amp;"|DAR"),CHAR(10), IF(ISBLANK('Ingest Template'!P810),"", 'Ingest Template'!P810&amp;"|DAR"))),(CONCATENATE(IF(ISBLANK('Ingest Template'!N810),"", 'Ingest Template'!N810&amp;"|Operations - Core Title"),CHAR(10), IF(ISBLANK('Ingest Template'!O810),"", 'Ingest Template'!O810&amp;"|Operations - Core Title"),CHAR(10), IF(ISBLANK('Ingest Template'!P810),"", 'Ingest Template'!P810&amp;"|Operations - Core Title"))))</f>
        <v>#|Operations - Core Title
</v>
      </c>
      <c r="AH810" s="5"/>
      <c r="AI810" s="5"/>
      <c r="AJ810" s="5"/>
      <c r="AK810" s="5"/>
      <c r="AL810" s="5"/>
    </row>
    <row r="811">
      <c r="A811" s="5"/>
      <c r="B811" s="5" t="str">
        <f>'Ingest Template'!B811&amp;IF('Ingest Template'!A811 = "Standard", " - DAR","")</f>
        <v/>
      </c>
      <c r="C811" s="6" t="str">
        <f>'Ingest Template'!C811</f>
        <v/>
      </c>
      <c r="D811" s="7" t="str">
        <f>'Ingest Template'!E811</f>
        <v/>
      </c>
      <c r="E811" s="5"/>
      <c r="F811" s="5"/>
      <c r="G811" s="5"/>
      <c r="H811" s="7"/>
      <c r="I811" s="5"/>
      <c r="J811" s="7" t="str">
        <f>'Ingest Template'!Q811</f>
        <v/>
      </c>
      <c r="K811" s="5" t="str">
        <f>'Ingest Template'!R811</f>
        <v/>
      </c>
      <c r="L811" s="8" t="s">
        <v>38</v>
      </c>
      <c r="M811" s="9"/>
      <c r="N811" s="5"/>
      <c r="O811" s="5"/>
      <c r="P811" s="5"/>
      <c r="Q811" s="5"/>
      <c r="R811" s="5" t="str">
        <f>'Ingest Template'!D811</f>
        <v/>
      </c>
      <c r="S811" s="5" t="str">
        <f>'Ingest Template'!G811</f>
        <v/>
      </c>
      <c r="T811" s="5" t="str">
        <f>'Ingest Template'!H811</f>
        <v/>
      </c>
      <c r="U811" s="5" t="str">
        <f>LOWER(SUBSTITUTE(SUBSTITUTE(SUBSTITUTE(SUBSTITUTE(SUBSTITUTE('Ingest Template'!I811,"https:",""),"www.",""),"/",""),"?hl=en",""),"instagram.com",""))</f>
        <v/>
      </c>
      <c r="V811" s="10" t="str">
        <f>'Ingest Template'!J811</f>
        <v/>
      </c>
      <c r="W811" s="10" t="str">
        <f>'Ingest Template'!K811</f>
        <v/>
      </c>
      <c r="X811" s="5"/>
      <c r="Y811" s="5" t="str">
        <f>SUBSTITUTE(SUBSTITUTE(SUBSTITUTE('Ingest Template'!L811,"http:",""),"https:",""),"/","")</f>
        <v/>
      </c>
      <c r="Z811" s="5" t="str">
        <f t="array" ref="Z811">IF('Ingest Template'!A811="Standard",(IF(ISBLANK('Ingest Template'!M811),"", 'Ingest Template'!M811&amp;"|DAR")),(IF(ISBLANK('Ingest Template'!M811),"", 'Ingest Template'!M811&amp;"|Operations - Core Title")))</f>
        <v/>
      </c>
      <c r="AA811" s="5"/>
      <c r="AB811" s="5" t="str">
        <f>'Ingest Template'!F811</f>
        <v/>
      </c>
      <c r="AC811" s="5"/>
      <c r="AD811" s="5"/>
      <c r="AE811" s="5"/>
      <c r="AF811" s="8"/>
      <c r="AG811" s="5" t="str">
        <f t="array" ref="AG811">IF('Ingest Template'!A811="Standard",(CONCATENATE(IF(ISBLANK('Ingest Template'!N811),"", 'Ingest Template'!N811&amp;"|DAR"),CHAR(10), IF(ISBLANK('Ingest Template'!O811),"", 'Ingest Template'!O811&amp;"|DAR"),CHAR(10), IF(ISBLANK('Ingest Template'!P811),"", 'Ingest Template'!P811&amp;"|DAR"))),(CONCATENATE(IF(ISBLANK('Ingest Template'!N811),"", 'Ingest Template'!N811&amp;"|Operations - Core Title"),CHAR(10), IF(ISBLANK('Ingest Template'!O811),"", 'Ingest Template'!O811&amp;"|Operations - Core Title"),CHAR(10), IF(ISBLANK('Ingest Template'!P811),"", 'Ingest Template'!P811&amp;"|Operations - Core Title"))))</f>
        <v>#|Operations - Core Title
</v>
      </c>
      <c r="AH811" s="5"/>
      <c r="AI811" s="5"/>
      <c r="AJ811" s="5"/>
      <c r="AK811" s="5"/>
      <c r="AL811" s="5"/>
    </row>
    <row r="812">
      <c r="A812" s="5"/>
      <c r="B812" s="5" t="str">
        <f>'Ingest Template'!B812&amp;IF('Ingest Template'!A812 = "Standard", " - DAR","")</f>
        <v/>
      </c>
      <c r="C812" s="6" t="str">
        <f>'Ingest Template'!C812</f>
        <v/>
      </c>
      <c r="D812" s="7" t="str">
        <f>'Ingest Template'!E812</f>
        <v/>
      </c>
      <c r="E812" s="5"/>
      <c r="F812" s="5"/>
      <c r="G812" s="5"/>
      <c r="H812" s="7"/>
      <c r="I812" s="5"/>
      <c r="J812" s="7" t="str">
        <f>'Ingest Template'!Q812</f>
        <v/>
      </c>
      <c r="K812" s="5" t="str">
        <f>'Ingest Template'!R812</f>
        <v/>
      </c>
      <c r="L812" s="8" t="s">
        <v>38</v>
      </c>
      <c r="M812" s="9"/>
      <c r="N812" s="5"/>
      <c r="O812" s="5"/>
      <c r="P812" s="5"/>
      <c r="Q812" s="5"/>
      <c r="R812" s="5" t="str">
        <f>'Ingest Template'!D812</f>
        <v/>
      </c>
      <c r="S812" s="5" t="str">
        <f>'Ingest Template'!G812</f>
        <v/>
      </c>
      <c r="T812" s="5" t="str">
        <f>'Ingest Template'!H812</f>
        <v/>
      </c>
      <c r="U812" s="5" t="str">
        <f>LOWER(SUBSTITUTE(SUBSTITUTE(SUBSTITUTE(SUBSTITUTE(SUBSTITUTE('Ingest Template'!I812,"https:",""),"www.",""),"/",""),"?hl=en",""),"instagram.com",""))</f>
        <v/>
      </c>
      <c r="V812" s="10" t="str">
        <f>'Ingest Template'!J812</f>
        <v/>
      </c>
      <c r="W812" s="10" t="str">
        <f>'Ingest Template'!K812</f>
        <v/>
      </c>
      <c r="X812" s="5"/>
      <c r="Y812" s="5" t="str">
        <f>SUBSTITUTE(SUBSTITUTE(SUBSTITUTE('Ingest Template'!L812,"http:",""),"https:",""),"/","")</f>
        <v/>
      </c>
      <c r="Z812" s="5" t="str">
        <f t="array" ref="Z812">IF('Ingest Template'!A812="Standard",(IF(ISBLANK('Ingest Template'!M812),"", 'Ingest Template'!M812&amp;"|DAR")),(IF(ISBLANK('Ingest Template'!M812),"", 'Ingest Template'!M812&amp;"|Operations - Core Title")))</f>
        <v/>
      </c>
      <c r="AA812" s="5"/>
      <c r="AB812" s="5" t="str">
        <f>'Ingest Template'!F812</f>
        <v/>
      </c>
      <c r="AC812" s="5"/>
      <c r="AD812" s="5"/>
      <c r="AE812" s="5"/>
      <c r="AF812" s="8"/>
      <c r="AG812" s="5" t="str">
        <f t="array" ref="AG812">IF('Ingest Template'!A812="Standard",(CONCATENATE(IF(ISBLANK('Ingest Template'!N812),"", 'Ingest Template'!N812&amp;"|DAR"),CHAR(10), IF(ISBLANK('Ingest Template'!O812),"", 'Ingest Template'!O812&amp;"|DAR"),CHAR(10), IF(ISBLANK('Ingest Template'!P812),"", 'Ingest Template'!P812&amp;"|DAR"))),(CONCATENATE(IF(ISBLANK('Ingest Template'!N812),"", 'Ingest Template'!N812&amp;"|Operations - Core Title"),CHAR(10), IF(ISBLANK('Ingest Template'!O812),"", 'Ingest Template'!O812&amp;"|Operations - Core Title"),CHAR(10), IF(ISBLANK('Ingest Template'!P812),"", 'Ingest Template'!P812&amp;"|Operations - Core Title"))))</f>
        <v>#|Operations - Core Title
</v>
      </c>
      <c r="AH812" s="5"/>
      <c r="AI812" s="5"/>
      <c r="AJ812" s="5"/>
      <c r="AK812" s="5"/>
      <c r="AL812" s="5"/>
    </row>
    <row r="813">
      <c r="A813" s="5"/>
      <c r="B813" s="5" t="str">
        <f>'Ingest Template'!B813&amp;IF('Ingest Template'!A813 = "Standard", " - DAR","")</f>
        <v/>
      </c>
      <c r="C813" s="6" t="str">
        <f>'Ingest Template'!C813</f>
        <v/>
      </c>
      <c r="D813" s="7" t="str">
        <f>'Ingest Template'!E813</f>
        <v/>
      </c>
      <c r="E813" s="5"/>
      <c r="F813" s="5"/>
      <c r="G813" s="5"/>
      <c r="H813" s="7"/>
      <c r="I813" s="5"/>
      <c r="J813" s="7" t="str">
        <f>'Ingest Template'!Q813</f>
        <v/>
      </c>
      <c r="K813" s="5" t="str">
        <f>'Ingest Template'!R813</f>
        <v/>
      </c>
      <c r="L813" s="8" t="s">
        <v>38</v>
      </c>
      <c r="M813" s="9"/>
      <c r="N813" s="5"/>
      <c r="O813" s="5"/>
      <c r="P813" s="5"/>
      <c r="Q813" s="5"/>
      <c r="R813" s="5" t="str">
        <f>'Ingest Template'!D813</f>
        <v/>
      </c>
      <c r="S813" s="5" t="str">
        <f>'Ingest Template'!G813</f>
        <v/>
      </c>
      <c r="T813" s="5" t="str">
        <f>'Ingest Template'!H813</f>
        <v/>
      </c>
      <c r="U813" s="5" t="str">
        <f>LOWER(SUBSTITUTE(SUBSTITUTE(SUBSTITUTE(SUBSTITUTE(SUBSTITUTE('Ingest Template'!I813,"https:",""),"www.",""),"/",""),"?hl=en",""),"instagram.com",""))</f>
        <v/>
      </c>
      <c r="V813" s="10" t="str">
        <f>'Ingest Template'!J813</f>
        <v/>
      </c>
      <c r="W813" s="10" t="str">
        <f>'Ingest Template'!K813</f>
        <v/>
      </c>
      <c r="X813" s="5"/>
      <c r="Y813" s="5" t="str">
        <f>SUBSTITUTE(SUBSTITUTE(SUBSTITUTE('Ingest Template'!L813,"http:",""),"https:",""),"/","")</f>
        <v/>
      </c>
      <c r="Z813" s="5" t="str">
        <f t="array" ref="Z813">IF('Ingest Template'!A813="Standard",(IF(ISBLANK('Ingest Template'!M813),"", 'Ingest Template'!M813&amp;"|DAR")),(IF(ISBLANK('Ingest Template'!M813),"", 'Ingest Template'!M813&amp;"|Operations - Core Title")))</f>
        <v/>
      </c>
      <c r="AA813" s="5"/>
      <c r="AB813" s="5" t="str">
        <f>'Ingest Template'!F813</f>
        <v/>
      </c>
      <c r="AC813" s="5"/>
      <c r="AD813" s="5"/>
      <c r="AE813" s="5"/>
      <c r="AF813" s="8"/>
      <c r="AG813" s="5" t="str">
        <f t="array" ref="AG813">IF('Ingest Template'!A813="Standard",(CONCATENATE(IF(ISBLANK('Ingest Template'!N813),"", 'Ingest Template'!N813&amp;"|DAR"),CHAR(10), IF(ISBLANK('Ingest Template'!O813),"", 'Ingest Template'!O813&amp;"|DAR"),CHAR(10), IF(ISBLANK('Ingest Template'!P813),"", 'Ingest Template'!P813&amp;"|DAR"))),(CONCATENATE(IF(ISBLANK('Ingest Template'!N813),"", 'Ingest Template'!N813&amp;"|Operations - Core Title"),CHAR(10), IF(ISBLANK('Ingest Template'!O813),"", 'Ingest Template'!O813&amp;"|Operations - Core Title"),CHAR(10), IF(ISBLANK('Ingest Template'!P813),"", 'Ingest Template'!P813&amp;"|Operations - Core Title"))))</f>
        <v>#|Operations - Core Title
</v>
      </c>
      <c r="AH813" s="5"/>
      <c r="AI813" s="5"/>
      <c r="AJ813" s="5"/>
      <c r="AK813" s="5"/>
      <c r="AL813" s="5"/>
    </row>
    <row r="814">
      <c r="A814" s="5"/>
      <c r="B814" s="5" t="str">
        <f>'Ingest Template'!B814&amp;IF('Ingest Template'!A814 = "Standard", " - DAR","")</f>
        <v/>
      </c>
      <c r="C814" s="6" t="str">
        <f>'Ingest Template'!C814</f>
        <v/>
      </c>
      <c r="D814" s="7" t="str">
        <f>'Ingest Template'!E814</f>
        <v/>
      </c>
      <c r="E814" s="5"/>
      <c r="F814" s="5"/>
      <c r="G814" s="5"/>
      <c r="H814" s="7"/>
      <c r="I814" s="5"/>
      <c r="J814" s="7" t="str">
        <f>'Ingest Template'!Q814</f>
        <v/>
      </c>
      <c r="K814" s="5" t="str">
        <f>'Ingest Template'!R814</f>
        <v/>
      </c>
      <c r="L814" s="8" t="s">
        <v>38</v>
      </c>
      <c r="M814" s="9"/>
      <c r="N814" s="5"/>
      <c r="O814" s="5"/>
      <c r="P814" s="5"/>
      <c r="Q814" s="5"/>
      <c r="R814" s="5" t="str">
        <f>'Ingest Template'!D814</f>
        <v/>
      </c>
      <c r="S814" s="5" t="str">
        <f>'Ingest Template'!G814</f>
        <v/>
      </c>
      <c r="T814" s="5" t="str">
        <f>'Ingest Template'!H814</f>
        <v/>
      </c>
      <c r="U814" s="5" t="str">
        <f>LOWER(SUBSTITUTE(SUBSTITUTE(SUBSTITUTE(SUBSTITUTE(SUBSTITUTE('Ingest Template'!I814,"https:",""),"www.",""),"/",""),"?hl=en",""),"instagram.com",""))</f>
        <v/>
      </c>
      <c r="V814" s="10" t="str">
        <f>'Ingest Template'!J814</f>
        <v/>
      </c>
      <c r="W814" s="10" t="str">
        <f>'Ingest Template'!K814</f>
        <v/>
      </c>
      <c r="X814" s="5"/>
      <c r="Y814" s="5" t="str">
        <f>SUBSTITUTE(SUBSTITUTE(SUBSTITUTE('Ingest Template'!L814,"http:",""),"https:",""),"/","")</f>
        <v/>
      </c>
      <c r="Z814" s="5" t="str">
        <f t="array" ref="Z814">IF('Ingest Template'!A814="Standard",(IF(ISBLANK('Ingest Template'!M814),"", 'Ingest Template'!M814&amp;"|DAR")),(IF(ISBLANK('Ingest Template'!M814),"", 'Ingest Template'!M814&amp;"|Operations - Core Title")))</f>
        <v/>
      </c>
      <c r="AA814" s="5"/>
      <c r="AB814" s="5" t="str">
        <f>'Ingest Template'!F814</f>
        <v/>
      </c>
      <c r="AC814" s="5"/>
      <c r="AD814" s="5"/>
      <c r="AE814" s="5"/>
      <c r="AF814" s="8"/>
      <c r="AG814" s="5" t="str">
        <f t="array" ref="AG814">IF('Ingest Template'!A814="Standard",(CONCATENATE(IF(ISBLANK('Ingest Template'!N814),"", 'Ingest Template'!N814&amp;"|DAR"),CHAR(10), IF(ISBLANK('Ingest Template'!O814),"", 'Ingest Template'!O814&amp;"|DAR"),CHAR(10), IF(ISBLANK('Ingest Template'!P814),"", 'Ingest Template'!P814&amp;"|DAR"))),(CONCATENATE(IF(ISBLANK('Ingest Template'!N814),"", 'Ingest Template'!N814&amp;"|Operations - Core Title"),CHAR(10), IF(ISBLANK('Ingest Template'!O814),"", 'Ingest Template'!O814&amp;"|Operations - Core Title"),CHAR(10), IF(ISBLANK('Ingest Template'!P814),"", 'Ingest Template'!P814&amp;"|Operations - Core Title"))))</f>
        <v>#|Operations - Core Title
</v>
      </c>
      <c r="AH814" s="5"/>
      <c r="AI814" s="5"/>
      <c r="AJ814" s="5"/>
      <c r="AK814" s="5"/>
      <c r="AL814" s="5"/>
    </row>
    <row r="815">
      <c r="A815" s="5"/>
      <c r="B815" s="5" t="str">
        <f>'Ingest Template'!B815&amp;IF('Ingest Template'!A815 = "Standard", " - DAR","")</f>
        <v/>
      </c>
      <c r="C815" s="6" t="str">
        <f>'Ingest Template'!C815</f>
        <v/>
      </c>
      <c r="D815" s="7" t="str">
        <f>'Ingest Template'!E815</f>
        <v/>
      </c>
      <c r="E815" s="5"/>
      <c r="F815" s="5"/>
      <c r="G815" s="5"/>
      <c r="H815" s="7"/>
      <c r="I815" s="5"/>
      <c r="J815" s="7" t="str">
        <f>'Ingest Template'!Q815</f>
        <v/>
      </c>
      <c r="K815" s="5" t="str">
        <f>'Ingest Template'!R815</f>
        <v/>
      </c>
      <c r="L815" s="8" t="s">
        <v>38</v>
      </c>
      <c r="M815" s="9"/>
      <c r="N815" s="5"/>
      <c r="O815" s="5"/>
      <c r="P815" s="5"/>
      <c r="Q815" s="5"/>
      <c r="R815" s="5" t="str">
        <f>'Ingest Template'!D815</f>
        <v/>
      </c>
      <c r="S815" s="5" t="str">
        <f>'Ingest Template'!G815</f>
        <v/>
      </c>
      <c r="T815" s="5" t="str">
        <f>'Ingest Template'!H815</f>
        <v/>
      </c>
      <c r="U815" s="5" t="str">
        <f>LOWER(SUBSTITUTE(SUBSTITUTE(SUBSTITUTE(SUBSTITUTE(SUBSTITUTE('Ingest Template'!I815,"https:",""),"www.",""),"/",""),"?hl=en",""),"instagram.com",""))</f>
        <v/>
      </c>
      <c r="V815" s="10" t="str">
        <f>'Ingest Template'!J815</f>
        <v/>
      </c>
      <c r="W815" s="10" t="str">
        <f>'Ingest Template'!K815</f>
        <v/>
      </c>
      <c r="X815" s="5"/>
      <c r="Y815" s="5" t="str">
        <f>SUBSTITUTE(SUBSTITUTE(SUBSTITUTE('Ingest Template'!L815,"http:",""),"https:",""),"/","")</f>
        <v/>
      </c>
      <c r="Z815" s="5" t="str">
        <f t="array" ref="Z815">IF('Ingest Template'!A815="Standard",(IF(ISBLANK('Ingest Template'!M815),"", 'Ingest Template'!M815&amp;"|DAR")),(IF(ISBLANK('Ingest Template'!M815),"", 'Ingest Template'!M815&amp;"|Operations - Core Title")))</f>
        <v/>
      </c>
      <c r="AA815" s="5"/>
      <c r="AB815" s="5" t="str">
        <f>'Ingest Template'!F815</f>
        <v/>
      </c>
      <c r="AC815" s="5"/>
      <c r="AD815" s="5"/>
      <c r="AE815" s="5"/>
      <c r="AF815" s="8"/>
      <c r="AG815" s="5" t="str">
        <f t="array" ref="AG815">IF('Ingest Template'!A815="Standard",(CONCATENATE(IF(ISBLANK('Ingest Template'!N815),"", 'Ingest Template'!N815&amp;"|DAR"),CHAR(10), IF(ISBLANK('Ingest Template'!O815),"", 'Ingest Template'!O815&amp;"|DAR"),CHAR(10), IF(ISBLANK('Ingest Template'!P815),"", 'Ingest Template'!P815&amp;"|DAR"))),(CONCATENATE(IF(ISBLANK('Ingest Template'!N815),"", 'Ingest Template'!N815&amp;"|Operations - Core Title"),CHAR(10), IF(ISBLANK('Ingest Template'!O815),"", 'Ingest Template'!O815&amp;"|Operations - Core Title"),CHAR(10), IF(ISBLANK('Ingest Template'!P815),"", 'Ingest Template'!P815&amp;"|Operations - Core Title"))))</f>
        <v>#|Operations - Core Title
</v>
      </c>
      <c r="AH815" s="5"/>
      <c r="AI815" s="5"/>
      <c r="AJ815" s="5"/>
      <c r="AK815" s="5"/>
      <c r="AL815" s="5"/>
    </row>
    <row r="816">
      <c r="A816" s="5"/>
      <c r="B816" s="5" t="str">
        <f>'Ingest Template'!B816&amp;IF('Ingest Template'!A816 = "Standard", " - DAR","")</f>
        <v/>
      </c>
      <c r="C816" s="6" t="str">
        <f>'Ingest Template'!C816</f>
        <v/>
      </c>
      <c r="D816" s="7" t="str">
        <f>'Ingest Template'!E816</f>
        <v/>
      </c>
      <c r="E816" s="5"/>
      <c r="F816" s="5"/>
      <c r="G816" s="5"/>
      <c r="H816" s="7"/>
      <c r="I816" s="5"/>
      <c r="J816" s="7" t="str">
        <f>'Ingest Template'!Q816</f>
        <v/>
      </c>
      <c r="K816" s="5" t="str">
        <f>'Ingest Template'!R816</f>
        <v/>
      </c>
      <c r="L816" s="8" t="s">
        <v>38</v>
      </c>
      <c r="M816" s="9"/>
      <c r="N816" s="5"/>
      <c r="O816" s="5"/>
      <c r="P816" s="5"/>
      <c r="Q816" s="5"/>
      <c r="R816" s="5" t="str">
        <f>'Ingest Template'!D816</f>
        <v/>
      </c>
      <c r="S816" s="5" t="str">
        <f>'Ingest Template'!G816</f>
        <v/>
      </c>
      <c r="T816" s="5" t="str">
        <f>'Ingest Template'!H816</f>
        <v/>
      </c>
      <c r="U816" s="5" t="str">
        <f>LOWER(SUBSTITUTE(SUBSTITUTE(SUBSTITUTE(SUBSTITUTE(SUBSTITUTE('Ingest Template'!I816,"https:",""),"www.",""),"/",""),"?hl=en",""),"instagram.com",""))</f>
        <v/>
      </c>
      <c r="V816" s="10" t="str">
        <f>'Ingest Template'!J816</f>
        <v/>
      </c>
      <c r="W816" s="10" t="str">
        <f>'Ingest Template'!K816</f>
        <v/>
      </c>
      <c r="X816" s="5"/>
      <c r="Y816" s="5" t="str">
        <f>SUBSTITUTE(SUBSTITUTE(SUBSTITUTE('Ingest Template'!L816,"http:",""),"https:",""),"/","")</f>
        <v/>
      </c>
      <c r="Z816" s="5" t="str">
        <f t="array" ref="Z816">IF('Ingest Template'!A816="Standard",(IF(ISBLANK('Ingest Template'!M816),"", 'Ingest Template'!M816&amp;"|DAR")),(IF(ISBLANK('Ingest Template'!M816),"", 'Ingest Template'!M816&amp;"|Operations - Core Title")))</f>
        <v/>
      </c>
      <c r="AA816" s="5"/>
      <c r="AB816" s="5" t="str">
        <f>'Ingest Template'!F816</f>
        <v/>
      </c>
      <c r="AC816" s="5"/>
      <c r="AD816" s="5"/>
      <c r="AE816" s="5"/>
      <c r="AF816" s="8"/>
      <c r="AG816" s="5" t="str">
        <f t="array" ref="AG816">IF('Ingest Template'!A816="Standard",(CONCATENATE(IF(ISBLANK('Ingest Template'!N816),"", 'Ingest Template'!N816&amp;"|DAR"),CHAR(10), IF(ISBLANK('Ingest Template'!O816),"", 'Ingest Template'!O816&amp;"|DAR"),CHAR(10), IF(ISBLANK('Ingest Template'!P816),"", 'Ingest Template'!P816&amp;"|DAR"))),(CONCATENATE(IF(ISBLANK('Ingest Template'!N816),"", 'Ingest Template'!N816&amp;"|Operations - Core Title"),CHAR(10), IF(ISBLANK('Ingest Template'!O816),"", 'Ingest Template'!O816&amp;"|Operations - Core Title"),CHAR(10), IF(ISBLANK('Ingest Template'!P816),"", 'Ingest Template'!P816&amp;"|Operations - Core Title"))))</f>
        <v>#|Operations - Core Title
</v>
      </c>
      <c r="AH816" s="5"/>
      <c r="AI816" s="5"/>
      <c r="AJ816" s="5"/>
      <c r="AK816" s="5"/>
      <c r="AL816" s="5"/>
    </row>
    <row r="817">
      <c r="A817" s="5"/>
      <c r="B817" s="5" t="str">
        <f>'Ingest Template'!B817&amp;IF('Ingest Template'!A817 = "Standard", " - DAR","")</f>
        <v/>
      </c>
      <c r="C817" s="6" t="str">
        <f>'Ingest Template'!C817</f>
        <v/>
      </c>
      <c r="D817" s="7" t="str">
        <f>'Ingest Template'!E817</f>
        <v/>
      </c>
      <c r="E817" s="5"/>
      <c r="F817" s="5"/>
      <c r="G817" s="5"/>
      <c r="H817" s="7"/>
      <c r="I817" s="5"/>
      <c r="J817" s="7" t="str">
        <f>'Ingest Template'!Q817</f>
        <v/>
      </c>
      <c r="K817" s="5" t="str">
        <f>'Ingest Template'!R817</f>
        <v/>
      </c>
      <c r="L817" s="8" t="s">
        <v>38</v>
      </c>
      <c r="M817" s="9"/>
      <c r="N817" s="5"/>
      <c r="O817" s="5"/>
      <c r="P817" s="5"/>
      <c r="Q817" s="5"/>
      <c r="R817" s="5" t="str">
        <f>'Ingest Template'!D817</f>
        <v/>
      </c>
      <c r="S817" s="5" t="str">
        <f>'Ingest Template'!G817</f>
        <v/>
      </c>
      <c r="T817" s="5" t="str">
        <f>'Ingest Template'!H817</f>
        <v/>
      </c>
      <c r="U817" s="5" t="str">
        <f>LOWER(SUBSTITUTE(SUBSTITUTE(SUBSTITUTE(SUBSTITUTE(SUBSTITUTE('Ingest Template'!I817,"https:",""),"www.",""),"/",""),"?hl=en",""),"instagram.com",""))</f>
        <v/>
      </c>
      <c r="V817" s="10" t="str">
        <f>'Ingest Template'!J817</f>
        <v/>
      </c>
      <c r="W817" s="10" t="str">
        <f>'Ingest Template'!K817</f>
        <v/>
      </c>
      <c r="X817" s="5"/>
      <c r="Y817" s="5" t="str">
        <f>SUBSTITUTE(SUBSTITUTE(SUBSTITUTE('Ingest Template'!L817,"http:",""),"https:",""),"/","")</f>
        <v/>
      </c>
      <c r="Z817" s="5" t="str">
        <f t="array" ref="Z817">IF('Ingest Template'!A817="Standard",(IF(ISBLANK('Ingest Template'!M817),"", 'Ingest Template'!M817&amp;"|DAR")),(IF(ISBLANK('Ingest Template'!M817),"", 'Ingest Template'!M817&amp;"|Operations - Core Title")))</f>
        <v/>
      </c>
      <c r="AA817" s="5"/>
      <c r="AB817" s="5" t="str">
        <f>'Ingest Template'!F817</f>
        <v/>
      </c>
      <c r="AC817" s="5"/>
      <c r="AD817" s="5"/>
      <c r="AE817" s="5"/>
      <c r="AF817" s="8"/>
      <c r="AG817" s="5" t="str">
        <f t="array" ref="AG817">IF('Ingest Template'!A817="Standard",(CONCATENATE(IF(ISBLANK('Ingest Template'!N817),"", 'Ingest Template'!N817&amp;"|DAR"),CHAR(10), IF(ISBLANK('Ingest Template'!O817),"", 'Ingest Template'!O817&amp;"|DAR"),CHAR(10), IF(ISBLANK('Ingest Template'!P817),"", 'Ingest Template'!P817&amp;"|DAR"))),(CONCATENATE(IF(ISBLANK('Ingest Template'!N817),"", 'Ingest Template'!N817&amp;"|Operations - Core Title"),CHAR(10), IF(ISBLANK('Ingest Template'!O817),"", 'Ingest Template'!O817&amp;"|Operations - Core Title"),CHAR(10), IF(ISBLANK('Ingest Template'!P817),"", 'Ingest Template'!P817&amp;"|Operations - Core Title"))))</f>
        <v>#|Operations - Core Title
</v>
      </c>
      <c r="AH817" s="5"/>
      <c r="AI817" s="5"/>
      <c r="AJ817" s="5"/>
      <c r="AK817" s="5"/>
      <c r="AL817" s="5"/>
    </row>
    <row r="818">
      <c r="A818" s="5"/>
      <c r="B818" s="5" t="str">
        <f>'Ingest Template'!B818&amp;IF('Ingest Template'!A818 = "Standard", " - DAR","")</f>
        <v/>
      </c>
      <c r="C818" s="6" t="str">
        <f>'Ingest Template'!C818</f>
        <v/>
      </c>
      <c r="D818" s="7" t="str">
        <f>'Ingest Template'!E818</f>
        <v/>
      </c>
      <c r="E818" s="5"/>
      <c r="F818" s="5"/>
      <c r="G818" s="5"/>
      <c r="H818" s="7"/>
      <c r="I818" s="5"/>
      <c r="J818" s="7" t="str">
        <f>'Ingest Template'!Q818</f>
        <v/>
      </c>
      <c r="K818" s="5" t="str">
        <f>'Ingest Template'!R818</f>
        <v/>
      </c>
      <c r="L818" s="8" t="s">
        <v>38</v>
      </c>
      <c r="M818" s="9"/>
      <c r="N818" s="5"/>
      <c r="O818" s="5"/>
      <c r="P818" s="5"/>
      <c r="Q818" s="5"/>
      <c r="R818" s="5" t="str">
        <f>'Ingest Template'!D818</f>
        <v/>
      </c>
      <c r="S818" s="5" t="str">
        <f>'Ingest Template'!G818</f>
        <v/>
      </c>
      <c r="T818" s="5" t="str">
        <f>'Ingest Template'!H818</f>
        <v/>
      </c>
      <c r="U818" s="5" t="str">
        <f>LOWER(SUBSTITUTE(SUBSTITUTE(SUBSTITUTE(SUBSTITUTE(SUBSTITUTE('Ingest Template'!I818,"https:",""),"www.",""),"/",""),"?hl=en",""),"instagram.com",""))</f>
        <v/>
      </c>
      <c r="V818" s="10" t="str">
        <f>'Ingest Template'!J818</f>
        <v/>
      </c>
      <c r="W818" s="10" t="str">
        <f>'Ingest Template'!K818</f>
        <v/>
      </c>
      <c r="X818" s="5"/>
      <c r="Y818" s="5" t="str">
        <f>SUBSTITUTE(SUBSTITUTE(SUBSTITUTE('Ingest Template'!L818,"http:",""),"https:",""),"/","")</f>
        <v/>
      </c>
      <c r="Z818" s="5" t="str">
        <f t="array" ref="Z818">IF('Ingest Template'!A818="Standard",(IF(ISBLANK('Ingest Template'!M818),"", 'Ingest Template'!M818&amp;"|DAR")),(IF(ISBLANK('Ingest Template'!M818),"", 'Ingest Template'!M818&amp;"|Operations - Core Title")))</f>
        <v/>
      </c>
      <c r="AA818" s="5"/>
      <c r="AB818" s="5" t="str">
        <f>'Ingest Template'!F818</f>
        <v/>
      </c>
      <c r="AC818" s="5"/>
      <c r="AD818" s="5"/>
      <c r="AE818" s="5"/>
      <c r="AF818" s="8"/>
      <c r="AG818" s="5" t="str">
        <f t="array" ref="AG818">IF('Ingest Template'!A818="Standard",(CONCATENATE(IF(ISBLANK('Ingest Template'!N818),"", 'Ingest Template'!N818&amp;"|DAR"),CHAR(10), IF(ISBLANK('Ingest Template'!O818),"", 'Ingest Template'!O818&amp;"|DAR"),CHAR(10), IF(ISBLANK('Ingest Template'!P818),"", 'Ingest Template'!P818&amp;"|DAR"))),(CONCATENATE(IF(ISBLANK('Ingest Template'!N818),"", 'Ingest Template'!N818&amp;"|Operations - Core Title"),CHAR(10), IF(ISBLANK('Ingest Template'!O818),"", 'Ingest Template'!O818&amp;"|Operations - Core Title"),CHAR(10), IF(ISBLANK('Ingest Template'!P818),"", 'Ingest Template'!P818&amp;"|Operations - Core Title"))))</f>
        <v>#|Operations - Core Title
</v>
      </c>
      <c r="AH818" s="5"/>
      <c r="AI818" s="5"/>
      <c r="AJ818" s="5"/>
      <c r="AK818" s="5"/>
      <c r="AL818" s="5"/>
    </row>
    <row r="819">
      <c r="A819" s="5"/>
      <c r="B819" s="5" t="str">
        <f>'Ingest Template'!B819&amp;IF('Ingest Template'!A819 = "Standard", " - DAR","")</f>
        <v/>
      </c>
      <c r="C819" s="6" t="str">
        <f>'Ingest Template'!C819</f>
        <v/>
      </c>
      <c r="D819" s="7" t="str">
        <f>'Ingest Template'!E819</f>
        <v/>
      </c>
      <c r="E819" s="5"/>
      <c r="F819" s="5"/>
      <c r="G819" s="5"/>
      <c r="H819" s="7"/>
      <c r="I819" s="5"/>
      <c r="J819" s="7" t="str">
        <f>'Ingest Template'!Q819</f>
        <v/>
      </c>
      <c r="K819" s="5" t="str">
        <f>'Ingest Template'!R819</f>
        <v/>
      </c>
      <c r="L819" s="8" t="s">
        <v>38</v>
      </c>
      <c r="M819" s="9"/>
      <c r="N819" s="5"/>
      <c r="O819" s="5"/>
      <c r="P819" s="5"/>
      <c r="Q819" s="5"/>
      <c r="R819" s="5" t="str">
        <f>'Ingest Template'!D819</f>
        <v/>
      </c>
      <c r="S819" s="5" t="str">
        <f>'Ingest Template'!G819</f>
        <v/>
      </c>
      <c r="T819" s="5" t="str">
        <f>'Ingest Template'!H819</f>
        <v/>
      </c>
      <c r="U819" s="5" t="str">
        <f>LOWER(SUBSTITUTE(SUBSTITUTE(SUBSTITUTE(SUBSTITUTE(SUBSTITUTE('Ingest Template'!I819,"https:",""),"www.",""),"/",""),"?hl=en",""),"instagram.com",""))</f>
        <v/>
      </c>
      <c r="V819" s="10" t="str">
        <f>'Ingest Template'!J819</f>
        <v/>
      </c>
      <c r="W819" s="10" t="str">
        <f>'Ingest Template'!K819</f>
        <v/>
      </c>
      <c r="X819" s="5"/>
      <c r="Y819" s="5" t="str">
        <f>SUBSTITUTE(SUBSTITUTE(SUBSTITUTE('Ingest Template'!L819,"http:",""),"https:",""),"/","")</f>
        <v/>
      </c>
      <c r="Z819" s="5" t="str">
        <f t="array" ref="Z819">IF('Ingest Template'!A819="Standard",(IF(ISBLANK('Ingest Template'!M819),"", 'Ingest Template'!M819&amp;"|DAR")),(IF(ISBLANK('Ingest Template'!M819),"", 'Ingest Template'!M819&amp;"|Operations - Core Title")))</f>
        <v/>
      </c>
      <c r="AA819" s="5"/>
      <c r="AB819" s="5" t="str">
        <f>'Ingest Template'!F819</f>
        <v/>
      </c>
      <c r="AC819" s="5"/>
      <c r="AD819" s="5"/>
      <c r="AE819" s="5"/>
      <c r="AF819" s="8"/>
      <c r="AG819" s="5" t="str">
        <f t="array" ref="AG819">IF('Ingest Template'!A819="Standard",(CONCATENATE(IF(ISBLANK('Ingest Template'!N819),"", 'Ingest Template'!N819&amp;"|DAR"),CHAR(10), IF(ISBLANK('Ingest Template'!O819),"", 'Ingest Template'!O819&amp;"|DAR"),CHAR(10), IF(ISBLANK('Ingest Template'!P819),"", 'Ingest Template'!P819&amp;"|DAR"))),(CONCATENATE(IF(ISBLANK('Ingest Template'!N819),"", 'Ingest Template'!N819&amp;"|Operations - Core Title"),CHAR(10), IF(ISBLANK('Ingest Template'!O819),"", 'Ingest Template'!O819&amp;"|Operations - Core Title"),CHAR(10), IF(ISBLANK('Ingest Template'!P819),"", 'Ingest Template'!P819&amp;"|Operations - Core Title"))))</f>
        <v>#|Operations - Core Title
</v>
      </c>
      <c r="AH819" s="5"/>
      <c r="AI819" s="5"/>
      <c r="AJ819" s="5"/>
      <c r="AK819" s="5"/>
      <c r="AL819" s="5"/>
    </row>
    <row r="820">
      <c r="A820" s="5"/>
      <c r="B820" s="5" t="str">
        <f>'Ingest Template'!B820&amp;IF('Ingest Template'!A820 = "Standard", " - DAR","")</f>
        <v/>
      </c>
      <c r="C820" s="6" t="str">
        <f>'Ingest Template'!C820</f>
        <v/>
      </c>
      <c r="D820" s="7" t="str">
        <f>'Ingest Template'!E820</f>
        <v/>
      </c>
      <c r="E820" s="5"/>
      <c r="F820" s="5"/>
      <c r="G820" s="5"/>
      <c r="H820" s="7"/>
      <c r="I820" s="5"/>
      <c r="J820" s="7" t="str">
        <f>'Ingest Template'!Q820</f>
        <v/>
      </c>
      <c r="K820" s="5" t="str">
        <f>'Ingest Template'!R820</f>
        <v/>
      </c>
      <c r="L820" s="8" t="s">
        <v>38</v>
      </c>
      <c r="M820" s="9"/>
      <c r="N820" s="5"/>
      <c r="O820" s="5"/>
      <c r="P820" s="5"/>
      <c r="Q820" s="5"/>
      <c r="R820" s="5" t="str">
        <f>'Ingest Template'!D820</f>
        <v/>
      </c>
      <c r="S820" s="5" t="str">
        <f>'Ingest Template'!G820</f>
        <v/>
      </c>
      <c r="T820" s="5" t="str">
        <f>'Ingest Template'!H820</f>
        <v/>
      </c>
      <c r="U820" s="5" t="str">
        <f>LOWER(SUBSTITUTE(SUBSTITUTE(SUBSTITUTE(SUBSTITUTE(SUBSTITUTE('Ingest Template'!I820,"https:",""),"www.",""),"/",""),"?hl=en",""),"instagram.com",""))</f>
        <v/>
      </c>
      <c r="V820" s="10" t="str">
        <f>'Ingest Template'!J820</f>
        <v/>
      </c>
      <c r="W820" s="10" t="str">
        <f>'Ingest Template'!K820</f>
        <v/>
      </c>
      <c r="X820" s="5"/>
      <c r="Y820" s="5" t="str">
        <f>SUBSTITUTE(SUBSTITUTE(SUBSTITUTE('Ingest Template'!L820,"http:",""),"https:",""),"/","")</f>
        <v/>
      </c>
      <c r="Z820" s="5" t="str">
        <f t="array" ref="Z820">IF('Ingest Template'!A820="Standard",(IF(ISBLANK('Ingest Template'!M820),"", 'Ingest Template'!M820&amp;"|DAR")),(IF(ISBLANK('Ingest Template'!M820),"", 'Ingest Template'!M820&amp;"|Operations - Core Title")))</f>
        <v/>
      </c>
      <c r="AA820" s="5"/>
      <c r="AB820" s="5" t="str">
        <f>'Ingest Template'!F820</f>
        <v/>
      </c>
      <c r="AC820" s="5"/>
      <c r="AD820" s="5"/>
      <c r="AE820" s="5"/>
      <c r="AF820" s="8"/>
      <c r="AG820" s="5" t="str">
        <f t="array" ref="AG820">IF('Ingest Template'!A820="Standard",(CONCATENATE(IF(ISBLANK('Ingest Template'!N820),"", 'Ingest Template'!N820&amp;"|DAR"),CHAR(10), IF(ISBLANK('Ingest Template'!O820),"", 'Ingest Template'!O820&amp;"|DAR"),CHAR(10), IF(ISBLANK('Ingest Template'!P820),"", 'Ingest Template'!P820&amp;"|DAR"))),(CONCATENATE(IF(ISBLANK('Ingest Template'!N820),"", 'Ingest Template'!N820&amp;"|Operations - Core Title"),CHAR(10), IF(ISBLANK('Ingest Template'!O820),"", 'Ingest Template'!O820&amp;"|Operations - Core Title"),CHAR(10), IF(ISBLANK('Ingest Template'!P820),"", 'Ingest Template'!P820&amp;"|Operations - Core Title"))))</f>
        <v>#|Operations - Core Title
</v>
      </c>
      <c r="AH820" s="5"/>
      <c r="AI820" s="5"/>
      <c r="AJ820" s="5"/>
      <c r="AK820" s="5"/>
      <c r="AL820" s="5"/>
    </row>
    <row r="821">
      <c r="A821" s="5"/>
      <c r="B821" s="5" t="str">
        <f>'Ingest Template'!B821&amp;IF('Ingest Template'!A821 = "Standard", " - DAR","")</f>
        <v/>
      </c>
      <c r="C821" s="6" t="str">
        <f>'Ingest Template'!C821</f>
        <v/>
      </c>
      <c r="D821" s="7" t="str">
        <f>'Ingest Template'!E821</f>
        <v/>
      </c>
      <c r="E821" s="5"/>
      <c r="F821" s="5"/>
      <c r="G821" s="5"/>
      <c r="H821" s="7"/>
      <c r="I821" s="5"/>
      <c r="J821" s="7" t="str">
        <f>'Ingest Template'!Q821</f>
        <v/>
      </c>
      <c r="K821" s="5" t="str">
        <f>'Ingest Template'!R821</f>
        <v/>
      </c>
      <c r="L821" s="8" t="s">
        <v>38</v>
      </c>
      <c r="M821" s="9"/>
      <c r="N821" s="5"/>
      <c r="O821" s="5"/>
      <c r="P821" s="5"/>
      <c r="Q821" s="5"/>
      <c r="R821" s="5" t="str">
        <f>'Ingest Template'!D821</f>
        <v/>
      </c>
      <c r="S821" s="5" t="str">
        <f>'Ingest Template'!G821</f>
        <v/>
      </c>
      <c r="T821" s="5" t="str">
        <f>'Ingest Template'!H821</f>
        <v/>
      </c>
      <c r="U821" s="5" t="str">
        <f>LOWER(SUBSTITUTE(SUBSTITUTE(SUBSTITUTE(SUBSTITUTE(SUBSTITUTE('Ingest Template'!I821,"https:",""),"www.",""),"/",""),"?hl=en",""),"instagram.com",""))</f>
        <v/>
      </c>
      <c r="V821" s="10" t="str">
        <f>'Ingest Template'!J821</f>
        <v/>
      </c>
      <c r="W821" s="10" t="str">
        <f>'Ingest Template'!K821</f>
        <v/>
      </c>
      <c r="X821" s="5"/>
      <c r="Y821" s="5" t="str">
        <f>SUBSTITUTE(SUBSTITUTE(SUBSTITUTE('Ingest Template'!L821,"http:",""),"https:",""),"/","")</f>
        <v/>
      </c>
      <c r="Z821" s="5" t="str">
        <f t="array" ref="Z821">IF('Ingest Template'!A821="Standard",(IF(ISBLANK('Ingest Template'!M821),"", 'Ingest Template'!M821&amp;"|DAR")),(IF(ISBLANK('Ingest Template'!M821),"", 'Ingest Template'!M821&amp;"|Operations - Core Title")))</f>
        <v/>
      </c>
      <c r="AA821" s="5"/>
      <c r="AB821" s="5" t="str">
        <f>'Ingest Template'!F821</f>
        <v/>
      </c>
      <c r="AC821" s="5"/>
      <c r="AD821" s="5"/>
      <c r="AE821" s="5"/>
      <c r="AF821" s="8"/>
      <c r="AG821" s="5" t="str">
        <f t="array" ref="AG821">IF('Ingest Template'!A821="Standard",(CONCATENATE(IF(ISBLANK('Ingest Template'!N821),"", 'Ingest Template'!N821&amp;"|DAR"),CHAR(10), IF(ISBLANK('Ingest Template'!O821),"", 'Ingest Template'!O821&amp;"|DAR"),CHAR(10), IF(ISBLANK('Ingest Template'!P821),"", 'Ingest Template'!P821&amp;"|DAR"))),(CONCATENATE(IF(ISBLANK('Ingest Template'!N821),"", 'Ingest Template'!N821&amp;"|Operations - Core Title"),CHAR(10), IF(ISBLANK('Ingest Template'!O821),"", 'Ingest Template'!O821&amp;"|Operations - Core Title"),CHAR(10), IF(ISBLANK('Ingest Template'!P821),"", 'Ingest Template'!P821&amp;"|Operations - Core Title"))))</f>
        <v>#|Operations - Core Title
</v>
      </c>
      <c r="AH821" s="5"/>
      <c r="AI821" s="5"/>
      <c r="AJ821" s="5"/>
      <c r="AK821" s="5"/>
      <c r="AL821" s="5"/>
    </row>
    <row r="822">
      <c r="A822" s="5"/>
      <c r="B822" s="5" t="str">
        <f>'Ingest Template'!B822&amp;IF('Ingest Template'!A822 = "Standard", " - DAR","")</f>
        <v/>
      </c>
      <c r="C822" s="6" t="str">
        <f>'Ingest Template'!C822</f>
        <v/>
      </c>
      <c r="D822" s="7" t="str">
        <f>'Ingest Template'!E822</f>
        <v/>
      </c>
      <c r="E822" s="5"/>
      <c r="F822" s="5"/>
      <c r="G822" s="5"/>
      <c r="H822" s="7"/>
      <c r="I822" s="5"/>
      <c r="J822" s="7" t="str">
        <f>'Ingest Template'!Q822</f>
        <v/>
      </c>
      <c r="K822" s="5" t="str">
        <f>'Ingest Template'!R822</f>
        <v/>
      </c>
      <c r="L822" s="8" t="s">
        <v>38</v>
      </c>
      <c r="M822" s="9"/>
      <c r="N822" s="5"/>
      <c r="O822" s="5"/>
      <c r="P822" s="5"/>
      <c r="Q822" s="5"/>
      <c r="R822" s="5" t="str">
        <f>'Ingest Template'!D822</f>
        <v/>
      </c>
      <c r="S822" s="5" t="str">
        <f>'Ingest Template'!G822</f>
        <v/>
      </c>
      <c r="T822" s="5" t="str">
        <f>'Ingest Template'!H822</f>
        <v/>
      </c>
      <c r="U822" s="5" t="str">
        <f>LOWER(SUBSTITUTE(SUBSTITUTE(SUBSTITUTE(SUBSTITUTE(SUBSTITUTE('Ingest Template'!I822,"https:",""),"www.",""),"/",""),"?hl=en",""),"instagram.com",""))</f>
        <v/>
      </c>
      <c r="V822" s="10" t="str">
        <f>'Ingest Template'!J822</f>
        <v/>
      </c>
      <c r="W822" s="10" t="str">
        <f>'Ingest Template'!K822</f>
        <v/>
      </c>
      <c r="X822" s="5"/>
      <c r="Y822" s="5" t="str">
        <f>SUBSTITUTE(SUBSTITUTE(SUBSTITUTE('Ingest Template'!L822,"http:",""),"https:",""),"/","")</f>
        <v/>
      </c>
      <c r="Z822" s="5" t="str">
        <f t="array" ref="Z822">IF('Ingest Template'!A822="Standard",(IF(ISBLANK('Ingest Template'!M822),"", 'Ingest Template'!M822&amp;"|DAR")),(IF(ISBLANK('Ingest Template'!M822),"", 'Ingest Template'!M822&amp;"|Operations - Core Title")))</f>
        <v/>
      </c>
      <c r="AA822" s="5"/>
      <c r="AB822" s="5" t="str">
        <f>'Ingest Template'!F822</f>
        <v/>
      </c>
      <c r="AC822" s="5"/>
      <c r="AD822" s="5"/>
      <c r="AE822" s="5"/>
      <c r="AF822" s="8"/>
      <c r="AG822" s="5" t="str">
        <f t="array" ref="AG822">IF('Ingest Template'!A822="Standard",(CONCATENATE(IF(ISBLANK('Ingest Template'!N822),"", 'Ingest Template'!N822&amp;"|DAR"),CHAR(10), IF(ISBLANK('Ingest Template'!O822),"", 'Ingest Template'!O822&amp;"|DAR"),CHAR(10), IF(ISBLANK('Ingest Template'!P822),"", 'Ingest Template'!P822&amp;"|DAR"))),(CONCATENATE(IF(ISBLANK('Ingest Template'!N822),"", 'Ingest Template'!N822&amp;"|Operations - Core Title"),CHAR(10), IF(ISBLANK('Ingest Template'!O822),"", 'Ingest Template'!O822&amp;"|Operations - Core Title"),CHAR(10), IF(ISBLANK('Ingest Template'!P822),"", 'Ingest Template'!P822&amp;"|Operations - Core Title"))))</f>
        <v>#|Operations - Core Title
</v>
      </c>
      <c r="AH822" s="5"/>
      <c r="AI822" s="5"/>
      <c r="AJ822" s="5"/>
      <c r="AK822" s="5"/>
      <c r="AL822" s="5"/>
    </row>
    <row r="823">
      <c r="A823" s="5"/>
      <c r="B823" s="5" t="str">
        <f>'Ingest Template'!B823&amp;IF('Ingest Template'!A823 = "Standard", " - DAR","")</f>
        <v/>
      </c>
      <c r="C823" s="6" t="str">
        <f>'Ingest Template'!C823</f>
        <v/>
      </c>
      <c r="D823" s="7" t="str">
        <f>'Ingest Template'!E823</f>
        <v/>
      </c>
      <c r="E823" s="5"/>
      <c r="F823" s="5"/>
      <c r="G823" s="5"/>
      <c r="H823" s="7"/>
      <c r="I823" s="5"/>
      <c r="J823" s="7" t="str">
        <f>'Ingest Template'!Q823</f>
        <v/>
      </c>
      <c r="K823" s="5" t="str">
        <f>'Ingest Template'!R823</f>
        <v/>
      </c>
      <c r="L823" s="8" t="s">
        <v>38</v>
      </c>
      <c r="M823" s="9"/>
      <c r="N823" s="5"/>
      <c r="O823" s="5"/>
      <c r="P823" s="5"/>
      <c r="Q823" s="5"/>
      <c r="R823" s="5" t="str">
        <f>'Ingest Template'!D823</f>
        <v/>
      </c>
      <c r="S823" s="5" t="str">
        <f>'Ingest Template'!G823</f>
        <v/>
      </c>
      <c r="T823" s="5" t="str">
        <f>'Ingest Template'!H823</f>
        <v/>
      </c>
      <c r="U823" s="5" t="str">
        <f>LOWER(SUBSTITUTE(SUBSTITUTE(SUBSTITUTE(SUBSTITUTE(SUBSTITUTE('Ingest Template'!I823,"https:",""),"www.",""),"/",""),"?hl=en",""),"instagram.com",""))</f>
        <v/>
      </c>
      <c r="V823" s="10" t="str">
        <f>'Ingest Template'!J823</f>
        <v/>
      </c>
      <c r="W823" s="10" t="str">
        <f>'Ingest Template'!K823</f>
        <v/>
      </c>
      <c r="X823" s="5"/>
      <c r="Y823" s="5" t="str">
        <f>SUBSTITUTE(SUBSTITUTE(SUBSTITUTE('Ingest Template'!L823,"http:",""),"https:",""),"/","")</f>
        <v/>
      </c>
      <c r="Z823" s="5" t="str">
        <f t="array" ref="Z823">IF('Ingest Template'!A823="Standard",(IF(ISBLANK('Ingest Template'!M823),"", 'Ingest Template'!M823&amp;"|DAR")),(IF(ISBLANK('Ingest Template'!M823),"", 'Ingest Template'!M823&amp;"|Operations - Core Title")))</f>
        <v/>
      </c>
      <c r="AA823" s="5"/>
      <c r="AB823" s="5" t="str">
        <f>'Ingest Template'!F823</f>
        <v/>
      </c>
      <c r="AC823" s="5"/>
      <c r="AD823" s="5"/>
      <c r="AE823" s="5"/>
      <c r="AF823" s="8"/>
      <c r="AG823" s="5" t="str">
        <f t="array" ref="AG823">IF('Ingest Template'!A823="Standard",(CONCATENATE(IF(ISBLANK('Ingest Template'!N823),"", 'Ingest Template'!N823&amp;"|DAR"),CHAR(10), IF(ISBLANK('Ingest Template'!O823),"", 'Ingest Template'!O823&amp;"|DAR"),CHAR(10), IF(ISBLANK('Ingest Template'!P823),"", 'Ingest Template'!P823&amp;"|DAR"))),(CONCATENATE(IF(ISBLANK('Ingest Template'!N823),"", 'Ingest Template'!N823&amp;"|Operations - Core Title"),CHAR(10), IF(ISBLANK('Ingest Template'!O823),"", 'Ingest Template'!O823&amp;"|Operations - Core Title"),CHAR(10), IF(ISBLANK('Ingest Template'!P823),"", 'Ingest Template'!P823&amp;"|Operations - Core Title"))))</f>
        <v>#|Operations - Core Title
</v>
      </c>
      <c r="AH823" s="5"/>
      <c r="AI823" s="5"/>
      <c r="AJ823" s="5"/>
      <c r="AK823" s="5"/>
      <c r="AL823" s="5"/>
    </row>
    <row r="824">
      <c r="A824" s="5"/>
      <c r="B824" s="5" t="str">
        <f>'Ingest Template'!B824&amp;IF('Ingest Template'!A824 = "Standard", " - DAR","")</f>
        <v/>
      </c>
      <c r="C824" s="6" t="str">
        <f>'Ingest Template'!C824</f>
        <v/>
      </c>
      <c r="D824" s="7" t="str">
        <f>'Ingest Template'!E824</f>
        <v/>
      </c>
      <c r="E824" s="5"/>
      <c r="F824" s="5"/>
      <c r="G824" s="5"/>
      <c r="H824" s="7"/>
      <c r="I824" s="5"/>
      <c r="J824" s="7" t="str">
        <f>'Ingest Template'!Q824</f>
        <v/>
      </c>
      <c r="K824" s="5" t="str">
        <f>'Ingest Template'!R824</f>
        <v/>
      </c>
      <c r="L824" s="8" t="s">
        <v>38</v>
      </c>
      <c r="M824" s="9"/>
      <c r="N824" s="5"/>
      <c r="O824" s="5"/>
      <c r="P824" s="5"/>
      <c r="Q824" s="5"/>
      <c r="R824" s="5" t="str">
        <f>'Ingest Template'!D824</f>
        <v/>
      </c>
      <c r="S824" s="5" t="str">
        <f>'Ingest Template'!G824</f>
        <v/>
      </c>
      <c r="T824" s="5" t="str">
        <f>'Ingest Template'!H824</f>
        <v/>
      </c>
      <c r="U824" s="5" t="str">
        <f>LOWER(SUBSTITUTE(SUBSTITUTE(SUBSTITUTE(SUBSTITUTE(SUBSTITUTE('Ingest Template'!I824,"https:",""),"www.",""),"/",""),"?hl=en",""),"instagram.com",""))</f>
        <v/>
      </c>
      <c r="V824" s="10" t="str">
        <f>'Ingest Template'!J824</f>
        <v/>
      </c>
      <c r="W824" s="10" t="str">
        <f>'Ingest Template'!K824</f>
        <v/>
      </c>
      <c r="X824" s="5"/>
      <c r="Y824" s="5" t="str">
        <f>SUBSTITUTE(SUBSTITUTE(SUBSTITUTE('Ingest Template'!L824,"http:",""),"https:",""),"/","")</f>
        <v/>
      </c>
      <c r="Z824" s="5" t="str">
        <f t="array" ref="Z824">IF('Ingest Template'!A824="Standard",(IF(ISBLANK('Ingest Template'!M824),"", 'Ingest Template'!M824&amp;"|DAR")),(IF(ISBLANK('Ingest Template'!M824),"", 'Ingest Template'!M824&amp;"|Operations - Core Title")))</f>
        <v/>
      </c>
      <c r="AA824" s="5"/>
      <c r="AB824" s="5" t="str">
        <f>'Ingest Template'!F824</f>
        <v/>
      </c>
      <c r="AC824" s="5"/>
      <c r="AD824" s="5"/>
      <c r="AE824" s="5"/>
      <c r="AF824" s="8"/>
      <c r="AG824" s="5" t="str">
        <f t="array" ref="AG824">IF('Ingest Template'!A824="Standard",(CONCATENATE(IF(ISBLANK('Ingest Template'!N824),"", 'Ingest Template'!N824&amp;"|DAR"),CHAR(10), IF(ISBLANK('Ingest Template'!O824),"", 'Ingest Template'!O824&amp;"|DAR"),CHAR(10), IF(ISBLANK('Ingest Template'!P824),"", 'Ingest Template'!P824&amp;"|DAR"))),(CONCATENATE(IF(ISBLANK('Ingest Template'!N824),"", 'Ingest Template'!N824&amp;"|Operations - Core Title"),CHAR(10), IF(ISBLANK('Ingest Template'!O824),"", 'Ingest Template'!O824&amp;"|Operations - Core Title"),CHAR(10), IF(ISBLANK('Ingest Template'!P824),"", 'Ingest Template'!P824&amp;"|Operations - Core Title"))))</f>
        <v>#|Operations - Core Title
</v>
      </c>
      <c r="AH824" s="5"/>
      <c r="AI824" s="5"/>
      <c r="AJ824" s="5"/>
      <c r="AK824" s="5"/>
      <c r="AL824" s="5"/>
    </row>
    <row r="825">
      <c r="A825" s="5"/>
      <c r="B825" s="5" t="str">
        <f>'Ingest Template'!B825&amp;IF('Ingest Template'!A825 = "Standard", " - DAR","")</f>
        <v/>
      </c>
      <c r="C825" s="6" t="str">
        <f>'Ingest Template'!C825</f>
        <v/>
      </c>
      <c r="D825" s="7" t="str">
        <f>'Ingest Template'!E825</f>
        <v/>
      </c>
      <c r="E825" s="5"/>
      <c r="F825" s="5"/>
      <c r="G825" s="5"/>
      <c r="H825" s="7"/>
      <c r="I825" s="5"/>
      <c r="J825" s="7" t="str">
        <f>'Ingest Template'!Q825</f>
        <v/>
      </c>
      <c r="K825" s="5" t="str">
        <f>'Ingest Template'!R825</f>
        <v/>
      </c>
      <c r="L825" s="8" t="s">
        <v>38</v>
      </c>
      <c r="M825" s="9"/>
      <c r="N825" s="5"/>
      <c r="O825" s="5"/>
      <c r="P825" s="5"/>
      <c r="Q825" s="5"/>
      <c r="R825" s="5" t="str">
        <f>'Ingest Template'!D825</f>
        <v/>
      </c>
      <c r="S825" s="5" t="str">
        <f>'Ingest Template'!G825</f>
        <v/>
      </c>
      <c r="T825" s="5" t="str">
        <f>'Ingest Template'!H825</f>
        <v/>
      </c>
      <c r="U825" s="5" t="str">
        <f>LOWER(SUBSTITUTE(SUBSTITUTE(SUBSTITUTE(SUBSTITUTE(SUBSTITUTE('Ingest Template'!I825,"https:",""),"www.",""),"/",""),"?hl=en",""),"instagram.com",""))</f>
        <v/>
      </c>
      <c r="V825" s="10" t="str">
        <f>'Ingest Template'!J825</f>
        <v/>
      </c>
      <c r="W825" s="10" t="str">
        <f>'Ingest Template'!K825</f>
        <v/>
      </c>
      <c r="X825" s="5"/>
      <c r="Y825" s="5" t="str">
        <f>SUBSTITUTE(SUBSTITUTE(SUBSTITUTE('Ingest Template'!L825,"http:",""),"https:",""),"/","")</f>
        <v/>
      </c>
      <c r="Z825" s="5" t="str">
        <f t="array" ref="Z825">IF('Ingest Template'!A825="Standard",(IF(ISBLANK('Ingest Template'!M825),"", 'Ingest Template'!M825&amp;"|DAR")),(IF(ISBLANK('Ingest Template'!M825),"", 'Ingest Template'!M825&amp;"|Operations - Core Title")))</f>
        <v/>
      </c>
      <c r="AA825" s="5"/>
      <c r="AB825" s="5" t="str">
        <f>'Ingest Template'!F825</f>
        <v/>
      </c>
      <c r="AC825" s="5"/>
      <c r="AD825" s="5"/>
      <c r="AE825" s="5"/>
      <c r="AF825" s="8"/>
      <c r="AG825" s="5" t="str">
        <f t="array" ref="AG825">IF('Ingest Template'!A825="Standard",(CONCATENATE(IF(ISBLANK('Ingest Template'!N825),"", 'Ingest Template'!N825&amp;"|DAR"),CHAR(10), IF(ISBLANK('Ingest Template'!O825),"", 'Ingest Template'!O825&amp;"|DAR"),CHAR(10), IF(ISBLANK('Ingest Template'!P825),"", 'Ingest Template'!P825&amp;"|DAR"))),(CONCATENATE(IF(ISBLANK('Ingest Template'!N825),"", 'Ingest Template'!N825&amp;"|Operations - Core Title"),CHAR(10), IF(ISBLANK('Ingest Template'!O825),"", 'Ingest Template'!O825&amp;"|Operations - Core Title"),CHAR(10), IF(ISBLANK('Ingest Template'!P825),"", 'Ingest Template'!P825&amp;"|Operations - Core Title"))))</f>
        <v>#|Operations - Core Title
</v>
      </c>
      <c r="AH825" s="5"/>
      <c r="AI825" s="5"/>
      <c r="AJ825" s="5"/>
      <c r="AK825" s="5"/>
      <c r="AL825" s="5"/>
    </row>
    <row r="826">
      <c r="A826" s="5"/>
      <c r="B826" s="5" t="str">
        <f>'Ingest Template'!B826&amp;IF('Ingest Template'!A826 = "Standard", " - DAR","")</f>
        <v/>
      </c>
      <c r="C826" s="6" t="str">
        <f>'Ingest Template'!C826</f>
        <v/>
      </c>
      <c r="D826" s="7" t="str">
        <f>'Ingest Template'!E826</f>
        <v/>
      </c>
      <c r="E826" s="5"/>
      <c r="F826" s="5"/>
      <c r="G826" s="5"/>
      <c r="H826" s="7"/>
      <c r="I826" s="5"/>
      <c r="J826" s="7" t="str">
        <f>'Ingest Template'!Q826</f>
        <v/>
      </c>
      <c r="K826" s="5" t="str">
        <f>'Ingest Template'!R826</f>
        <v/>
      </c>
      <c r="L826" s="8" t="s">
        <v>38</v>
      </c>
      <c r="M826" s="9"/>
      <c r="N826" s="5"/>
      <c r="O826" s="5"/>
      <c r="P826" s="5"/>
      <c r="Q826" s="5"/>
      <c r="R826" s="5" t="str">
        <f>'Ingest Template'!D826</f>
        <v/>
      </c>
      <c r="S826" s="5" t="str">
        <f>'Ingest Template'!G826</f>
        <v/>
      </c>
      <c r="T826" s="5" t="str">
        <f>'Ingest Template'!H826</f>
        <v/>
      </c>
      <c r="U826" s="5" t="str">
        <f>LOWER(SUBSTITUTE(SUBSTITUTE(SUBSTITUTE(SUBSTITUTE(SUBSTITUTE('Ingest Template'!I826,"https:",""),"www.",""),"/",""),"?hl=en",""),"instagram.com",""))</f>
        <v/>
      </c>
      <c r="V826" s="10" t="str">
        <f>'Ingest Template'!J826</f>
        <v/>
      </c>
      <c r="W826" s="10" t="str">
        <f>'Ingest Template'!K826</f>
        <v/>
      </c>
      <c r="X826" s="5"/>
      <c r="Y826" s="5" t="str">
        <f>SUBSTITUTE(SUBSTITUTE(SUBSTITUTE('Ingest Template'!L826,"http:",""),"https:",""),"/","")</f>
        <v/>
      </c>
      <c r="Z826" s="5" t="str">
        <f t="array" ref="Z826">IF('Ingest Template'!A826="Standard",(IF(ISBLANK('Ingest Template'!M826),"", 'Ingest Template'!M826&amp;"|DAR")),(IF(ISBLANK('Ingest Template'!M826),"", 'Ingest Template'!M826&amp;"|Operations - Core Title")))</f>
        <v/>
      </c>
      <c r="AA826" s="5"/>
      <c r="AB826" s="5" t="str">
        <f>'Ingest Template'!F826</f>
        <v/>
      </c>
      <c r="AC826" s="5"/>
      <c r="AD826" s="5"/>
      <c r="AE826" s="5"/>
      <c r="AF826" s="8"/>
      <c r="AG826" s="5" t="str">
        <f t="array" ref="AG826">IF('Ingest Template'!A826="Standard",(CONCATENATE(IF(ISBLANK('Ingest Template'!N826),"", 'Ingest Template'!N826&amp;"|DAR"),CHAR(10), IF(ISBLANK('Ingest Template'!O826),"", 'Ingest Template'!O826&amp;"|DAR"),CHAR(10), IF(ISBLANK('Ingest Template'!P826),"", 'Ingest Template'!P826&amp;"|DAR"))),(CONCATENATE(IF(ISBLANK('Ingest Template'!N826),"", 'Ingest Template'!N826&amp;"|Operations - Core Title"),CHAR(10), IF(ISBLANK('Ingest Template'!O826),"", 'Ingest Template'!O826&amp;"|Operations - Core Title"),CHAR(10), IF(ISBLANK('Ingest Template'!P826),"", 'Ingest Template'!P826&amp;"|Operations - Core Title"))))</f>
        <v>#|Operations - Core Title
</v>
      </c>
      <c r="AH826" s="5"/>
      <c r="AI826" s="5"/>
      <c r="AJ826" s="5"/>
      <c r="AK826" s="5"/>
      <c r="AL826" s="5"/>
    </row>
    <row r="827">
      <c r="A827" s="5"/>
      <c r="B827" s="5" t="str">
        <f>'Ingest Template'!B827&amp;IF('Ingest Template'!A827 = "Standard", " - DAR","")</f>
        <v/>
      </c>
      <c r="C827" s="6" t="str">
        <f>'Ingest Template'!C827</f>
        <v/>
      </c>
      <c r="D827" s="7" t="str">
        <f>'Ingest Template'!E827</f>
        <v/>
      </c>
      <c r="E827" s="5"/>
      <c r="F827" s="5"/>
      <c r="G827" s="5"/>
      <c r="H827" s="7"/>
      <c r="I827" s="5"/>
      <c r="J827" s="7" t="str">
        <f>'Ingest Template'!Q827</f>
        <v/>
      </c>
      <c r="K827" s="5" t="str">
        <f>'Ingest Template'!R827</f>
        <v/>
      </c>
      <c r="L827" s="8" t="s">
        <v>38</v>
      </c>
      <c r="M827" s="9"/>
      <c r="N827" s="5"/>
      <c r="O827" s="5"/>
      <c r="P827" s="5"/>
      <c r="Q827" s="5"/>
      <c r="R827" s="5" t="str">
        <f>'Ingest Template'!D827</f>
        <v/>
      </c>
      <c r="S827" s="5" t="str">
        <f>'Ingest Template'!G827</f>
        <v/>
      </c>
      <c r="T827" s="5" t="str">
        <f>'Ingest Template'!H827</f>
        <v/>
      </c>
      <c r="U827" s="5" t="str">
        <f>LOWER(SUBSTITUTE(SUBSTITUTE(SUBSTITUTE(SUBSTITUTE(SUBSTITUTE('Ingest Template'!I827,"https:",""),"www.",""),"/",""),"?hl=en",""),"instagram.com",""))</f>
        <v/>
      </c>
      <c r="V827" s="10" t="str">
        <f>'Ingest Template'!J827</f>
        <v/>
      </c>
      <c r="W827" s="10" t="str">
        <f>'Ingest Template'!K827</f>
        <v/>
      </c>
      <c r="X827" s="5"/>
      <c r="Y827" s="5" t="str">
        <f>SUBSTITUTE(SUBSTITUTE(SUBSTITUTE('Ingest Template'!L827,"http:",""),"https:",""),"/","")</f>
        <v/>
      </c>
      <c r="Z827" s="5" t="str">
        <f t="array" ref="Z827">IF('Ingest Template'!A827="Standard",(IF(ISBLANK('Ingest Template'!M827),"", 'Ingest Template'!M827&amp;"|DAR")),(IF(ISBLANK('Ingest Template'!M827),"", 'Ingest Template'!M827&amp;"|Operations - Core Title")))</f>
        <v/>
      </c>
      <c r="AA827" s="5"/>
      <c r="AB827" s="5" t="str">
        <f>'Ingest Template'!F827</f>
        <v/>
      </c>
      <c r="AC827" s="5"/>
      <c r="AD827" s="5"/>
      <c r="AE827" s="5"/>
      <c r="AF827" s="8"/>
      <c r="AG827" s="5" t="str">
        <f t="array" ref="AG827">IF('Ingest Template'!A827="Standard",(CONCATENATE(IF(ISBLANK('Ingest Template'!N827),"", 'Ingest Template'!N827&amp;"|DAR"),CHAR(10), IF(ISBLANK('Ingest Template'!O827),"", 'Ingest Template'!O827&amp;"|DAR"),CHAR(10), IF(ISBLANK('Ingest Template'!P827),"", 'Ingest Template'!P827&amp;"|DAR"))),(CONCATENATE(IF(ISBLANK('Ingest Template'!N827),"", 'Ingest Template'!N827&amp;"|Operations - Core Title"),CHAR(10), IF(ISBLANK('Ingest Template'!O827),"", 'Ingest Template'!O827&amp;"|Operations - Core Title"),CHAR(10), IF(ISBLANK('Ingest Template'!P827),"", 'Ingest Template'!P827&amp;"|Operations - Core Title"))))</f>
        <v>#|Operations - Core Title
</v>
      </c>
      <c r="AH827" s="5"/>
      <c r="AI827" s="5"/>
      <c r="AJ827" s="5"/>
      <c r="AK827" s="5"/>
      <c r="AL827" s="5"/>
    </row>
    <row r="828">
      <c r="A828" s="5"/>
      <c r="B828" s="5" t="str">
        <f>'Ingest Template'!B828&amp;IF('Ingest Template'!A828 = "Standard", " - DAR","")</f>
        <v/>
      </c>
      <c r="C828" s="6" t="str">
        <f>'Ingest Template'!C828</f>
        <v/>
      </c>
      <c r="D828" s="7" t="str">
        <f>'Ingest Template'!E828</f>
        <v/>
      </c>
      <c r="E828" s="5"/>
      <c r="F828" s="5"/>
      <c r="G828" s="5"/>
      <c r="H828" s="7"/>
      <c r="I828" s="5"/>
      <c r="J828" s="7" t="str">
        <f>'Ingest Template'!Q828</f>
        <v/>
      </c>
      <c r="K828" s="5" t="str">
        <f>'Ingest Template'!R828</f>
        <v/>
      </c>
      <c r="L828" s="8" t="s">
        <v>38</v>
      </c>
      <c r="M828" s="9"/>
      <c r="N828" s="5"/>
      <c r="O828" s="5"/>
      <c r="P828" s="5"/>
      <c r="Q828" s="5"/>
      <c r="R828" s="5" t="str">
        <f>'Ingest Template'!D828</f>
        <v/>
      </c>
      <c r="S828" s="5" t="str">
        <f>'Ingest Template'!G828</f>
        <v/>
      </c>
      <c r="T828" s="5" t="str">
        <f>'Ingest Template'!H828</f>
        <v/>
      </c>
      <c r="U828" s="5" t="str">
        <f>LOWER(SUBSTITUTE(SUBSTITUTE(SUBSTITUTE(SUBSTITUTE(SUBSTITUTE('Ingest Template'!I828,"https:",""),"www.",""),"/",""),"?hl=en",""),"instagram.com",""))</f>
        <v/>
      </c>
      <c r="V828" s="10" t="str">
        <f>'Ingest Template'!J828</f>
        <v/>
      </c>
      <c r="W828" s="10" t="str">
        <f>'Ingest Template'!K828</f>
        <v/>
      </c>
      <c r="X828" s="5"/>
      <c r="Y828" s="5" t="str">
        <f>SUBSTITUTE(SUBSTITUTE(SUBSTITUTE('Ingest Template'!L828,"http:",""),"https:",""),"/","")</f>
        <v/>
      </c>
      <c r="Z828" s="5" t="str">
        <f t="array" ref="Z828">IF('Ingest Template'!A828="Standard",(IF(ISBLANK('Ingest Template'!M828),"", 'Ingest Template'!M828&amp;"|DAR")),(IF(ISBLANK('Ingest Template'!M828),"", 'Ingest Template'!M828&amp;"|Operations - Core Title")))</f>
        <v/>
      </c>
      <c r="AA828" s="5"/>
      <c r="AB828" s="5" t="str">
        <f>'Ingest Template'!F828</f>
        <v/>
      </c>
      <c r="AC828" s="5"/>
      <c r="AD828" s="5"/>
      <c r="AE828" s="5"/>
      <c r="AF828" s="8"/>
      <c r="AG828" s="5" t="str">
        <f t="array" ref="AG828">IF('Ingest Template'!A828="Standard",(CONCATENATE(IF(ISBLANK('Ingest Template'!N828),"", 'Ingest Template'!N828&amp;"|DAR"),CHAR(10), IF(ISBLANK('Ingest Template'!O828),"", 'Ingest Template'!O828&amp;"|DAR"),CHAR(10), IF(ISBLANK('Ingest Template'!P828),"", 'Ingest Template'!P828&amp;"|DAR"))),(CONCATENATE(IF(ISBLANK('Ingest Template'!N828),"", 'Ingest Template'!N828&amp;"|Operations - Core Title"),CHAR(10), IF(ISBLANK('Ingest Template'!O828),"", 'Ingest Template'!O828&amp;"|Operations - Core Title"),CHAR(10), IF(ISBLANK('Ingest Template'!P828),"", 'Ingest Template'!P828&amp;"|Operations - Core Title"))))</f>
        <v>#|Operations - Core Title
</v>
      </c>
      <c r="AH828" s="5"/>
      <c r="AI828" s="5"/>
      <c r="AJ828" s="5"/>
      <c r="AK828" s="5"/>
      <c r="AL828" s="5"/>
    </row>
    <row r="829">
      <c r="A829" s="5"/>
      <c r="B829" s="5" t="str">
        <f>'Ingest Template'!B829&amp;IF('Ingest Template'!A829 = "Standard", " - DAR","")</f>
        <v/>
      </c>
      <c r="C829" s="6" t="str">
        <f>'Ingest Template'!C829</f>
        <v/>
      </c>
      <c r="D829" s="7" t="str">
        <f>'Ingest Template'!E829</f>
        <v/>
      </c>
      <c r="E829" s="5"/>
      <c r="F829" s="5"/>
      <c r="G829" s="5"/>
      <c r="H829" s="7"/>
      <c r="I829" s="5"/>
      <c r="J829" s="7" t="str">
        <f>'Ingest Template'!Q829</f>
        <v/>
      </c>
      <c r="K829" s="5" t="str">
        <f>'Ingest Template'!R829</f>
        <v/>
      </c>
      <c r="L829" s="8" t="s">
        <v>38</v>
      </c>
      <c r="M829" s="9"/>
      <c r="N829" s="5"/>
      <c r="O829" s="5"/>
      <c r="P829" s="5"/>
      <c r="Q829" s="5"/>
      <c r="R829" s="5" t="str">
        <f>'Ingest Template'!D829</f>
        <v/>
      </c>
      <c r="S829" s="5" t="str">
        <f>'Ingest Template'!G829</f>
        <v/>
      </c>
      <c r="T829" s="5" t="str">
        <f>'Ingest Template'!H829</f>
        <v/>
      </c>
      <c r="U829" s="5" t="str">
        <f>LOWER(SUBSTITUTE(SUBSTITUTE(SUBSTITUTE(SUBSTITUTE(SUBSTITUTE('Ingest Template'!I829,"https:",""),"www.",""),"/",""),"?hl=en",""),"instagram.com",""))</f>
        <v/>
      </c>
      <c r="V829" s="10" t="str">
        <f>'Ingest Template'!J829</f>
        <v/>
      </c>
      <c r="W829" s="10" t="str">
        <f>'Ingest Template'!K829</f>
        <v/>
      </c>
      <c r="X829" s="5"/>
      <c r="Y829" s="5" t="str">
        <f>SUBSTITUTE(SUBSTITUTE(SUBSTITUTE('Ingest Template'!L829,"http:",""),"https:",""),"/","")</f>
        <v/>
      </c>
      <c r="Z829" s="5" t="str">
        <f t="array" ref="Z829">IF('Ingest Template'!A829="Standard",(IF(ISBLANK('Ingest Template'!M829),"", 'Ingest Template'!M829&amp;"|DAR")),(IF(ISBLANK('Ingest Template'!M829),"", 'Ingest Template'!M829&amp;"|Operations - Core Title")))</f>
        <v/>
      </c>
      <c r="AA829" s="5"/>
      <c r="AB829" s="5" t="str">
        <f>'Ingest Template'!F829</f>
        <v/>
      </c>
      <c r="AC829" s="5"/>
      <c r="AD829" s="5"/>
      <c r="AE829" s="5"/>
      <c r="AF829" s="8"/>
      <c r="AG829" s="5" t="str">
        <f t="array" ref="AG829">IF('Ingest Template'!A829="Standard",(CONCATENATE(IF(ISBLANK('Ingest Template'!N829),"", 'Ingest Template'!N829&amp;"|DAR"),CHAR(10), IF(ISBLANK('Ingest Template'!O829),"", 'Ingest Template'!O829&amp;"|DAR"),CHAR(10), IF(ISBLANK('Ingest Template'!P829),"", 'Ingest Template'!P829&amp;"|DAR"))),(CONCATENATE(IF(ISBLANK('Ingest Template'!N829),"", 'Ingest Template'!N829&amp;"|Operations - Core Title"),CHAR(10), IF(ISBLANK('Ingest Template'!O829),"", 'Ingest Template'!O829&amp;"|Operations - Core Title"),CHAR(10), IF(ISBLANK('Ingest Template'!P829),"", 'Ingest Template'!P829&amp;"|Operations - Core Title"))))</f>
        <v>#|Operations - Core Title
</v>
      </c>
      <c r="AH829" s="5"/>
      <c r="AI829" s="5"/>
      <c r="AJ829" s="5"/>
      <c r="AK829" s="5"/>
      <c r="AL829" s="5"/>
    </row>
    <row r="830">
      <c r="A830" s="5"/>
      <c r="B830" s="5" t="str">
        <f>'Ingest Template'!B830&amp;IF('Ingest Template'!A830 = "Standard", " - DAR","")</f>
        <v/>
      </c>
      <c r="C830" s="6" t="str">
        <f>'Ingest Template'!C830</f>
        <v/>
      </c>
      <c r="D830" s="7" t="str">
        <f>'Ingest Template'!E830</f>
        <v/>
      </c>
      <c r="E830" s="5"/>
      <c r="F830" s="5"/>
      <c r="G830" s="5"/>
      <c r="H830" s="7"/>
      <c r="I830" s="5"/>
      <c r="J830" s="7" t="str">
        <f>'Ingest Template'!Q830</f>
        <v/>
      </c>
      <c r="K830" s="5" t="str">
        <f>'Ingest Template'!R830</f>
        <v/>
      </c>
      <c r="L830" s="8" t="s">
        <v>38</v>
      </c>
      <c r="M830" s="9"/>
      <c r="N830" s="5"/>
      <c r="O830" s="5"/>
      <c r="P830" s="5"/>
      <c r="Q830" s="5"/>
      <c r="R830" s="5" t="str">
        <f>'Ingest Template'!D830</f>
        <v/>
      </c>
      <c r="S830" s="5" t="str">
        <f>'Ingest Template'!G830</f>
        <v/>
      </c>
      <c r="T830" s="5" t="str">
        <f>'Ingest Template'!H830</f>
        <v/>
      </c>
      <c r="U830" s="5" t="str">
        <f>LOWER(SUBSTITUTE(SUBSTITUTE(SUBSTITUTE(SUBSTITUTE(SUBSTITUTE('Ingest Template'!I830,"https:",""),"www.",""),"/",""),"?hl=en",""),"instagram.com",""))</f>
        <v/>
      </c>
      <c r="V830" s="10" t="str">
        <f>'Ingest Template'!J830</f>
        <v/>
      </c>
      <c r="W830" s="10" t="str">
        <f>'Ingest Template'!K830</f>
        <v/>
      </c>
      <c r="X830" s="5"/>
      <c r="Y830" s="5" t="str">
        <f>SUBSTITUTE(SUBSTITUTE(SUBSTITUTE('Ingest Template'!L830,"http:",""),"https:",""),"/","")</f>
        <v/>
      </c>
      <c r="Z830" s="5" t="str">
        <f t="array" ref="Z830">IF('Ingest Template'!A830="Standard",(IF(ISBLANK('Ingest Template'!M830),"", 'Ingest Template'!M830&amp;"|DAR")),(IF(ISBLANK('Ingest Template'!M830),"", 'Ingest Template'!M830&amp;"|Operations - Core Title")))</f>
        <v/>
      </c>
      <c r="AA830" s="5"/>
      <c r="AB830" s="5" t="str">
        <f>'Ingest Template'!F830</f>
        <v/>
      </c>
      <c r="AC830" s="5"/>
      <c r="AD830" s="5"/>
      <c r="AE830" s="5"/>
      <c r="AF830" s="8"/>
      <c r="AG830" s="5" t="str">
        <f t="array" ref="AG830">IF('Ingest Template'!A830="Standard",(CONCATENATE(IF(ISBLANK('Ingest Template'!N830),"", 'Ingest Template'!N830&amp;"|DAR"),CHAR(10), IF(ISBLANK('Ingest Template'!O830),"", 'Ingest Template'!O830&amp;"|DAR"),CHAR(10), IF(ISBLANK('Ingest Template'!P830),"", 'Ingest Template'!P830&amp;"|DAR"))),(CONCATENATE(IF(ISBLANK('Ingest Template'!N830),"", 'Ingest Template'!N830&amp;"|Operations - Core Title"),CHAR(10), IF(ISBLANK('Ingest Template'!O830),"", 'Ingest Template'!O830&amp;"|Operations - Core Title"),CHAR(10), IF(ISBLANK('Ingest Template'!P830),"", 'Ingest Template'!P830&amp;"|Operations - Core Title"))))</f>
        <v>#|Operations - Core Title
</v>
      </c>
      <c r="AH830" s="5"/>
      <c r="AI830" s="5"/>
      <c r="AJ830" s="5"/>
      <c r="AK830" s="5"/>
      <c r="AL830" s="5"/>
    </row>
    <row r="831">
      <c r="A831" s="5"/>
      <c r="B831" s="5" t="str">
        <f>'Ingest Template'!B831&amp;IF('Ingest Template'!A831 = "Standard", " - DAR","")</f>
        <v/>
      </c>
      <c r="C831" s="6" t="str">
        <f>'Ingest Template'!C831</f>
        <v/>
      </c>
      <c r="D831" s="7" t="str">
        <f>'Ingest Template'!E831</f>
        <v/>
      </c>
      <c r="E831" s="5"/>
      <c r="F831" s="5"/>
      <c r="G831" s="5"/>
      <c r="H831" s="7"/>
      <c r="I831" s="5"/>
      <c r="J831" s="7" t="str">
        <f>'Ingest Template'!Q831</f>
        <v/>
      </c>
      <c r="K831" s="5" t="str">
        <f>'Ingest Template'!R831</f>
        <v/>
      </c>
      <c r="L831" s="8" t="s">
        <v>38</v>
      </c>
      <c r="M831" s="9"/>
      <c r="N831" s="5"/>
      <c r="O831" s="5"/>
      <c r="P831" s="5"/>
      <c r="Q831" s="5"/>
      <c r="R831" s="5" t="str">
        <f>'Ingest Template'!D831</f>
        <v/>
      </c>
      <c r="S831" s="5" t="str">
        <f>'Ingest Template'!G831</f>
        <v/>
      </c>
      <c r="T831" s="5" t="str">
        <f>'Ingest Template'!H831</f>
        <v/>
      </c>
      <c r="U831" s="5" t="str">
        <f>LOWER(SUBSTITUTE(SUBSTITUTE(SUBSTITUTE(SUBSTITUTE(SUBSTITUTE('Ingest Template'!I831,"https:",""),"www.",""),"/",""),"?hl=en",""),"instagram.com",""))</f>
        <v/>
      </c>
      <c r="V831" s="10" t="str">
        <f>'Ingest Template'!J831</f>
        <v/>
      </c>
      <c r="W831" s="10" t="str">
        <f>'Ingest Template'!K831</f>
        <v/>
      </c>
      <c r="X831" s="5"/>
      <c r="Y831" s="5" t="str">
        <f>SUBSTITUTE(SUBSTITUTE(SUBSTITUTE('Ingest Template'!L831,"http:",""),"https:",""),"/","")</f>
        <v/>
      </c>
      <c r="Z831" s="5" t="str">
        <f t="array" ref="Z831">IF('Ingest Template'!A831="Standard",(IF(ISBLANK('Ingest Template'!M831),"", 'Ingest Template'!M831&amp;"|DAR")),(IF(ISBLANK('Ingest Template'!M831),"", 'Ingest Template'!M831&amp;"|Operations - Core Title")))</f>
        <v/>
      </c>
      <c r="AA831" s="5"/>
      <c r="AB831" s="5" t="str">
        <f>'Ingest Template'!F831</f>
        <v/>
      </c>
      <c r="AC831" s="5"/>
      <c r="AD831" s="5"/>
      <c r="AE831" s="5"/>
      <c r="AF831" s="8"/>
      <c r="AG831" s="5" t="str">
        <f t="array" ref="AG831">IF('Ingest Template'!A831="Standard",(CONCATENATE(IF(ISBLANK('Ingest Template'!N831),"", 'Ingest Template'!N831&amp;"|DAR"),CHAR(10), IF(ISBLANK('Ingest Template'!O831),"", 'Ingest Template'!O831&amp;"|DAR"),CHAR(10), IF(ISBLANK('Ingest Template'!P831),"", 'Ingest Template'!P831&amp;"|DAR"))),(CONCATENATE(IF(ISBLANK('Ingest Template'!N831),"", 'Ingest Template'!N831&amp;"|Operations - Core Title"),CHAR(10), IF(ISBLANK('Ingest Template'!O831),"", 'Ingest Template'!O831&amp;"|Operations - Core Title"),CHAR(10), IF(ISBLANK('Ingest Template'!P831),"", 'Ingest Template'!P831&amp;"|Operations - Core Title"))))</f>
        <v>#|Operations - Core Title
</v>
      </c>
      <c r="AH831" s="5"/>
      <c r="AI831" s="5"/>
      <c r="AJ831" s="5"/>
      <c r="AK831" s="5"/>
      <c r="AL831" s="5"/>
    </row>
    <row r="832">
      <c r="A832" s="5"/>
      <c r="B832" s="5" t="str">
        <f>'Ingest Template'!B832&amp;IF('Ingest Template'!A832 = "Standard", " - DAR","")</f>
        <v/>
      </c>
      <c r="C832" s="6" t="str">
        <f>'Ingest Template'!C832</f>
        <v/>
      </c>
      <c r="D832" s="7" t="str">
        <f>'Ingest Template'!E832</f>
        <v/>
      </c>
      <c r="E832" s="5"/>
      <c r="F832" s="5"/>
      <c r="G832" s="5"/>
      <c r="H832" s="7"/>
      <c r="I832" s="5"/>
      <c r="J832" s="7" t="str">
        <f>'Ingest Template'!Q832</f>
        <v/>
      </c>
      <c r="K832" s="5" t="str">
        <f>'Ingest Template'!R832</f>
        <v/>
      </c>
      <c r="L832" s="8" t="s">
        <v>38</v>
      </c>
      <c r="M832" s="9"/>
      <c r="N832" s="5"/>
      <c r="O832" s="5"/>
      <c r="P832" s="5"/>
      <c r="Q832" s="5"/>
      <c r="R832" s="5" t="str">
        <f>'Ingest Template'!D832</f>
        <v/>
      </c>
      <c r="S832" s="5" t="str">
        <f>'Ingest Template'!G832</f>
        <v/>
      </c>
      <c r="T832" s="5" t="str">
        <f>'Ingest Template'!H832</f>
        <v/>
      </c>
      <c r="U832" s="5" t="str">
        <f>LOWER(SUBSTITUTE(SUBSTITUTE(SUBSTITUTE(SUBSTITUTE(SUBSTITUTE('Ingest Template'!I832,"https:",""),"www.",""),"/",""),"?hl=en",""),"instagram.com",""))</f>
        <v/>
      </c>
      <c r="V832" s="10" t="str">
        <f>'Ingest Template'!J832</f>
        <v/>
      </c>
      <c r="W832" s="10" t="str">
        <f>'Ingest Template'!K832</f>
        <v/>
      </c>
      <c r="X832" s="5"/>
      <c r="Y832" s="5" t="str">
        <f>SUBSTITUTE(SUBSTITUTE(SUBSTITUTE('Ingest Template'!L832,"http:",""),"https:",""),"/","")</f>
        <v/>
      </c>
      <c r="Z832" s="5" t="str">
        <f t="array" ref="Z832">IF('Ingest Template'!A832="Standard",(IF(ISBLANK('Ingest Template'!M832),"", 'Ingest Template'!M832&amp;"|DAR")),(IF(ISBLANK('Ingest Template'!M832),"", 'Ingest Template'!M832&amp;"|Operations - Core Title")))</f>
        <v/>
      </c>
      <c r="AA832" s="5"/>
      <c r="AB832" s="5" t="str">
        <f>'Ingest Template'!F832</f>
        <v/>
      </c>
      <c r="AC832" s="5"/>
      <c r="AD832" s="5"/>
      <c r="AE832" s="5"/>
      <c r="AF832" s="8"/>
      <c r="AG832" s="5" t="str">
        <f t="array" ref="AG832">IF('Ingest Template'!A832="Standard",(CONCATENATE(IF(ISBLANK('Ingest Template'!N832),"", 'Ingest Template'!N832&amp;"|DAR"),CHAR(10), IF(ISBLANK('Ingest Template'!O832),"", 'Ingest Template'!O832&amp;"|DAR"),CHAR(10), IF(ISBLANK('Ingest Template'!P832),"", 'Ingest Template'!P832&amp;"|DAR"))),(CONCATENATE(IF(ISBLANK('Ingest Template'!N832),"", 'Ingest Template'!N832&amp;"|Operations - Core Title"),CHAR(10), IF(ISBLANK('Ingest Template'!O832),"", 'Ingest Template'!O832&amp;"|Operations - Core Title"),CHAR(10), IF(ISBLANK('Ingest Template'!P832),"", 'Ingest Template'!P832&amp;"|Operations - Core Title"))))</f>
        <v>#|Operations - Core Title
</v>
      </c>
      <c r="AH832" s="5"/>
      <c r="AI832" s="5"/>
      <c r="AJ832" s="5"/>
      <c r="AK832" s="5"/>
      <c r="AL832" s="5"/>
    </row>
    <row r="833">
      <c r="A833" s="5"/>
      <c r="B833" s="5" t="str">
        <f>'Ingest Template'!B833&amp;IF('Ingest Template'!A833 = "Standard", " - DAR","")</f>
        <v/>
      </c>
      <c r="C833" s="6" t="str">
        <f>'Ingest Template'!C833</f>
        <v/>
      </c>
      <c r="D833" s="7" t="str">
        <f>'Ingest Template'!E833</f>
        <v/>
      </c>
      <c r="E833" s="5"/>
      <c r="F833" s="5"/>
      <c r="G833" s="5"/>
      <c r="H833" s="7"/>
      <c r="I833" s="5"/>
      <c r="J833" s="7" t="str">
        <f>'Ingest Template'!Q833</f>
        <v/>
      </c>
      <c r="K833" s="5" t="str">
        <f>'Ingest Template'!R833</f>
        <v/>
      </c>
      <c r="L833" s="8" t="s">
        <v>38</v>
      </c>
      <c r="M833" s="9"/>
      <c r="N833" s="5"/>
      <c r="O833" s="5"/>
      <c r="P833" s="5"/>
      <c r="Q833" s="5"/>
      <c r="R833" s="5" t="str">
        <f>'Ingest Template'!D833</f>
        <v/>
      </c>
      <c r="S833" s="5" t="str">
        <f>'Ingest Template'!G833</f>
        <v/>
      </c>
      <c r="T833" s="5" t="str">
        <f>'Ingest Template'!H833</f>
        <v/>
      </c>
      <c r="U833" s="5" t="str">
        <f>LOWER(SUBSTITUTE(SUBSTITUTE(SUBSTITUTE(SUBSTITUTE(SUBSTITUTE('Ingest Template'!I833,"https:",""),"www.",""),"/",""),"?hl=en",""),"instagram.com",""))</f>
        <v/>
      </c>
      <c r="V833" s="10" t="str">
        <f>'Ingest Template'!J833</f>
        <v/>
      </c>
      <c r="W833" s="10" t="str">
        <f>'Ingest Template'!K833</f>
        <v/>
      </c>
      <c r="X833" s="5"/>
      <c r="Y833" s="5" t="str">
        <f>SUBSTITUTE(SUBSTITUTE(SUBSTITUTE('Ingest Template'!L833,"http:",""),"https:",""),"/","")</f>
        <v/>
      </c>
      <c r="Z833" s="5" t="str">
        <f t="array" ref="Z833">IF('Ingest Template'!A833="Standard",(IF(ISBLANK('Ingest Template'!M833),"", 'Ingest Template'!M833&amp;"|DAR")),(IF(ISBLANK('Ingest Template'!M833),"", 'Ingest Template'!M833&amp;"|Operations - Core Title")))</f>
        <v/>
      </c>
      <c r="AA833" s="5"/>
      <c r="AB833" s="5" t="str">
        <f>'Ingest Template'!F833</f>
        <v/>
      </c>
      <c r="AC833" s="5"/>
      <c r="AD833" s="5"/>
      <c r="AE833" s="5"/>
      <c r="AF833" s="8"/>
      <c r="AG833" s="5" t="str">
        <f t="array" ref="AG833">IF('Ingest Template'!A833="Standard",(CONCATENATE(IF(ISBLANK('Ingest Template'!N833),"", 'Ingest Template'!N833&amp;"|DAR"),CHAR(10), IF(ISBLANK('Ingest Template'!O833),"", 'Ingest Template'!O833&amp;"|DAR"),CHAR(10), IF(ISBLANK('Ingest Template'!P833),"", 'Ingest Template'!P833&amp;"|DAR"))),(CONCATENATE(IF(ISBLANK('Ingest Template'!N833),"", 'Ingest Template'!N833&amp;"|Operations - Core Title"),CHAR(10), IF(ISBLANK('Ingest Template'!O833),"", 'Ingest Template'!O833&amp;"|Operations - Core Title"),CHAR(10), IF(ISBLANK('Ingest Template'!P833),"", 'Ingest Template'!P833&amp;"|Operations - Core Title"))))</f>
        <v>#|Operations - Core Title
</v>
      </c>
      <c r="AH833" s="5"/>
      <c r="AI833" s="5"/>
      <c r="AJ833" s="5"/>
      <c r="AK833" s="5"/>
      <c r="AL833" s="5"/>
    </row>
    <row r="834">
      <c r="A834" s="5"/>
      <c r="B834" s="5" t="str">
        <f>'Ingest Template'!B834&amp;IF('Ingest Template'!A834 = "Standard", " - DAR","")</f>
        <v/>
      </c>
      <c r="C834" s="6" t="str">
        <f>'Ingest Template'!C834</f>
        <v/>
      </c>
      <c r="D834" s="7" t="str">
        <f>'Ingest Template'!E834</f>
        <v/>
      </c>
      <c r="E834" s="5"/>
      <c r="F834" s="5"/>
      <c r="G834" s="5"/>
      <c r="H834" s="7"/>
      <c r="I834" s="5"/>
      <c r="J834" s="7" t="str">
        <f>'Ingest Template'!Q834</f>
        <v/>
      </c>
      <c r="K834" s="5" t="str">
        <f>'Ingest Template'!R834</f>
        <v/>
      </c>
      <c r="L834" s="8" t="s">
        <v>38</v>
      </c>
      <c r="M834" s="9"/>
      <c r="N834" s="5"/>
      <c r="O834" s="5"/>
      <c r="P834" s="5"/>
      <c r="Q834" s="5"/>
      <c r="R834" s="5" t="str">
        <f>'Ingest Template'!D834</f>
        <v/>
      </c>
      <c r="S834" s="5" t="str">
        <f>'Ingest Template'!G834</f>
        <v/>
      </c>
      <c r="T834" s="5" t="str">
        <f>'Ingest Template'!H834</f>
        <v/>
      </c>
      <c r="U834" s="5" t="str">
        <f>LOWER(SUBSTITUTE(SUBSTITUTE(SUBSTITUTE(SUBSTITUTE(SUBSTITUTE('Ingest Template'!I834,"https:",""),"www.",""),"/",""),"?hl=en",""),"instagram.com",""))</f>
        <v/>
      </c>
      <c r="V834" s="10" t="str">
        <f>'Ingest Template'!J834</f>
        <v/>
      </c>
      <c r="W834" s="10" t="str">
        <f>'Ingest Template'!K834</f>
        <v/>
      </c>
      <c r="X834" s="5"/>
      <c r="Y834" s="5" t="str">
        <f>SUBSTITUTE(SUBSTITUTE(SUBSTITUTE('Ingest Template'!L834,"http:",""),"https:",""),"/","")</f>
        <v/>
      </c>
      <c r="Z834" s="5" t="str">
        <f t="array" ref="Z834">IF('Ingest Template'!A834="Standard",(IF(ISBLANK('Ingest Template'!M834),"", 'Ingest Template'!M834&amp;"|DAR")),(IF(ISBLANK('Ingest Template'!M834),"", 'Ingest Template'!M834&amp;"|Operations - Core Title")))</f>
        <v/>
      </c>
      <c r="AA834" s="5"/>
      <c r="AB834" s="5" t="str">
        <f>'Ingest Template'!F834</f>
        <v/>
      </c>
      <c r="AC834" s="5"/>
      <c r="AD834" s="5"/>
      <c r="AE834" s="5"/>
      <c r="AF834" s="8"/>
      <c r="AG834" s="5" t="str">
        <f t="array" ref="AG834">IF('Ingest Template'!A834="Standard",(CONCATENATE(IF(ISBLANK('Ingest Template'!N834),"", 'Ingest Template'!N834&amp;"|DAR"),CHAR(10), IF(ISBLANK('Ingest Template'!O834),"", 'Ingest Template'!O834&amp;"|DAR"),CHAR(10), IF(ISBLANK('Ingest Template'!P834),"", 'Ingest Template'!P834&amp;"|DAR"))),(CONCATENATE(IF(ISBLANK('Ingest Template'!N834),"", 'Ingest Template'!N834&amp;"|Operations - Core Title"),CHAR(10), IF(ISBLANK('Ingest Template'!O834),"", 'Ingest Template'!O834&amp;"|Operations - Core Title"),CHAR(10), IF(ISBLANK('Ingest Template'!P834),"", 'Ingest Template'!P834&amp;"|Operations - Core Title"))))</f>
        <v>#|Operations - Core Title
</v>
      </c>
      <c r="AH834" s="5"/>
      <c r="AI834" s="5"/>
      <c r="AJ834" s="5"/>
      <c r="AK834" s="5"/>
      <c r="AL834" s="5"/>
    </row>
    <row r="835">
      <c r="A835" s="5"/>
      <c r="B835" s="5" t="str">
        <f>'Ingest Template'!B835&amp;IF('Ingest Template'!A835 = "Standard", " - DAR","")</f>
        <v/>
      </c>
      <c r="C835" s="6" t="str">
        <f>'Ingest Template'!C835</f>
        <v/>
      </c>
      <c r="D835" s="7" t="str">
        <f>'Ingest Template'!E835</f>
        <v/>
      </c>
      <c r="E835" s="5"/>
      <c r="F835" s="5"/>
      <c r="G835" s="5"/>
      <c r="H835" s="7"/>
      <c r="I835" s="5"/>
      <c r="J835" s="7" t="str">
        <f>'Ingest Template'!Q835</f>
        <v/>
      </c>
      <c r="K835" s="5" t="str">
        <f>'Ingest Template'!R835</f>
        <v/>
      </c>
      <c r="L835" s="8" t="s">
        <v>38</v>
      </c>
      <c r="M835" s="9"/>
      <c r="N835" s="5"/>
      <c r="O835" s="5"/>
      <c r="P835" s="5"/>
      <c r="Q835" s="5"/>
      <c r="R835" s="5" t="str">
        <f>'Ingest Template'!D835</f>
        <v/>
      </c>
      <c r="S835" s="5" t="str">
        <f>'Ingest Template'!G835</f>
        <v/>
      </c>
      <c r="T835" s="5" t="str">
        <f>'Ingest Template'!H835</f>
        <v/>
      </c>
      <c r="U835" s="5" t="str">
        <f>LOWER(SUBSTITUTE(SUBSTITUTE(SUBSTITUTE(SUBSTITUTE(SUBSTITUTE('Ingest Template'!I835,"https:",""),"www.",""),"/",""),"?hl=en",""),"instagram.com",""))</f>
        <v/>
      </c>
      <c r="V835" s="10" t="str">
        <f>'Ingest Template'!J835</f>
        <v/>
      </c>
      <c r="W835" s="10" t="str">
        <f>'Ingest Template'!K835</f>
        <v/>
      </c>
      <c r="X835" s="5"/>
      <c r="Y835" s="5" t="str">
        <f>SUBSTITUTE(SUBSTITUTE(SUBSTITUTE('Ingest Template'!L835,"http:",""),"https:",""),"/","")</f>
        <v/>
      </c>
      <c r="Z835" s="5" t="str">
        <f t="array" ref="Z835">IF('Ingest Template'!A835="Standard",(IF(ISBLANK('Ingest Template'!M835),"", 'Ingest Template'!M835&amp;"|DAR")),(IF(ISBLANK('Ingest Template'!M835),"", 'Ingest Template'!M835&amp;"|Operations - Core Title")))</f>
        <v/>
      </c>
      <c r="AA835" s="5"/>
      <c r="AB835" s="5" t="str">
        <f>'Ingest Template'!F835</f>
        <v/>
      </c>
      <c r="AC835" s="5"/>
      <c r="AD835" s="5"/>
      <c r="AE835" s="5"/>
      <c r="AF835" s="8"/>
      <c r="AG835" s="5" t="str">
        <f t="array" ref="AG835">IF('Ingest Template'!A835="Standard",(CONCATENATE(IF(ISBLANK('Ingest Template'!N835),"", 'Ingest Template'!N835&amp;"|DAR"),CHAR(10), IF(ISBLANK('Ingest Template'!O835),"", 'Ingest Template'!O835&amp;"|DAR"),CHAR(10), IF(ISBLANK('Ingest Template'!P835),"", 'Ingest Template'!P835&amp;"|DAR"))),(CONCATENATE(IF(ISBLANK('Ingest Template'!N835),"", 'Ingest Template'!N835&amp;"|Operations - Core Title"),CHAR(10), IF(ISBLANK('Ingest Template'!O835),"", 'Ingest Template'!O835&amp;"|Operations - Core Title"),CHAR(10), IF(ISBLANK('Ingest Template'!P835),"", 'Ingest Template'!P835&amp;"|Operations - Core Title"))))</f>
        <v>#|Operations - Core Title
</v>
      </c>
      <c r="AH835" s="5"/>
      <c r="AI835" s="5"/>
      <c r="AJ835" s="5"/>
      <c r="AK835" s="5"/>
      <c r="AL835" s="5"/>
    </row>
    <row r="836">
      <c r="A836" s="5"/>
      <c r="B836" s="5" t="str">
        <f>'Ingest Template'!B836&amp;IF('Ingest Template'!A836 = "Standard", " - DAR","")</f>
        <v/>
      </c>
      <c r="C836" s="6" t="str">
        <f>'Ingest Template'!C836</f>
        <v/>
      </c>
      <c r="D836" s="7" t="str">
        <f>'Ingest Template'!E836</f>
        <v/>
      </c>
      <c r="E836" s="5"/>
      <c r="F836" s="5"/>
      <c r="G836" s="5"/>
      <c r="H836" s="7"/>
      <c r="I836" s="5"/>
      <c r="J836" s="7" t="str">
        <f>'Ingest Template'!Q836</f>
        <v/>
      </c>
      <c r="K836" s="5" t="str">
        <f>'Ingest Template'!R836</f>
        <v/>
      </c>
      <c r="L836" s="8" t="s">
        <v>38</v>
      </c>
      <c r="M836" s="9"/>
      <c r="N836" s="5"/>
      <c r="O836" s="5"/>
      <c r="P836" s="5"/>
      <c r="Q836" s="5"/>
      <c r="R836" s="5" t="str">
        <f>'Ingest Template'!D836</f>
        <v/>
      </c>
      <c r="S836" s="5" t="str">
        <f>'Ingest Template'!G836</f>
        <v/>
      </c>
      <c r="T836" s="5" t="str">
        <f>'Ingest Template'!H836</f>
        <v/>
      </c>
      <c r="U836" s="5" t="str">
        <f>LOWER(SUBSTITUTE(SUBSTITUTE(SUBSTITUTE(SUBSTITUTE(SUBSTITUTE('Ingest Template'!I836,"https:",""),"www.",""),"/",""),"?hl=en",""),"instagram.com",""))</f>
        <v/>
      </c>
      <c r="V836" s="10" t="str">
        <f>'Ingest Template'!J836</f>
        <v/>
      </c>
      <c r="W836" s="10" t="str">
        <f>'Ingest Template'!K836</f>
        <v/>
      </c>
      <c r="X836" s="5"/>
      <c r="Y836" s="5" t="str">
        <f>SUBSTITUTE(SUBSTITUTE(SUBSTITUTE('Ingest Template'!L836,"http:",""),"https:",""),"/","")</f>
        <v/>
      </c>
      <c r="Z836" s="5" t="str">
        <f t="array" ref="Z836">IF('Ingest Template'!A836="Standard",(IF(ISBLANK('Ingest Template'!M836),"", 'Ingest Template'!M836&amp;"|DAR")),(IF(ISBLANK('Ingest Template'!M836),"", 'Ingest Template'!M836&amp;"|Operations - Core Title")))</f>
        <v/>
      </c>
      <c r="AA836" s="5"/>
      <c r="AB836" s="5" t="str">
        <f>'Ingest Template'!F836</f>
        <v/>
      </c>
      <c r="AC836" s="5"/>
      <c r="AD836" s="5"/>
      <c r="AE836" s="5"/>
      <c r="AF836" s="8"/>
      <c r="AG836" s="5" t="str">
        <f t="array" ref="AG836">IF('Ingest Template'!A836="Standard",(CONCATENATE(IF(ISBLANK('Ingest Template'!N836),"", 'Ingest Template'!N836&amp;"|DAR"),CHAR(10), IF(ISBLANK('Ingest Template'!O836),"", 'Ingest Template'!O836&amp;"|DAR"),CHAR(10), IF(ISBLANK('Ingest Template'!P836),"", 'Ingest Template'!P836&amp;"|DAR"))),(CONCATENATE(IF(ISBLANK('Ingest Template'!N836),"", 'Ingest Template'!N836&amp;"|Operations - Core Title"),CHAR(10), IF(ISBLANK('Ingest Template'!O836),"", 'Ingest Template'!O836&amp;"|Operations - Core Title"),CHAR(10), IF(ISBLANK('Ingest Template'!P836),"", 'Ingest Template'!P836&amp;"|Operations - Core Title"))))</f>
        <v>#|Operations - Core Title
</v>
      </c>
      <c r="AH836" s="5"/>
      <c r="AI836" s="5"/>
      <c r="AJ836" s="5"/>
      <c r="AK836" s="5"/>
      <c r="AL836" s="5"/>
    </row>
    <row r="837">
      <c r="A837" s="5"/>
      <c r="B837" s="5" t="str">
        <f>'Ingest Template'!B837&amp;IF('Ingest Template'!A837 = "Standard", " - DAR","")</f>
        <v/>
      </c>
      <c r="C837" s="6" t="str">
        <f>'Ingest Template'!C837</f>
        <v/>
      </c>
      <c r="D837" s="7" t="str">
        <f>'Ingest Template'!E837</f>
        <v/>
      </c>
      <c r="E837" s="5"/>
      <c r="F837" s="5"/>
      <c r="G837" s="5"/>
      <c r="H837" s="7"/>
      <c r="I837" s="5"/>
      <c r="J837" s="7" t="str">
        <f>'Ingest Template'!Q837</f>
        <v/>
      </c>
      <c r="K837" s="5" t="str">
        <f>'Ingest Template'!R837</f>
        <v/>
      </c>
      <c r="L837" s="8" t="s">
        <v>38</v>
      </c>
      <c r="M837" s="9"/>
      <c r="N837" s="5"/>
      <c r="O837" s="5"/>
      <c r="P837" s="5"/>
      <c r="Q837" s="5"/>
      <c r="R837" s="5" t="str">
        <f>'Ingest Template'!D837</f>
        <v/>
      </c>
      <c r="S837" s="5" t="str">
        <f>'Ingest Template'!G837</f>
        <v/>
      </c>
      <c r="T837" s="5" t="str">
        <f>'Ingest Template'!H837</f>
        <v/>
      </c>
      <c r="U837" s="5" t="str">
        <f>LOWER(SUBSTITUTE(SUBSTITUTE(SUBSTITUTE(SUBSTITUTE(SUBSTITUTE('Ingest Template'!I837,"https:",""),"www.",""),"/",""),"?hl=en",""),"instagram.com",""))</f>
        <v/>
      </c>
      <c r="V837" s="10" t="str">
        <f>'Ingest Template'!J837</f>
        <v/>
      </c>
      <c r="W837" s="10" t="str">
        <f>'Ingest Template'!K837</f>
        <v/>
      </c>
      <c r="X837" s="5"/>
      <c r="Y837" s="5" t="str">
        <f>SUBSTITUTE(SUBSTITUTE(SUBSTITUTE('Ingest Template'!L837,"http:",""),"https:",""),"/","")</f>
        <v/>
      </c>
      <c r="Z837" s="5" t="str">
        <f t="array" ref="Z837">IF('Ingest Template'!A837="Standard",(IF(ISBLANK('Ingest Template'!M837),"", 'Ingest Template'!M837&amp;"|DAR")),(IF(ISBLANK('Ingest Template'!M837),"", 'Ingest Template'!M837&amp;"|Operations - Core Title")))</f>
        <v/>
      </c>
      <c r="AA837" s="5"/>
      <c r="AB837" s="5" t="str">
        <f>'Ingest Template'!F837</f>
        <v/>
      </c>
      <c r="AC837" s="5"/>
      <c r="AD837" s="5"/>
      <c r="AE837" s="5"/>
      <c r="AF837" s="8"/>
      <c r="AG837" s="5" t="str">
        <f t="array" ref="AG837">IF('Ingest Template'!A837="Standard",(CONCATENATE(IF(ISBLANK('Ingest Template'!N837),"", 'Ingest Template'!N837&amp;"|DAR"),CHAR(10), IF(ISBLANK('Ingest Template'!O837),"", 'Ingest Template'!O837&amp;"|DAR"),CHAR(10), IF(ISBLANK('Ingest Template'!P837),"", 'Ingest Template'!P837&amp;"|DAR"))),(CONCATENATE(IF(ISBLANK('Ingest Template'!N837),"", 'Ingest Template'!N837&amp;"|Operations - Core Title"),CHAR(10), IF(ISBLANK('Ingest Template'!O837),"", 'Ingest Template'!O837&amp;"|Operations - Core Title"),CHAR(10), IF(ISBLANK('Ingest Template'!P837),"", 'Ingest Template'!P837&amp;"|Operations - Core Title"))))</f>
        <v>#|Operations - Core Title
</v>
      </c>
      <c r="AH837" s="5"/>
      <c r="AI837" s="5"/>
      <c r="AJ837" s="5"/>
      <c r="AK837" s="5"/>
      <c r="AL837" s="5"/>
    </row>
    <row r="838">
      <c r="A838" s="5"/>
      <c r="B838" s="5" t="str">
        <f>'Ingest Template'!B838&amp;IF('Ingest Template'!A838 = "Standard", " - DAR","")</f>
        <v/>
      </c>
      <c r="C838" s="6" t="str">
        <f>'Ingest Template'!C838</f>
        <v/>
      </c>
      <c r="D838" s="7" t="str">
        <f>'Ingest Template'!E838</f>
        <v/>
      </c>
      <c r="E838" s="5"/>
      <c r="F838" s="5"/>
      <c r="G838" s="5"/>
      <c r="H838" s="7"/>
      <c r="I838" s="5"/>
      <c r="J838" s="7" t="str">
        <f>'Ingest Template'!Q838</f>
        <v/>
      </c>
      <c r="K838" s="5" t="str">
        <f>'Ingest Template'!R838</f>
        <v/>
      </c>
      <c r="L838" s="8" t="s">
        <v>38</v>
      </c>
      <c r="M838" s="9"/>
      <c r="N838" s="5"/>
      <c r="O838" s="5"/>
      <c r="P838" s="5"/>
      <c r="Q838" s="5"/>
      <c r="R838" s="5" t="str">
        <f>'Ingest Template'!D838</f>
        <v/>
      </c>
      <c r="S838" s="5" t="str">
        <f>'Ingest Template'!G838</f>
        <v/>
      </c>
      <c r="T838" s="5" t="str">
        <f>'Ingest Template'!H838</f>
        <v/>
      </c>
      <c r="U838" s="5" t="str">
        <f>LOWER(SUBSTITUTE(SUBSTITUTE(SUBSTITUTE(SUBSTITUTE(SUBSTITUTE('Ingest Template'!I838,"https:",""),"www.",""),"/",""),"?hl=en",""),"instagram.com",""))</f>
        <v/>
      </c>
      <c r="V838" s="10" t="str">
        <f>'Ingest Template'!J838</f>
        <v/>
      </c>
      <c r="W838" s="10" t="str">
        <f>'Ingest Template'!K838</f>
        <v/>
      </c>
      <c r="X838" s="5"/>
      <c r="Y838" s="5" t="str">
        <f>SUBSTITUTE(SUBSTITUTE(SUBSTITUTE('Ingest Template'!L838,"http:",""),"https:",""),"/","")</f>
        <v/>
      </c>
      <c r="Z838" s="5" t="str">
        <f t="array" ref="Z838">IF('Ingest Template'!A838="Standard",(IF(ISBLANK('Ingest Template'!M838),"", 'Ingest Template'!M838&amp;"|DAR")),(IF(ISBLANK('Ingest Template'!M838),"", 'Ingest Template'!M838&amp;"|Operations - Core Title")))</f>
        <v/>
      </c>
      <c r="AA838" s="5"/>
      <c r="AB838" s="5" t="str">
        <f>'Ingest Template'!F838</f>
        <v/>
      </c>
      <c r="AC838" s="5"/>
      <c r="AD838" s="5"/>
      <c r="AE838" s="5"/>
      <c r="AF838" s="8"/>
      <c r="AG838" s="5" t="str">
        <f t="array" ref="AG838">IF('Ingest Template'!A838="Standard",(CONCATENATE(IF(ISBLANK('Ingest Template'!N838),"", 'Ingest Template'!N838&amp;"|DAR"),CHAR(10), IF(ISBLANK('Ingest Template'!O838),"", 'Ingest Template'!O838&amp;"|DAR"),CHAR(10), IF(ISBLANK('Ingest Template'!P838),"", 'Ingest Template'!P838&amp;"|DAR"))),(CONCATENATE(IF(ISBLANK('Ingest Template'!N838),"", 'Ingest Template'!N838&amp;"|Operations - Core Title"),CHAR(10), IF(ISBLANK('Ingest Template'!O838),"", 'Ingest Template'!O838&amp;"|Operations - Core Title"),CHAR(10), IF(ISBLANK('Ingest Template'!P838),"", 'Ingest Template'!P838&amp;"|Operations - Core Title"))))</f>
        <v>#|Operations - Core Title
</v>
      </c>
      <c r="AH838" s="5"/>
      <c r="AI838" s="5"/>
      <c r="AJ838" s="5"/>
      <c r="AK838" s="5"/>
      <c r="AL838" s="5"/>
    </row>
    <row r="839">
      <c r="A839" s="5"/>
      <c r="B839" s="5" t="str">
        <f>'Ingest Template'!B839&amp;IF('Ingest Template'!A839 = "Standard", " - DAR","")</f>
        <v/>
      </c>
      <c r="C839" s="6" t="str">
        <f>'Ingest Template'!C839</f>
        <v/>
      </c>
      <c r="D839" s="7" t="str">
        <f>'Ingest Template'!E839</f>
        <v/>
      </c>
      <c r="E839" s="5"/>
      <c r="F839" s="5"/>
      <c r="G839" s="5"/>
      <c r="H839" s="7"/>
      <c r="I839" s="5"/>
      <c r="J839" s="7" t="str">
        <f>'Ingest Template'!Q839</f>
        <v/>
      </c>
      <c r="K839" s="5" t="str">
        <f>'Ingest Template'!R839</f>
        <v/>
      </c>
      <c r="L839" s="8" t="s">
        <v>38</v>
      </c>
      <c r="M839" s="9"/>
      <c r="N839" s="5"/>
      <c r="O839" s="5"/>
      <c r="P839" s="5"/>
      <c r="Q839" s="5"/>
      <c r="R839" s="5" t="str">
        <f>'Ingest Template'!D839</f>
        <v/>
      </c>
      <c r="S839" s="5" t="str">
        <f>'Ingest Template'!G839</f>
        <v/>
      </c>
      <c r="T839" s="5" t="str">
        <f>'Ingest Template'!H839</f>
        <v/>
      </c>
      <c r="U839" s="5" t="str">
        <f>LOWER(SUBSTITUTE(SUBSTITUTE(SUBSTITUTE(SUBSTITUTE(SUBSTITUTE('Ingest Template'!I839,"https:",""),"www.",""),"/",""),"?hl=en",""),"instagram.com",""))</f>
        <v/>
      </c>
      <c r="V839" s="10" t="str">
        <f>'Ingest Template'!J839</f>
        <v/>
      </c>
      <c r="W839" s="10" t="str">
        <f>'Ingest Template'!K839</f>
        <v/>
      </c>
      <c r="X839" s="5"/>
      <c r="Y839" s="5" t="str">
        <f>SUBSTITUTE(SUBSTITUTE(SUBSTITUTE('Ingest Template'!L839,"http:",""),"https:",""),"/","")</f>
        <v/>
      </c>
      <c r="Z839" s="5" t="str">
        <f t="array" ref="Z839">IF('Ingest Template'!A839="Standard",(IF(ISBLANK('Ingest Template'!M839),"", 'Ingest Template'!M839&amp;"|DAR")),(IF(ISBLANK('Ingest Template'!M839),"", 'Ingest Template'!M839&amp;"|Operations - Core Title")))</f>
        <v/>
      </c>
      <c r="AA839" s="5"/>
      <c r="AB839" s="5" t="str">
        <f>'Ingest Template'!F839</f>
        <v/>
      </c>
      <c r="AC839" s="5"/>
      <c r="AD839" s="5"/>
      <c r="AE839" s="5"/>
      <c r="AF839" s="8"/>
      <c r="AG839" s="5" t="str">
        <f t="array" ref="AG839">IF('Ingest Template'!A839="Standard",(CONCATENATE(IF(ISBLANK('Ingest Template'!N839),"", 'Ingest Template'!N839&amp;"|DAR"),CHAR(10), IF(ISBLANK('Ingest Template'!O839),"", 'Ingest Template'!O839&amp;"|DAR"),CHAR(10), IF(ISBLANK('Ingest Template'!P839),"", 'Ingest Template'!P839&amp;"|DAR"))),(CONCATENATE(IF(ISBLANK('Ingest Template'!N839),"", 'Ingest Template'!N839&amp;"|Operations - Core Title"),CHAR(10), IF(ISBLANK('Ingest Template'!O839),"", 'Ingest Template'!O839&amp;"|Operations - Core Title"),CHAR(10), IF(ISBLANK('Ingest Template'!P839),"", 'Ingest Template'!P839&amp;"|Operations - Core Title"))))</f>
        <v>#|Operations - Core Title
</v>
      </c>
      <c r="AH839" s="5"/>
      <c r="AI839" s="5"/>
      <c r="AJ839" s="5"/>
      <c r="AK839" s="5"/>
      <c r="AL839" s="5"/>
    </row>
    <row r="840">
      <c r="A840" s="5"/>
      <c r="B840" s="5" t="str">
        <f>'Ingest Template'!B840&amp;IF('Ingest Template'!A840 = "Standard", " - DAR","")</f>
        <v/>
      </c>
      <c r="C840" s="6" t="str">
        <f>'Ingest Template'!C840</f>
        <v/>
      </c>
      <c r="D840" s="7" t="str">
        <f>'Ingest Template'!E840</f>
        <v/>
      </c>
      <c r="E840" s="5"/>
      <c r="F840" s="5"/>
      <c r="G840" s="5"/>
      <c r="H840" s="7"/>
      <c r="I840" s="5"/>
      <c r="J840" s="7" t="str">
        <f>'Ingest Template'!Q840</f>
        <v/>
      </c>
      <c r="K840" s="5" t="str">
        <f>'Ingest Template'!R840</f>
        <v/>
      </c>
      <c r="L840" s="8" t="s">
        <v>38</v>
      </c>
      <c r="M840" s="9"/>
      <c r="N840" s="5"/>
      <c r="O840" s="5"/>
      <c r="P840" s="5"/>
      <c r="Q840" s="5"/>
      <c r="R840" s="5" t="str">
        <f>'Ingest Template'!D840</f>
        <v/>
      </c>
      <c r="S840" s="5" t="str">
        <f>'Ingest Template'!G840</f>
        <v/>
      </c>
      <c r="T840" s="5" t="str">
        <f>'Ingest Template'!H840</f>
        <v/>
      </c>
      <c r="U840" s="5" t="str">
        <f>LOWER(SUBSTITUTE(SUBSTITUTE(SUBSTITUTE(SUBSTITUTE(SUBSTITUTE('Ingest Template'!I840,"https:",""),"www.",""),"/",""),"?hl=en",""),"instagram.com",""))</f>
        <v/>
      </c>
      <c r="V840" s="10" t="str">
        <f>'Ingest Template'!J840</f>
        <v/>
      </c>
      <c r="W840" s="10" t="str">
        <f>'Ingest Template'!K840</f>
        <v/>
      </c>
      <c r="X840" s="5"/>
      <c r="Y840" s="5" t="str">
        <f>SUBSTITUTE(SUBSTITUTE(SUBSTITUTE('Ingest Template'!L840,"http:",""),"https:",""),"/","")</f>
        <v/>
      </c>
      <c r="Z840" s="5" t="str">
        <f t="array" ref="Z840">IF('Ingest Template'!A840="Standard",(IF(ISBLANK('Ingest Template'!M840),"", 'Ingest Template'!M840&amp;"|DAR")),(IF(ISBLANK('Ingest Template'!M840),"", 'Ingest Template'!M840&amp;"|Operations - Core Title")))</f>
        <v/>
      </c>
      <c r="AA840" s="5"/>
      <c r="AB840" s="5" t="str">
        <f>'Ingest Template'!F840</f>
        <v/>
      </c>
      <c r="AC840" s="5"/>
      <c r="AD840" s="5"/>
      <c r="AE840" s="5"/>
      <c r="AF840" s="8"/>
      <c r="AG840" s="5" t="str">
        <f t="array" ref="AG840">IF('Ingest Template'!A840="Standard",(CONCATENATE(IF(ISBLANK('Ingest Template'!N840),"", 'Ingest Template'!N840&amp;"|DAR"),CHAR(10), IF(ISBLANK('Ingest Template'!O840),"", 'Ingest Template'!O840&amp;"|DAR"),CHAR(10), IF(ISBLANK('Ingest Template'!P840),"", 'Ingest Template'!P840&amp;"|DAR"))),(CONCATENATE(IF(ISBLANK('Ingest Template'!N840),"", 'Ingest Template'!N840&amp;"|Operations - Core Title"),CHAR(10), IF(ISBLANK('Ingest Template'!O840),"", 'Ingest Template'!O840&amp;"|Operations - Core Title"),CHAR(10), IF(ISBLANK('Ingest Template'!P840),"", 'Ingest Template'!P840&amp;"|Operations - Core Title"))))</f>
        <v>#|Operations - Core Title
</v>
      </c>
      <c r="AH840" s="5"/>
      <c r="AI840" s="5"/>
      <c r="AJ840" s="5"/>
      <c r="AK840" s="5"/>
      <c r="AL840" s="5"/>
    </row>
    <row r="841">
      <c r="A841" s="5"/>
      <c r="B841" s="5" t="str">
        <f>'Ingest Template'!B841&amp;IF('Ingest Template'!A841 = "Standard", " - DAR","")</f>
        <v/>
      </c>
      <c r="C841" s="6" t="str">
        <f>'Ingest Template'!C841</f>
        <v/>
      </c>
      <c r="D841" s="7" t="str">
        <f>'Ingest Template'!E841</f>
        <v/>
      </c>
      <c r="E841" s="5"/>
      <c r="F841" s="5"/>
      <c r="G841" s="5"/>
      <c r="H841" s="7"/>
      <c r="I841" s="5"/>
      <c r="J841" s="7" t="str">
        <f>'Ingest Template'!Q841</f>
        <v/>
      </c>
      <c r="K841" s="5" t="str">
        <f>'Ingest Template'!R841</f>
        <v/>
      </c>
      <c r="L841" s="8" t="s">
        <v>38</v>
      </c>
      <c r="M841" s="9"/>
      <c r="N841" s="5"/>
      <c r="O841" s="5"/>
      <c r="P841" s="5"/>
      <c r="Q841" s="5"/>
      <c r="R841" s="5" t="str">
        <f>'Ingest Template'!D841</f>
        <v/>
      </c>
      <c r="S841" s="5" t="str">
        <f>'Ingest Template'!G841</f>
        <v/>
      </c>
      <c r="T841" s="5" t="str">
        <f>'Ingest Template'!H841</f>
        <v/>
      </c>
      <c r="U841" s="5" t="str">
        <f>LOWER(SUBSTITUTE(SUBSTITUTE(SUBSTITUTE(SUBSTITUTE(SUBSTITUTE('Ingest Template'!I841,"https:",""),"www.",""),"/",""),"?hl=en",""),"instagram.com",""))</f>
        <v/>
      </c>
      <c r="V841" s="10" t="str">
        <f>'Ingest Template'!J841</f>
        <v/>
      </c>
      <c r="W841" s="10" t="str">
        <f>'Ingest Template'!K841</f>
        <v/>
      </c>
      <c r="X841" s="5"/>
      <c r="Y841" s="5" t="str">
        <f>SUBSTITUTE(SUBSTITUTE(SUBSTITUTE('Ingest Template'!L841,"http:",""),"https:",""),"/","")</f>
        <v/>
      </c>
      <c r="Z841" s="5" t="str">
        <f t="array" ref="Z841">IF('Ingest Template'!A841="Standard",(IF(ISBLANK('Ingest Template'!M841),"", 'Ingest Template'!M841&amp;"|DAR")),(IF(ISBLANK('Ingest Template'!M841),"", 'Ingest Template'!M841&amp;"|Operations - Core Title")))</f>
        <v/>
      </c>
      <c r="AA841" s="5"/>
      <c r="AB841" s="5" t="str">
        <f>'Ingest Template'!F841</f>
        <v/>
      </c>
      <c r="AC841" s="5"/>
      <c r="AD841" s="5"/>
      <c r="AE841" s="5"/>
      <c r="AF841" s="8"/>
      <c r="AG841" s="5" t="str">
        <f t="array" ref="AG841">IF('Ingest Template'!A841="Standard",(CONCATENATE(IF(ISBLANK('Ingest Template'!N841),"", 'Ingest Template'!N841&amp;"|DAR"),CHAR(10), IF(ISBLANK('Ingest Template'!O841),"", 'Ingest Template'!O841&amp;"|DAR"),CHAR(10), IF(ISBLANK('Ingest Template'!P841),"", 'Ingest Template'!P841&amp;"|DAR"))),(CONCATENATE(IF(ISBLANK('Ingest Template'!N841),"", 'Ingest Template'!N841&amp;"|Operations - Core Title"),CHAR(10), IF(ISBLANK('Ingest Template'!O841),"", 'Ingest Template'!O841&amp;"|Operations - Core Title"),CHAR(10), IF(ISBLANK('Ingest Template'!P841),"", 'Ingest Template'!P841&amp;"|Operations - Core Title"))))</f>
        <v>#|Operations - Core Title
</v>
      </c>
      <c r="AH841" s="5"/>
      <c r="AI841" s="5"/>
      <c r="AJ841" s="5"/>
      <c r="AK841" s="5"/>
      <c r="AL841" s="5"/>
    </row>
    <row r="842">
      <c r="A842" s="5"/>
      <c r="B842" s="5" t="str">
        <f>'Ingest Template'!B842&amp;IF('Ingest Template'!A842 = "Standard", " - DAR","")</f>
        <v/>
      </c>
      <c r="C842" s="6" t="str">
        <f>'Ingest Template'!C842</f>
        <v/>
      </c>
      <c r="D842" s="7" t="str">
        <f>'Ingest Template'!E842</f>
        <v/>
      </c>
      <c r="E842" s="5"/>
      <c r="F842" s="5"/>
      <c r="G842" s="5"/>
      <c r="H842" s="7"/>
      <c r="I842" s="5"/>
      <c r="J842" s="7" t="str">
        <f>'Ingest Template'!Q842</f>
        <v/>
      </c>
      <c r="K842" s="5" t="str">
        <f>'Ingest Template'!R842</f>
        <v/>
      </c>
      <c r="L842" s="8" t="s">
        <v>38</v>
      </c>
      <c r="M842" s="9"/>
      <c r="N842" s="5"/>
      <c r="O842" s="5"/>
      <c r="P842" s="5"/>
      <c r="Q842" s="5"/>
      <c r="R842" s="5" t="str">
        <f>'Ingest Template'!D842</f>
        <v/>
      </c>
      <c r="S842" s="5" t="str">
        <f>'Ingest Template'!G842</f>
        <v/>
      </c>
      <c r="T842" s="5" t="str">
        <f>'Ingest Template'!H842</f>
        <v/>
      </c>
      <c r="U842" s="5" t="str">
        <f>LOWER(SUBSTITUTE(SUBSTITUTE(SUBSTITUTE(SUBSTITUTE(SUBSTITUTE('Ingest Template'!I842,"https:",""),"www.",""),"/",""),"?hl=en",""),"instagram.com",""))</f>
        <v/>
      </c>
      <c r="V842" s="10" t="str">
        <f>'Ingest Template'!J842</f>
        <v/>
      </c>
      <c r="W842" s="10" t="str">
        <f>'Ingest Template'!K842</f>
        <v/>
      </c>
      <c r="X842" s="5"/>
      <c r="Y842" s="5" t="str">
        <f>SUBSTITUTE(SUBSTITUTE(SUBSTITUTE('Ingest Template'!L842,"http:",""),"https:",""),"/","")</f>
        <v/>
      </c>
      <c r="Z842" s="5" t="str">
        <f t="array" ref="Z842">IF('Ingest Template'!A842="Standard",(IF(ISBLANK('Ingest Template'!M842),"", 'Ingest Template'!M842&amp;"|DAR")),(IF(ISBLANK('Ingest Template'!M842),"", 'Ingest Template'!M842&amp;"|Operations - Core Title")))</f>
        <v/>
      </c>
      <c r="AA842" s="5"/>
      <c r="AB842" s="5" t="str">
        <f>'Ingest Template'!F842</f>
        <v/>
      </c>
      <c r="AC842" s="5"/>
      <c r="AD842" s="5"/>
      <c r="AE842" s="5"/>
      <c r="AF842" s="8"/>
      <c r="AG842" s="5" t="str">
        <f t="array" ref="AG842">IF('Ingest Template'!A842="Standard",(CONCATENATE(IF(ISBLANK('Ingest Template'!N842),"", 'Ingest Template'!N842&amp;"|DAR"),CHAR(10), IF(ISBLANK('Ingest Template'!O842),"", 'Ingest Template'!O842&amp;"|DAR"),CHAR(10), IF(ISBLANK('Ingest Template'!P842),"", 'Ingest Template'!P842&amp;"|DAR"))),(CONCATENATE(IF(ISBLANK('Ingest Template'!N842),"", 'Ingest Template'!N842&amp;"|Operations - Core Title"),CHAR(10), IF(ISBLANK('Ingest Template'!O842),"", 'Ingest Template'!O842&amp;"|Operations - Core Title"),CHAR(10), IF(ISBLANK('Ingest Template'!P842),"", 'Ingest Template'!P842&amp;"|Operations - Core Title"))))</f>
        <v>#|Operations - Core Title
</v>
      </c>
      <c r="AH842" s="5"/>
      <c r="AI842" s="5"/>
      <c r="AJ842" s="5"/>
      <c r="AK842" s="5"/>
      <c r="AL842" s="5"/>
    </row>
    <row r="843">
      <c r="A843" s="5"/>
      <c r="B843" s="5" t="str">
        <f>'Ingest Template'!B843&amp;IF('Ingest Template'!A843 = "Standard", " - DAR","")</f>
        <v/>
      </c>
      <c r="C843" s="6" t="str">
        <f>'Ingest Template'!C843</f>
        <v/>
      </c>
      <c r="D843" s="7" t="str">
        <f>'Ingest Template'!E843</f>
        <v/>
      </c>
      <c r="E843" s="5"/>
      <c r="F843" s="5"/>
      <c r="G843" s="5"/>
      <c r="H843" s="7"/>
      <c r="I843" s="5"/>
      <c r="J843" s="7" t="str">
        <f>'Ingest Template'!Q843</f>
        <v/>
      </c>
      <c r="K843" s="5" t="str">
        <f>'Ingest Template'!R843</f>
        <v/>
      </c>
      <c r="L843" s="8" t="s">
        <v>38</v>
      </c>
      <c r="M843" s="9"/>
      <c r="N843" s="5"/>
      <c r="O843" s="5"/>
      <c r="P843" s="5"/>
      <c r="Q843" s="5"/>
      <c r="R843" s="5" t="str">
        <f>'Ingest Template'!D843</f>
        <v/>
      </c>
      <c r="S843" s="5" t="str">
        <f>'Ingest Template'!G843</f>
        <v/>
      </c>
      <c r="T843" s="5" t="str">
        <f>'Ingest Template'!H843</f>
        <v/>
      </c>
      <c r="U843" s="5" t="str">
        <f>LOWER(SUBSTITUTE(SUBSTITUTE(SUBSTITUTE(SUBSTITUTE(SUBSTITUTE('Ingest Template'!I843,"https:",""),"www.",""),"/",""),"?hl=en",""),"instagram.com",""))</f>
        <v/>
      </c>
      <c r="V843" s="10" t="str">
        <f>'Ingest Template'!J843</f>
        <v/>
      </c>
      <c r="W843" s="10" t="str">
        <f>'Ingest Template'!K843</f>
        <v/>
      </c>
      <c r="X843" s="5"/>
      <c r="Y843" s="5" t="str">
        <f>SUBSTITUTE(SUBSTITUTE(SUBSTITUTE('Ingest Template'!L843,"http:",""),"https:",""),"/","")</f>
        <v/>
      </c>
      <c r="Z843" s="5" t="str">
        <f t="array" ref="Z843">IF('Ingest Template'!A843="Standard",(IF(ISBLANK('Ingest Template'!M843),"", 'Ingest Template'!M843&amp;"|DAR")),(IF(ISBLANK('Ingest Template'!M843),"", 'Ingest Template'!M843&amp;"|Operations - Core Title")))</f>
        <v/>
      </c>
      <c r="AA843" s="5"/>
      <c r="AB843" s="5" t="str">
        <f>'Ingest Template'!F843</f>
        <v/>
      </c>
      <c r="AC843" s="5"/>
      <c r="AD843" s="5"/>
      <c r="AE843" s="5"/>
      <c r="AF843" s="8"/>
      <c r="AG843" s="5" t="str">
        <f t="array" ref="AG843">IF('Ingest Template'!A843="Standard",(CONCATENATE(IF(ISBLANK('Ingest Template'!N843),"", 'Ingest Template'!N843&amp;"|DAR"),CHAR(10), IF(ISBLANK('Ingest Template'!O843),"", 'Ingest Template'!O843&amp;"|DAR"),CHAR(10), IF(ISBLANK('Ingest Template'!P843),"", 'Ingest Template'!P843&amp;"|DAR"))),(CONCATENATE(IF(ISBLANK('Ingest Template'!N843),"", 'Ingest Template'!N843&amp;"|Operations - Core Title"),CHAR(10), IF(ISBLANK('Ingest Template'!O843),"", 'Ingest Template'!O843&amp;"|Operations - Core Title"),CHAR(10), IF(ISBLANK('Ingest Template'!P843),"", 'Ingest Template'!P843&amp;"|Operations - Core Title"))))</f>
        <v>#|Operations - Core Title
</v>
      </c>
      <c r="AH843" s="5"/>
      <c r="AI843" s="5"/>
      <c r="AJ843" s="5"/>
      <c r="AK843" s="5"/>
      <c r="AL843" s="5"/>
    </row>
    <row r="844">
      <c r="A844" s="5"/>
      <c r="B844" s="5" t="str">
        <f>'Ingest Template'!B844&amp;IF('Ingest Template'!A844 = "Standard", " - DAR","")</f>
        <v/>
      </c>
      <c r="C844" s="6" t="str">
        <f>'Ingest Template'!C844</f>
        <v/>
      </c>
      <c r="D844" s="7" t="str">
        <f>'Ingest Template'!E844</f>
        <v/>
      </c>
      <c r="E844" s="5"/>
      <c r="F844" s="5"/>
      <c r="G844" s="5"/>
      <c r="H844" s="7"/>
      <c r="I844" s="5"/>
      <c r="J844" s="7" t="str">
        <f>'Ingest Template'!Q844</f>
        <v/>
      </c>
      <c r="K844" s="5" t="str">
        <f>'Ingest Template'!R844</f>
        <v/>
      </c>
      <c r="L844" s="8" t="s">
        <v>38</v>
      </c>
      <c r="M844" s="9"/>
      <c r="N844" s="5"/>
      <c r="O844" s="5"/>
      <c r="P844" s="5"/>
      <c r="Q844" s="5"/>
      <c r="R844" s="5" t="str">
        <f>'Ingest Template'!D844</f>
        <v/>
      </c>
      <c r="S844" s="5" t="str">
        <f>'Ingest Template'!G844</f>
        <v/>
      </c>
      <c r="T844" s="5" t="str">
        <f>'Ingest Template'!H844</f>
        <v/>
      </c>
      <c r="U844" s="5" t="str">
        <f>LOWER(SUBSTITUTE(SUBSTITUTE(SUBSTITUTE(SUBSTITUTE(SUBSTITUTE('Ingest Template'!I844,"https:",""),"www.",""),"/",""),"?hl=en",""),"instagram.com",""))</f>
        <v/>
      </c>
      <c r="V844" s="10" t="str">
        <f>'Ingest Template'!J844</f>
        <v/>
      </c>
      <c r="W844" s="10" t="str">
        <f>'Ingest Template'!K844</f>
        <v/>
      </c>
      <c r="X844" s="5"/>
      <c r="Y844" s="5" t="str">
        <f>SUBSTITUTE(SUBSTITUTE(SUBSTITUTE('Ingest Template'!L844,"http:",""),"https:",""),"/","")</f>
        <v/>
      </c>
      <c r="Z844" s="5" t="str">
        <f t="array" ref="Z844">IF('Ingest Template'!A844="Standard",(IF(ISBLANK('Ingest Template'!M844),"", 'Ingest Template'!M844&amp;"|DAR")),(IF(ISBLANK('Ingest Template'!M844),"", 'Ingest Template'!M844&amp;"|Operations - Core Title")))</f>
        <v/>
      </c>
      <c r="AA844" s="5"/>
      <c r="AB844" s="5" t="str">
        <f>'Ingest Template'!F844</f>
        <v/>
      </c>
      <c r="AC844" s="5"/>
      <c r="AD844" s="5"/>
      <c r="AE844" s="5"/>
      <c r="AF844" s="8"/>
      <c r="AG844" s="5" t="str">
        <f t="array" ref="AG844">IF('Ingest Template'!A844="Standard",(CONCATENATE(IF(ISBLANK('Ingest Template'!N844),"", 'Ingest Template'!N844&amp;"|DAR"),CHAR(10), IF(ISBLANK('Ingest Template'!O844),"", 'Ingest Template'!O844&amp;"|DAR"),CHAR(10), IF(ISBLANK('Ingest Template'!P844),"", 'Ingest Template'!P844&amp;"|DAR"))),(CONCATENATE(IF(ISBLANK('Ingest Template'!N844),"", 'Ingest Template'!N844&amp;"|Operations - Core Title"),CHAR(10), IF(ISBLANK('Ingest Template'!O844),"", 'Ingest Template'!O844&amp;"|Operations - Core Title"),CHAR(10), IF(ISBLANK('Ingest Template'!P844),"", 'Ingest Template'!P844&amp;"|Operations - Core Title"))))</f>
        <v>#|Operations - Core Title
</v>
      </c>
      <c r="AH844" s="5"/>
      <c r="AI844" s="5"/>
      <c r="AJ844" s="5"/>
      <c r="AK844" s="5"/>
      <c r="AL844" s="5"/>
    </row>
    <row r="845">
      <c r="A845" s="5"/>
      <c r="B845" s="5" t="str">
        <f>'Ingest Template'!B845&amp;IF('Ingest Template'!A845 = "Standard", " - DAR","")</f>
        <v/>
      </c>
      <c r="C845" s="6" t="str">
        <f>'Ingest Template'!C845</f>
        <v/>
      </c>
      <c r="D845" s="7" t="str">
        <f>'Ingest Template'!E845</f>
        <v/>
      </c>
      <c r="E845" s="5"/>
      <c r="F845" s="5"/>
      <c r="G845" s="5"/>
      <c r="H845" s="7"/>
      <c r="I845" s="5"/>
      <c r="J845" s="7" t="str">
        <f>'Ingest Template'!Q845</f>
        <v/>
      </c>
      <c r="K845" s="5" t="str">
        <f>'Ingest Template'!R845</f>
        <v/>
      </c>
      <c r="L845" s="8" t="s">
        <v>38</v>
      </c>
      <c r="M845" s="9"/>
      <c r="N845" s="5"/>
      <c r="O845" s="5"/>
      <c r="P845" s="5"/>
      <c r="Q845" s="5"/>
      <c r="R845" s="5" t="str">
        <f>'Ingest Template'!D845</f>
        <v/>
      </c>
      <c r="S845" s="5" t="str">
        <f>'Ingest Template'!G845</f>
        <v/>
      </c>
      <c r="T845" s="5" t="str">
        <f>'Ingest Template'!H845</f>
        <v/>
      </c>
      <c r="U845" s="5" t="str">
        <f>LOWER(SUBSTITUTE(SUBSTITUTE(SUBSTITUTE(SUBSTITUTE(SUBSTITUTE('Ingest Template'!I845,"https:",""),"www.",""),"/",""),"?hl=en",""),"instagram.com",""))</f>
        <v/>
      </c>
      <c r="V845" s="10" t="str">
        <f>'Ingest Template'!J845</f>
        <v/>
      </c>
      <c r="W845" s="10" t="str">
        <f>'Ingest Template'!K845</f>
        <v/>
      </c>
      <c r="X845" s="5"/>
      <c r="Y845" s="5" t="str">
        <f>SUBSTITUTE(SUBSTITUTE(SUBSTITUTE('Ingest Template'!L845,"http:",""),"https:",""),"/","")</f>
        <v/>
      </c>
      <c r="Z845" s="5" t="str">
        <f t="array" ref="Z845">IF('Ingest Template'!A845="Standard",(IF(ISBLANK('Ingest Template'!M845),"", 'Ingest Template'!M845&amp;"|DAR")),(IF(ISBLANK('Ingest Template'!M845),"", 'Ingest Template'!M845&amp;"|Operations - Core Title")))</f>
        <v/>
      </c>
      <c r="AA845" s="5"/>
      <c r="AB845" s="5" t="str">
        <f>'Ingest Template'!F845</f>
        <v/>
      </c>
      <c r="AC845" s="5"/>
      <c r="AD845" s="5"/>
      <c r="AE845" s="5"/>
      <c r="AF845" s="8"/>
      <c r="AG845" s="5" t="str">
        <f t="array" ref="AG845">IF('Ingest Template'!A845="Standard",(CONCATENATE(IF(ISBLANK('Ingest Template'!N845),"", 'Ingest Template'!N845&amp;"|DAR"),CHAR(10), IF(ISBLANK('Ingest Template'!O845),"", 'Ingest Template'!O845&amp;"|DAR"),CHAR(10), IF(ISBLANK('Ingest Template'!P845),"", 'Ingest Template'!P845&amp;"|DAR"))),(CONCATENATE(IF(ISBLANK('Ingest Template'!N845),"", 'Ingest Template'!N845&amp;"|Operations - Core Title"),CHAR(10), IF(ISBLANK('Ingest Template'!O845),"", 'Ingest Template'!O845&amp;"|Operations - Core Title"),CHAR(10), IF(ISBLANK('Ingest Template'!P845),"", 'Ingest Template'!P845&amp;"|Operations - Core Title"))))</f>
        <v>#|Operations - Core Title
</v>
      </c>
      <c r="AH845" s="5"/>
      <c r="AI845" s="5"/>
      <c r="AJ845" s="5"/>
      <c r="AK845" s="5"/>
      <c r="AL845" s="5"/>
    </row>
    <row r="846">
      <c r="A846" s="5"/>
      <c r="B846" s="5" t="str">
        <f>'Ingest Template'!B846&amp;IF('Ingest Template'!A846 = "Standard", " - DAR","")</f>
        <v/>
      </c>
      <c r="C846" s="6" t="str">
        <f>'Ingest Template'!C846</f>
        <v/>
      </c>
      <c r="D846" s="7" t="str">
        <f>'Ingest Template'!E846</f>
        <v/>
      </c>
      <c r="E846" s="5"/>
      <c r="F846" s="5"/>
      <c r="G846" s="5"/>
      <c r="H846" s="7"/>
      <c r="I846" s="5"/>
      <c r="J846" s="7" t="str">
        <f>'Ingest Template'!Q846</f>
        <v/>
      </c>
      <c r="K846" s="5" t="str">
        <f>'Ingest Template'!R846</f>
        <v/>
      </c>
      <c r="L846" s="8" t="s">
        <v>38</v>
      </c>
      <c r="M846" s="9"/>
      <c r="N846" s="5"/>
      <c r="O846" s="5"/>
      <c r="P846" s="5"/>
      <c r="Q846" s="5"/>
      <c r="R846" s="5" t="str">
        <f>'Ingest Template'!D846</f>
        <v/>
      </c>
      <c r="S846" s="5" t="str">
        <f>'Ingest Template'!G846</f>
        <v/>
      </c>
      <c r="T846" s="5" t="str">
        <f>'Ingest Template'!H846</f>
        <v/>
      </c>
      <c r="U846" s="5" t="str">
        <f>LOWER(SUBSTITUTE(SUBSTITUTE(SUBSTITUTE(SUBSTITUTE(SUBSTITUTE('Ingest Template'!I846,"https:",""),"www.",""),"/",""),"?hl=en",""),"instagram.com",""))</f>
        <v/>
      </c>
      <c r="V846" s="10" t="str">
        <f>'Ingest Template'!J846</f>
        <v/>
      </c>
      <c r="W846" s="10" t="str">
        <f>'Ingest Template'!K846</f>
        <v/>
      </c>
      <c r="X846" s="5"/>
      <c r="Y846" s="5" t="str">
        <f>SUBSTITUTE(SUBSTITUTE(SUBSTITUTE('Ingest Template'!L846,"http:",""),"https:",""),"/","")</f>
        <v/>
      </c>
      <c r="Z846" s="5" t="str">
        <f t="array" ref="Z846">IF('Ingest Template'!A846="Standard",(IF(ISBLANK('Ingest Template'!M846),"", 'Ingest Template'!M846&amp;"|DAR")),(IF(ISBLANK('Ingest Template'!M846),"", 'Ingest Template'!M846&amp;"|Operations - Core Title")))</f>
        <v/>
      </c>
      <c r="AA846" s="5"/>
      <c r="AB846" s="5" t="str">
        <f>'Ingest Template'!F846</f>
        <v/>
      </c>
      <c r="AC846" s="5"/>
      <c r="AD846" s="5"/>
      <c r="AE846" s="5"/>
      <c r="AF846" s="8"/>
      <c r="AG846" s="5" t="str">
        <f t="array" ref="AG846">IF('Ingest Template'!A846="Standard",(CONCATENATE(IF(ISBLANK('Ingest Template'!N846),"", 'Ingest Template'!N846&amp;"|DAR"),CHAR(10), IF(ISBLANK('Ingest Template'!O846),"", 'Ingest Template'!O846&amp;"|DAR"),CHAR(10), IF(ISBLANK('Ingest Template'!P846),"", 'Ingest Template'!P846&amp;"|DAR"))),(CONCATENATE(IF(ISBLANK('Ingest Template'!N846),"", 'Ingest Template'!N846&amp;"|Operations - Core Title"),CHAR(10), IF(ISBLANK('Ingest Template'!O846),"", 'Ingest Template'!O846&amp;"|Operations - Core Title"),CHAR(10), IF(ISBLANK('Ingest Template'!P846),"", 'Ingest Template'!P846&amp;"|Operations - Core Title"))))</f>
        <v>#|Operations - Core Title
</v>
      </c>
      <c r="AH846" s="5"/>
      <c r="AI846" s="5"/>
      <c r="AJ846" s="5"/>
      <c r="AK846" s="5"/>
      <c r="AL846" s="5"/>
    </row>
    <row r="847">
      <c r="A847" s="5"/>
      <c r="B847" s="5" t="str">
        <f>'Ingest Template'!B847&amp;IF('Ingest Template'!A847 = "Standard", " - DAR","")</f>
        <v/>
      </c>
      <c r="C847" s="6" t="str">
        <f>'Ingest Template'!C847</f>
        <v/>
      </c>
      <c r="D847" s="7" t="str">
        <f>'Ingest Template'!E847</f>
        <v/>
      </c>
      <c r="E847" s="5"/>
      <c r="F847" s="5"/>
      <c r="G847" s="5"/>
      <c r="H847" s="7"/>
      <c r="I847" s="5"/>
      <c r="J847" s="7" t="str">
        <f>'Ingest Template'!Q847</f>
        <v/>
      </c>
      <c r="K847" s="5" t="str">
        <f>'Ingest Template'!R847</f>
        <v/>
      </c>
      <c r="L847" s="8" t="s">
        <v>38</v>
      </c>
      <c r="M847" s="9"/>
      <c r="N847" s="5"/>
      <c r="O847" s="5"/>
      <c r="P847" s="5"/>
      <c r="Q847" s="5"/>
      <c r="R847" s="5" t="str">
        <f>'Ingest Template'!D847</f>
        <v/>
      </c>
      <c r="S847" s="5" t="str">
        <f>'Ingest Template'!G847</f>
        <v/>
      </c>
      <c r="T847" s="5" t="str">
        <f>'Ingest Template'!H847</f>
        <v/>
      </c>
      <c r="U847" s="5" t="str">
        <f>LOWER(SUBSTITUTE(SUBSTITUTE(SUBSTITUTE(SUBSTITUTE(SUBSTITUTE('Ingest Template'!I847,"https:",""),"www.",""),"/",""),"?hl=en",""),"instagram.com",""))</f>
        <v/>
      </c>
      <c r="V847" s="10" t="str">
        <f>'Ingest Template'!J847</f>
        <v/>
      </c>
      <c r="W847" s="10" t="str">
        <f>'Ingest Template'!K847</f>
        <v/>
      </c>
      <c r="X847" s="5"/>
      <c r="Y847" s="5" t="str">
        <f>SUBSTITUTE(SUBSTITUTE(SUBSTITUTE('Ingest Template'!L847,"http:",""),"https:",""),"/","")</f>
        <v/>
      </c>
      <c r="Z847" s="5" t="str">
        <f t="array" ref="Z847">IF('Ingest Template'!A847="Standard",(IF(ISBLANK('Ingest Template'!M847),"", 'Ingest Template'!M847&amp;"|DAR")),(IF(ISBLANK('Ingest Template'!M847),"", 'Ingest Template'!M847&amp;"|Operations - Core Title")))</f>
        <v/>
      </c>
      <c r="AA847" s="5"/>
      <c r="AB847" s="5" t="str">
        <f>'Ingest Template'!F847</f>
        <v/>
      </c>
      <c r="AC847" s="5"/>
      <c r="AD847" s="5"/>
      <c r="AE847" s="5"/>
      <c r="AF847" s="8"/>
      <c r="AG847" s="5" t="str">
        <f t="array" ref="AG847">IF('Ingest Template'!A847="Standard",(CONCATENATE(IF(ISBLANK('Ingest Template'!N847),"", 'Ingest Template'!N847&amp;"|DAR"),CHAR(10), IF(ISBLANK('Ingest Template'!O847),"", 'Ingest Template'!O847&amp;"|DAR"),CHAR(10), IF(ISBLANK('Ingest Template'!P847),"", 'Ingest Template'!P847&amp;"|DAR"))),(CONCATENATE(IF(ISBLANK('Ingest Template'!N847),"", 'Ingest Template'!N847&amp;"|Operations - Core Title"),CHAR(10), IF(ISBLANK('Ingest Template'!O847),"", 'Ingest Template'!O847&amp;"|Operations - Core Title"),CHAR(10), IF(ISBLANK('Ingest Template'!P847),"", 'Ingest Template'!P847&amp;"|Operations - Core Title"))))</f>
        <v>#|Operations - Core Title
</v>
      </c>
      <c r="AH847" s="5"/>
      <c r="AI847" s="5"/>
      <c r="AJ847" s="5"/>
      <c r="AK847" s="5"/>
      <c r="AL847" s="5"/>
    </row>
    <row r="848">
      <c r="A848" s="5"/>
      <c r="B848" s="5" t="str">
        <f>'Ingest Template'!B848&amp;IF('Ingest Template'!A848 = "Standard", " - DAR","")</f>
        <v/>
      </c>
      <c r="C848" s="6" t="str">
        <f>'Ingest Template'!C848</f>
        <v/>
      </c>
      <c r="D848" s="7" t="str">
        <f>'Ingest Template'!E848</f>
        <v/>
      </c>
      <c r="E848" s="5"/>
      <c r="F848" s="5"/>
      <c r="G848" s="5"/>
      <c r="H848" s="7"/>
      <c r="I848" s="5"/>
      <c r="J848" s="7" t="str">
        <f>'Ingest Template'!Q848</f>
        <v/>
      </c>
      <c r="K848" s="5" t="str">
        <f>'Ingest Template'!R848</f>
        <v/>
      </c>
      <c r="L848" s="8" t="s">
        <v>38</v>
      </c>
      <c r="M848" s="9"/>
      <c r="N848" s="5"/>
      <c r="O848" s="5"/>
      <c r="P848" s="5"/>
      <c r="Q848" s="5"/>
      <c r="R848" s="5" t="str">
        <f>'Ingest Template'!D848</f>
        <v/>
      </c>
      <c r="S848" s="5" t="str">
        <f>'Ingest Template'!G848</f>
        <v/>
      </c>
      <c r="T848" s="5" t="str">
        <f>'Ingest Template'!H848</f>
        <v/>
      </c>
      <c r="U848" s="5" t="str">
        <f>LOWER(SUBSTITUTE(SUBSTITUTE(SUBSTITUTE(SUBSTITUTE(SUBSTITUTE('Ingest Template'!I848,"https:",""),"www.",""),"/",""),"?hl=en",""),"instagram.com",""))</f>
        <v/>
      </c>
      <c r="V848" s="10" t="str">
        <f>'Ingest Template'!J848</f>
        <v/>
      </c>
      <c r="W848" s="10" t="str">
        <f>'Ingest Template'!K848</f>
        <v/>
      </c>
      <c r="X848" s="5"/>
      <c r="Y848" s="5" t="str">
        <f>SUBSTITUTE(SUBSTITUTE(SUBSTITUTE('Ingest Template'!L848,"http:",""),"https:",""),"/","")</f>
        <v/>
      </c>
      <c r="Z848" s="5" t="str">
        <f t="array" ref="Z848">IF('Ingest Template'!A848="Standard",(IF(ISBLANK('Ingest Template'!M848),"", 'Ingest Template'!M848&amp;"|DAR")),(IF(ISBLANK('Ingest Template'!M848),"", 'Ingest Template'!M848&amp;"|Operations - Core Title")))</f>
        <v/>
      </c>
      <c r="AA848" s="5"/>
      <c r="AB848" s="5" t="str">
        <f>'Ingest Template'!F848</f>
        <v/>
      </c>
      <c r="AC848" s="5"/>
      <c r="AD848" s="5"/>
      <c r="AE848" s="5"/>
      <c r="AF848" s="8"/>
      <c r="AG848" s="5" t="str">
        <f t="array" ref="AG848">IF('Ingest Template'!A848="Standard",(CONCATENATE(IF(ISBLANK('Ingest Template'!N848),"", 'Ingest Template'!N848&amp;"|DAR"),CHAR(10), IF(ISBLANK('Ingest Template'!O848),"", 'Ingest Template'!O848&amp;"|DAR"),CHAR(10), IF(ISBLANK('Ingest Template'!P848),"", 'Ingest Template'!P848&amp;"|DAR"))),(CONCATENATE(IF(ISBLANK('Ingest Template'!N848),"", 'Ingest Template'!N848&amp;"|Operations - Core Title"),CHAR(10), IF(ISBLANK('Ingest Template'!O848),"", 'Ingest Template'!O848&amp;"|Operations - Core Title"),CHAR(10), IF(ISBLANK('Ingest Template'!P848),"", 'Ingest Template'!P848&amp;"|Operations - Core Title"))))</f>
        <v>#|Operations - Core Title
</v>
      </c>
      <c r="AH848" s="5"/>
      <c r="AI848" s="5"/>
      <c r="AJ848" s="5"/>
      <c r="AK848" s="5"/>
      <c r="AL848" s="5"/>
    </row>
    <row r="849">
      <c r="A849" s="5"/>
      <c r="B849" s="5" t="str">
        <f>'Ingest Template'!B849&amp;IF('Ingest Template'!A849 = "Standard", " - DAR","")</f>
        <v/>
      </c>
      <c r="C849" s="6" t="str">
        <f>'Ingest Template'!C849</f>
        <v/>
      </c>
      <c r="D849" s="7" t="str">
        <f>'Ingest Template'!E849</f>
        <v/>
      </c>
      <c r="E849" s="5"/>
      <c r="F849" s="5"/>
      <c r="G849" s="5"/>
      <c r="H849" s="7"/>
      <c r="I849" s="5"/>
      <c r="J849" s="7" t="str">
        <f>'Ingest Template'!Q849</f>
        <v/>
      </c>
      <c r="K849" s="5" t="str">
        <f>'Ingest Template'!R849</f>
        <v/>
      </c>
      <c r="L849" s="8" t="s">
        <v>38</v>
      </c>
      <c r="M849" s="9"/>
      <c r="N849" s="5"/>
      <c r="O849" s="5"/>
      <c r="P849" s="5"/>
      <c r="Q849" s="5"/>
      <c r="R849" s="5" t="str">
        <f>'Ingest Template'!D849</f>
        <v/>
      </c>
      <c r="S849" s="5" t="str">
        <f>'Ingest Template'!G849</f>
        <v/>
      </c>
      <c r="T849" s="5" t="str">
        <f>'Ingest Template'!H849</f>
        <v/>
      </c>
      <c r="U849" s="5" t="str">
        <f>LOWER(SUBSTITUTE(SUBSTITUTE(SUBSTITUTE(SUBSTITUTE(SUBSTITUTE('Ingest Template'!I849,"https:",""),"www.",""),"/",""),"?hl=en",""),"instagram.com",""))</f>
        <v/>
      </c>
      <c r="V849" s="10" t="str">
        <f>'Ingest Template'!J849</f>
        <v/>
      </c>
      <c r="W849" s="10" t="str">
        <f>'Ingest Template'!K849</f>
        <v/>
      </c>
      <c r="X849" s="5"/>
      <c r="Y849" s="5" t="str">
        <f>SUBSTITUTE(SUBSTITUTE(SUBSTITUTE('Ingest Template'!L849,"http:",""),"https:",""),"/","")</f>
        <v/>
      </c>
      <c r="Z849" s="5" t="str">
        <f t="array" ref="Z849">IF('Ingest Template'!A849="Standard",(IF(ISBLANK('Ingest Template'!M849),"", 'Ingest Template'!M849&amp;"|DAR")),(IF(ISBLANK('Ingest Template'!M849),"", 'Ingest Template'!M849&amp;"|Operations - Core Title")))</f>
        <v/>
      </c>
      <c r="AA849" s="5"/>
      <c r="AB849" s="5" t="str">
        <f>'Ingest Template'!F849</f>
        <v/>
      </c>
      <c r="AC849" s="5"/>
      <c r="AD849" s="5"/>
      <c r="AE849" s="5"/>
      <c r="AF849" s="8"/>
      <c r="AG849" s="5" t="str">
        <f t="array" ref="AG849">IF('Ingest Template'!A849="Standard",(CONCATENATE(IF(ISBLANK('Ingest Template'!N849),"", 'Ingest Template'!N849&amp;"|DAR"),CHAR(10), IF(ISBLANK('Ingest Template'!O849),"", 'Ingest Template'!O849&amp;"|DAR"),CHAR(10), IF(ISBLANK('Ingest Template'!P849),"", 'Ingest Template'!P849&amp;"|DAR"))),(CONCATENATE(IF(ISBLANK('Ingest Template'!N849),"", 'Ingest Template'!N849&amp;"|Operations - Core Title"),CHAR(10), IF(ISBLANK('Ingest Template'!O849),"", 'Ingest Template'!O849&amp;"|Operations - Core Title"),CHAR(10), IF(ISBLANK('Ingest Template'!P849),"", 'Ingest Template'!P849&amp;"|Operations - Core Title"))))</f>
        <v>#|Operations - Core Title
</v>
      </c>
      <c r="AH849" s="5"/>
      <c r="AI849" s="5"/>
      <c r="AJ849" s="5"/>
      <c r="AK849" s="5"/>
      <c r="AL849" s="5"/>
    </row>
    <row r="850">
      <c r="A850" s="5"/>
      <c r="B850" s="5" t="str">
        <f>'Ingest Template'!B850&amp;IF('Ingest Template'!A850 = "Standard", " - DAR","")</f>
        <v/>
      </c>
      <c r="C850" s="6" t="str">
        <f>'Ingest Template'!C850</f>
        <v/>
      </c>
      <c r="D850" s="7" t="str">
        <f>'Ingest Template'!E850</f>
        <v/>
      </c>
      <c r="E850" s="5"/>
      <c r="F850" s="5"/>
      <c r="G850" s="5"/>
      <c r="H850" s="7"/>
      <c r="I850" s="5"/>
      <c r="J850" s="7" t="str">
        <f>'Ingest Template'!Q850</f>
        <v/>
      </c>
      <c r="K850" s="5" t="str">
        <f>'Ingest Template'!R850</f>
        <v/>
      </c>
      <c r="L850" s="8" t="s">
        <v>38</v>
      </c>
      <c r="M850" s="9"/>
      <c r="N850" s="5"/>
      <c r="O850" s="5"/>
      <c r="P850" s="5"/>
      <c r="Q850" s="5"/>
      <c r="R850" s="5" t="str">
        <f>'Ingest Template'!D850</f>
        <v/>
      </c>
      <c r="S850" s="5" t="str">
        <f>'Ingest Template'!G850</f>
        <v/>
      </c>
      <c r="T850" s="5" t="str">
        <f>'Ingest Template'!H850</f>
        <v/>
      </c>
      <c r="U850" s="5" t="str">
        <f>LOWER(SUBSTITUTE(SUBSTITUTE(SUBSTITUTE(SUBSTITUTE(SUBSTITUTE('Ingest Template'!I850,"https:",""),"www.",""),"/",""),"?hl=en",""),"instagram.com",""))</f>
        <v/>
      </c>
      <c r="V850" s="10" t="str">
        <f>'Ingest Template'!J850</f>
        <v/>
      </c>
      <c r="W850" s="10" t="str">
        <f>'Ingest Template'!K850</f>
        <v/>
      </c>
      <c r="X850" s="5"/>
      <c r="Y850" s="5" t="str">
        <f>SUBSTITUTE(SUBSTITUTE(SUBSTITUTE('Ingest Template'!L850,"http:",""),"https:",""),"/","")</f>
        <v/>
      </c>
      <c r="Z850" s="5" t="str">
        <f t="array" ref="Z850">IF('Ingest Template'!A850="Standard",(IF(ISBLANK('Ingest Template'!M850),"", 'Ingest Template'!M850&amp;"|DAR")),(IF(ISBLANK('Ingest Template'!M850),"", 'Ingest Template'!M850&amp;"|Operations - Core Title")))</f>
        <v/>
      </c>
      <c r="AA850" s="5"/>
      <c r="AB850" s="5" t="str">
        <f>'Ingest Template'!F850</f>
        <v/>
      </c>
      <c r="AC850" s="5"/>
      <c r="AD850" s="5"/>
      <c r="AE850" s="5"/>
      <c r="AF850" s="8"/>
      <c r="AG850" s="5" t="str">
        <f t="array" ref="AG850">IF('Ingest Template'!A850="Standard",(CONCATENATE(IF(ISBLANK('Ingest Template'!N850),"", 'Ingest Template'!N850&amp;"|DAR"),CHAR(10), IF(ISBLANK('Ingest Template'!O850),"", 'Ingest Template'!O850&amp;"|DAR"),CHAR(10), IF(ISBLANK('Ingest Template'!P850),"", 'Ingest Template'!P850&amp;"|DAR"))),(CONCATENATE(IF(ISBLANK('Ingest Template'!N850),"", 'Ingest Template'!N850&amp;"|Operations - Core Title"),CHAR(10), IF(ISBLANK('Ingest Template'!O850),"", 'Ingest Template'!O850&amp;"|Operations - Core Title"),CHAR(10), IF(ISBLANK('Ingest Template'!P850),"", 'Ingest Template'!P850&amp;"|Operations - Core Title"))))</f>
        <v>#|Operations - Core Title
</v>
      </c>
      <c r="AH850" s="5"/>
      <c r="AI850" s="5"/>
      <c r="AJ850" s="5"/>
      <c r="AK850" s="5"/>
      <c r="AL850" s="5"/>
    </row>
    <row r="851">
      <c r="A851" s="5"/>
      <c r="B851" s="5" t="str">
        <f>'Ingest Template'!B851&amp;IF('Ingest Template'!A851 = "Standard", " - DAR","")</f>
        <v/>
      </c>
      <c r="C851" s="6" t="str">
        <f>'Ingest Template'!C851</f>
        <v/>
      </c>
      <c r="D851" s="7" t="str">
        <f>'Ingest Template'!E851</f>
        <v/>
      </c>
      <c r="E851" s="5"/>
      <c r="F851" s="5"/>
      <c r="G851" s="5"/>
      <c r="H851" s="7"/>
      <c r="I851" s="5"/>
      <c r="J851" s="7" t="str">
        <f>'Ingest Template'!Q851</f>
        <v/>
      </c>
      <c r="K851" s="5" t="str">
        <f>'Ingest Template'!R851</f>
        <v/>
      </c>
      <c r="L851" s="8" t="s">
        <v>38</v>
      </c>
      <c r="M851" s="9"/>
      <c r="N851" s="5"/>
      <c r="O851" s="5"/>
      <c r="P851" s="5"/>
      <c r="Q851" s="5"/>
      <c r="R851" s="5" t="str">
        <f>'Ingest Template'!D851</f>
        <v/>
      </c>
      <c r="S851" s="5" t="str">
        <f>'Ingest Template'!G851</f>
        <v/>
      </c>
      <c r="T851" s="5" t="str">
        <f>'Ingest Template'!H851</f>
        <v/>
      </c>
      <c r="U851" s="5" t="str">
        <f>LOWER(SUBSTITUTE(SUBSTITUTE(SUBSTITUTE(SUBSTITUTE(SUBSTITUTE('Ingest Template'!I851,"https:",""),"www.",""),"/",""),"?hl=en",""),"instagram.com",""))</f>
        <v/>
      </c>
      <c r="V851" s="10" t="str">
        <f>'Ingest Template'!J851</f>
        <v/>
      </c>
      <c r="W851" s="10" t="str">
        <f>'Ingest Template'!K851</f>
        <v/>
      </c>
      <c r="X851" s="5"/>
      <c r="Y851" s="5" t="str">
        <f>SUBSTITUTE(SUBSTITUTE(SUBSTITUTE('Ingest Template'!L851,"http:",""),"https:",""),"/","")</f>
        <v/>
      </c>
      <c r="Z851" s="5" t="str">
        <f t="array" ref="Z851">IF('Ingest Template'!A851="Standard",(IF(ISBLANK('Ingest Template'!M851),"", 'Ingest Template'!M851&amp;"|DAR")),(IF(ISBLANK('Ingest Template'!M851),"", 'Ingest Template'!M851&amp;"|Operations - Core Title")))</f>
        <v/>
      </c>
      <c r="AA851" s="5"/>
      <c r="AB851" s="5" t="str">
        <f>'Ingest Template'!F851</f>
        <v/>
      </c>
      <c r="AC851" s="5"/>
      <c r="AD851" s="5"/>
      <c r="AE851" s="5"/>
      <c r="AF851" s="8"/>
      <c r="AG851" s="5" t="str">
        <f t="array" ref="AG851">IF('Ingest Template'!A851="Standard",(CONCATENATE(IF(ISBLANK('Ingest Template'!N851),"", 'Ingest Template'!N851&amp;"|DAR"),CHAR(10), IF(ISBLANK('Ingest Template'!O851),"", 'Ingest Template'!O851&amp;"|DAR"),CHAR(10), IF(ISBLANK('Ingest Template'!P851),"", 'Ingest Template'!P851&amp;"|DAR"))),(CONCATENATE(IF(ISBLANK('Ingest Template'!N851),"", 'Ingest Template'!N851&amp;"|Operations - Core Title"),CHAR(10), IF(ISBLANK('Ingest Template'!O851),"", 'Ingest Template'!O851&amp;"|Operations - Core Title"),CHAR(10), IF(ISBLANK('Ingest Template'!P851),"", 'Ingest Template'!P851&amp;"|Operations - Core Title"))))</f>
        <v>#|Operations - Core Title
</v>
      </c>
      <c r="AH851" s="5"/>
      <c r="AI851" s="5"/>
      <c r="AJ851" s="5"/>
      <c r="AK851" s="5"/>
      <c r="AL851" s="5"/>
    </row>
    <row r="852">
      <c r="A852" s="5"/>
      <c r="B852" s="5" t="str">
        <f>'Ingest Template'!B852&amp;IF('Ingest Template'!A852 = "Standard", " - DAR","")</f>
        <v/>
      </c>
      <c r="C852" s="6" t="str">
        <f>'Ingest Template'!C852</f>
        <v/>
      </c>
      <c r="D852" s="7" t="str">
        <f>'Ingest Template'!E852</f>
        <v/>
      </c>
      <c r="E852" s="5"/>
      <c r="F852" s="5"/>
      <c r="G852" s="5"/>
      <c r="H852" s="7"/>
      <c r="I852" s="5"/>
      <c r="J852" s="7" t="str">
        <f>'Ingest Template'!Q852</f>
        <v/>
      </c>
      <c r="K852" s="5" t="str">
        <f>'Ingest Template'!R852</f>
        <v/>
      </c>
      <c r="L852" s="8" t="s">
        <v>38</v>
      </c>
      <c r="M852" s="9"/>
      <c r="N852" s="5"/>
      <c r="O852" s="5"/>
      <c r="P852" s="5"/>
      <c r="Q852" s="5"/>
      <c r="R852" s="5" t="str">
        <f>'Ingest Template'!D852</f>
        <v/>
      </c>
      <c r="S852" s="5" t="str">
        <f>'Ingest Template'!G852</f>
        <v/>
      </c>
      <c r="T852" s="5" t="str">
        <f>'Ingest Template'!H852</f>
        <v/>
      </c>
      <c r="U852" s="5" t="str">
        <f>LOWER(SUBSTITUTE(SUBSTITUTE(SUBSTITUTE(SUBSTITUTE(SUBSTITUTE('Ingest Template'!I852,"https:",""),"www.",""),"/",""),"?hl=en",""),"instagram.com",""))</f>
        <v/>
      </c>
      <c r="V852" s="10" t="str">
        <f>'Ingest Template'!J852</f>
        <v/>
      </c>
      <c r="W852" s="10" t="str">
        <f>'Ingest Template'!K852</f>
        <v/>
      </c>
      <c r="X852" s="5"/>
      <c r="Y852" s="5" t="str">
        <f>SUBSTITUTE(SUBSTITUTE(SUBSTITUTE('Ingest Template'!L852,"http:",""),"https:",""),"/","")</f>
        <v/>
      </c>
      <c r="Z852" s="5" t="str">
        <f t="array" ref="Z852">IF('Ingest Template'!A852="Standard",(IF(ISBLANK('Ingest Template'!M852),"", 'Ingest Template'!M852&amp;"|DAR")),(IF(ISBLANK('Ingest Template'!M852),"", 'Ingest Template'!M852&amp;"|Operations - Core Title")))</f>
        <v/>
      </c>
      <c r="AA852" s="5"/>
      <c r="AB852" s="5" t="str">
        <f>'Ingest Template'!F852</f>
        <v/>
      </c>
      <c r="AC852" s="5"/>
      <c r="AD852" s="5"/>
      <c r="AE852" s="5"/>
      <c r="AF852" s="8"/>
      <c r="AG852" s="5" t="str">
        <f t="array" ref="AG852">IF('Ingest Template'!A852="Standard",(CONCATENATE(IF(ISBLANK('Ingest Template'!N852),"", 'Ingest Template'!N852&amp;"|DAR"),CHAR(10), IF(ISBLANK('Ingest Template'!O852),"", 'Ingest Template'!O852&amp;"|DAR"),CHAR(10), IF(ISBLANK('Ingest Template'!P852),"", 'Ingest Template'!P852&amp;"|DAR"))),(CONCATENATE(IF(ISBLANK('Ingest Template'!N852),"", 'Ingest Template'!N852&amp;"|Operations - Core Title"),CHAR(10), IF(ISBLANK('Ingest Template'!O852),"", 'Ingest Template'!O852&amp;"|Operations - Core Title"),CHAR(10), IF(ISBLANK('Ingest Template'!P852),"", 'Ingest Template'!P852&amp;"|Operations - Core Title"))))</f>
        <v>#|Operations - Core Title
</v>
      </c>
      <c r="AH852" s="5"/>
      <c r="AI852" s="5"/>
      <c r="AJ852" s="5"/>
      <c r="AK852" s="5"/>
      <c r="AL852" s="5"/>
    </row>
    <row r="853">
      <c r="A853" s="5"/>
      <c r="B853" s="5" t="str">
        <f>'Ingest Template'!B853&amp;IF('Ingest Template'!A853 = "Standard", " - DAR","")</f>
        <v/>
      </c>
      <c r="C853" s="6" t="str">
        <f>'Ingest Template'!C853</f>
        <v/>
      </c>
      <c r="D853" s="7" t="str">
        <f>'Ingest Template'!E853</f>
        <v/>
      </c>
      <c r="E853" s="5"/>
      <c r="F853" s="5"/>
      <c r="G853" s="5"/>
      <c r="H853" s="7"/>
      <c r="I853" s="5"/>
      <c r="J853" s="7" t="str">
        <f>'Ingest Template'!Q853</f>
        <v/>
      </c>
      <c r="K853" s="5" t="str">
        <f>'Ingest Template'!R853</f>
        <v/>
      </c>
      <c r="L853" s="8" t="s">
        <v>38</v>
      </c>
      <c r="M853" s="9"/>
      <c r="N853" s="5"/>
      <c r="O853" s="5"/>
      <c r="P853" s="5"/>
      <c r="Q853" s="5"/>
      <c r="R853" s="5" t="str">
        <f>'Ingest Template'!D853</f>
        <v/>
      </c>
      <c r="S853" s="5" t="str">
        <f>'Ingest Template'!G853</f>
        <v/>
      </c>
      <c r="T853" s="5" t="str">
        <f>'Ingest Template'!H853</f>
        <v/>
      </c>
      <c r="U853" s="5" t="str">
        <f>LOWER(SUBSTITUTE(SUBSTITUTE(SUBSTITUTE(SUBSTITUTE(SUBSTITUTE('Ingest Template'!I853,"https:",""),"www.",""),"/",""),"?hl=en",""),"instagram.com",""))</f>
        <v/>
      </c>
      <c r="V853" s="10" t="str">
        <f>'Ingest Template'!J853</f>
        <v/>
      </c>
      <c r="W853" s="10" t="str">
        <f>'Ingest Template'!K853</f>
        <v/>
      </c>
      <c r="X853" s="5"/>
      <c r="Y853" s="5" t="str">
        <f>SUBSTITUTE(SUBSTITUTE(SUBSTITUTE('Ingest Template'!L853,"http:",""),"https:",""),"/","")</f>
        <v/>
      </c>
      <c r="Z853" s="5" t="str">
        <f t="array" ref="Z853">IF('Ingest Template'!A853="Standard",(IF(ISBLANK('Ingest Template'!M853),"", 'Ingest Template'!M853&amp;"|DAR")),(IF(ISBLANK('Ingest Template'!M853),"", 'Ingest Template'!M853&amp;"|Operations - Core Title")))</f>
        <v/>
      </c>
      <c r="AA853" s="5"/>
      <c r="AB853" s="5" t="str">
        <f>'Ingest Template'!F853</f>
        <v/>
      </c>
      <c r="AC853" s="5"/>
      <c r="AD853" s="5"/>
      <c r="AE853" s="5"/>
      <c r="AF853" s="8"/>
      <c r="AG853" s="5" t="str">
        <f t="array" ref="AG853">IF('Ingest Template'!A853="Standard",(CONCATENATE(IF(ISBLANK('Ingest Template'!N853),"", 'Ingest Template'!N853&amp;"|DAR"),CHAR(10), IF(ISBLANK('Ingest Template'!O853),"", 'Ingest Template'!O853&amp;"|DAR"),CHAR(10), IF(ISBLANK('Ingest Template'!P853),"", 'Ingest Template'!P853&amp;"|DAR"))),(CONCATENATE(IF(ISBLANK('Ingest Template'!N853),"", 'Ingest Template'!N853&amp;"|Operations - Core Title"),CHAR(10), IF(ISBLANK('Ingest Template'!O853),"", 'Ingest Template'!O853&amp;"|Operations - Core Title"),CHAR(10), IF(ISBLANK('Ingest Template'!P853),"", 'Ingest Template'!P853&amp;"|Operations - Core Title"))))</f>
        <v>#|Operations - Core Title
</v>
      </c>
      <c r="AH853" s="5"/>
      <c r="AI853" s="5"/>
      <c r="AJ853" s="5"/>
      <c r="AK853" s="5"/>
      <c r="AL853" s="5"/>
    </row>
    <row r="854">
      <c r="A854" s="5"/>
      <c r="B854" s="5" t="str">
        <f>'Ingest Template'!B854&amp;IF('Ingest Template'!A854 = "Standard", " - DAR","")</f>
        <v/>
      </c>
      <c r="C854" s="6" t="str">
        <f>'Ingest Template'!C854</f>
        <v/>
      </c>
      <c r="D854" s="7" t="str">
        <f>'Ingest Template'!E854</f>
        <v/>
      </c>
      <c r="E854" s="5"/>
      <c r="F854" s="5"/>
      <c r="G854" s="5"/>
      <c r="H854" s="7"/>
      <c r="I854" s="5"/>
      <c r="J854" s="7" t="str">
        <f>'Ingest Template'!Q854</f>
        <v/>
      </c>
      <c r="K854" s="5" t="str">
        <f>'Ingest Template'!R854</f>
        <v/>
      </c>
      <c r="L854" s="8" t="s">
        <v>38</v>
      </c>
      <c r="M854" s="9"/>
      <c r="N854" s="5"/>
      <c r="O854" s="5"/>
      <c r="P854" s="5"/>
      <c r="Q854" s="5"/>
      <c r="R854" s="5" t="str">
        <f>'Ingest Template'!D854</f>
        <v/>
      </c>
      <c r="S854" s="5" t="str">
        <f>'Ingest Template'!G854</f>
        <v/>
      </c>
      <c r="T854" s="5" t="str">
        <f>'Ingest Template'!H854</f>
        <v/>
      </c>
      <c r="U854" s="5" t="str">
        <f>LOWER(SUBSTITUTE(SUBSTITUTE(SUBSTITUTE(SUBSTITUTE(SUBSTITUTE('Ingest Template'!I854,"https:",""),"www.",""),"/",""),"?hl=en",""),"instagram.com",""))</f>
        <v/>
      </c>
      <c r="V854" s="10" t="str">
        <f>'Ingest Template'!J854</f>
        <v/>
      </c>
      <c r="W854" s="10" t="str">
        <f>'Ingest Template'!K854</f>
        <v/>
      </c>
      <c r="X854" s="5"/>
      <c r="Y854" s="5" t="str">
        <f>SUBSTITUTE(SUBSTITUTE(SUBSTITUTE('Ingest Template'!L854,"http:",""),"https:",""),"/","")</f>
        <v/>
      </c>
      <c r="Z854" s="5" t="str">
        <f t="array" ref="Z854">IF('Ingest Template'!A854="Standard",(IF(ISBLANK('Ingest Template'!M854),"", 'Ingest Template'!M854&amp;"|DAR")),(IF(ISBLANK('Ingest Template'!M854),"", 'Ingest Template'!M854&amp;"|Operations - Core Title")))</f>
        <v/>
      </c>
      <c r="AA854" s="5"/>
      <c r="AB854" s="5" t="str">
        <f>'Ingest Template'!F854</f>
        <v/>
      </c>
      <c r="AC854" s="5"/>
      <c r="AD854" s="5"/>
      <c r="AE854" s="5"/>
      <c r="AF854" s="8"/>
      <c r="AG854" s="5" t="str">
        <f t="array" ref="AG854">IF('Ingest Template'!A854="Standard",(CONCATENATE(IF(ISBLANK('Ingest Template'!N854),"", 'Ingest Template'!N854&amp;"|DAR"),CHAR(10), IF(ISBLANK('Ingest Template'!O854),"", 'Ingest Template'!O854&amp;"|DAR"),CHAR(10), IF(ISBLANK('Ingest Template'!P854),"", 'Ingest Template'!P854&amp;"|DAR"))),(CONCATENATE(IF(ISBLANK('Ingest Template'!N854),"", 'Ingest Template'!N854&amp;"|Operations - Core Title"),CHAR(10), IF(ISBLANK('Ingest Template'!O854),"", 'Ingest Template'!O854&amp;"|Operations - Core Title"),CHAR(10), IF(ISBLANK('Ingest Template'!P854),"", 'Ingest Template'!P854&amp;"|Operations - Core Title"))))</f>
        <v>#|Operations - Core Title
</v>
      </c>
      <c r="AH854" s="5"/>
      <c r="AI854" s="5"/>
      <c r="AJ854" s="5"/>
      <c r="AK854" s="5"/>
      <c r="AL854" s="5"/>
    </row>
    <row r="855">
      <c r="A855" s="5"/>
      <c r="B855" s="5" t="str">
        <f>'Ingest Template'!B855&amp;IF('Ingest Template'!A855 = "Standard", " - DAR","")</f>
        <v/>
      </c>
      <c r="C855" s="6" t="str">
        <f>'Ingest Template'!C855</f>
        <v/>
      </c>
      <c r="D855" s="7" t="str">
        <f>'Ingest Template'!E855</f>
        <v/>
      </c>
      <c r="E855" s="5"/>
      <c r="F855" s="5"/>
      <c r="G855" s="5"/>
      <c r="H855" s="7"/>
      <c r="I855" s="5"/>
      <c r="J855" s="7" t="str">
        <f>'Ingest Template'!Q855</f>
        <v/>
      </c>
      <c r="K855" s="5" t="str">
        <f>'Ingest Template'!R855</f>
        <v/>
      </c>
      <c r="L855" s="8" t="s">
        <v>38</v>
      </c>
      <c r="M855" s="9"/>
      <c r="N855" s="5"/>
      <c r="O855" s="5"/>
      <c r="P855" s="5"/>
      <c r="Q855" s="5"/>
      <c r="R855" s="5" t="str">
        <f>'Ingest Template'!D855</f>
        <v/>
      </c>
      <c r="S855" s="5" t="str">
        <f>'Ingest Template'!G855</f>
        <v/>
      </c>
      <c r="T855" s="5" t="str">
        <f>'Ingest Template'!H855</f>
        <v/>
      </c>
      <c r="U855" s="5" t="str">
        <f>LOWER(SUBSTITUTE(SUBSTITUTE(SUBSTITUTE(SUBSTITUTE(SUBSTITUTE('Ingest Template'!I855,"https:",""),"www.",""),"/",""),"?hl=en",""),"instagram.com",""))</f>
        <v/>
      </c>
      <c r="V855" s="10" t="str">
        <f>'Ingest Template'!J855</f>
        <v/>
      </c>
      <c r="W855" s="10" t="str">
        <f>'Ingest Template'!K855</f>
        <v/>
      </c>
      <c r="X855" s="5"/>
      <c r="Y855" s="5" t="str">
        <f>SUBSTITUTE(SUBSTITUTE(SUBSTITUTE('Ingest Template'!L855,"http:",""),"https:",""),"/","")</f>
        <v/>
      </c>
      <c r="Z855" s="5" t="str">
        <f t="array" ref="Z855">IF('Ingest Template'!A855="Standard",(IF(ISBLANK('Ingest Template'!M855),"", 'Ingest Template'!M855&amp;"|DAR")),(IF(ISBLANK('Ingest Template'!M855),"", 'Ingest Template'!M855&amp;"|Operations - Core Title")))</f>
        <v/>
      </c>
      <c r="AA855" s="5"/>
      <c r="AB855" s="5" t="str">
        <f>'Ingest Template'!F855</f>
        <v/>
      </c>
      <c r="AC855" s="5"/>
      <c r="AD855" s="5"/>
      <c r="AE855" s="5"/>
      <c r="AF855" s="8"/>
      <c r="AG855" s="5" t="str">
        <f t="array" ref="AG855">IF('Ingest Template'!A855="Standard",(CONCATENATE(IF(ISBLANK('Ingest Template'!N855),"", 'Ingest Template'!N855&amp;"|DAR"),CHAR(10), IF(ISBLANK('Ingest Template'!O855),"", 'Ingest Template'!O855&amp;"|DAR"),CHAR(10), IF(ISBLANK('Ingest Template'!P855),"", 'Ingest Template'!P855&amp;"|DAR"))),(CONCATENATE(IF(ISBLANK('Ingest Template'!N855),"", 'Ingest Template'!N855&amp;"|Operations - Core Title"),CHAR(10), IF(ISBLANK('Ingest Template'!O855),"", 'Ingest Template'!O855&amp;"|Operations - Core Title"),CHAR(10), IF(ISBLANK('Ingest Template'!P855),"", 'Ingest Template'!P855&amp;"|Operations - Core Title"))))</f>
        <v>#|Operations - Core Title
</v>
      </c>
      <c r="AH855" s="5"/>
      <c r="AI855" s="5"/>
      <c r="AJ855" s="5"/>
      <c r="AK855" s="5"/>
      <c r="AL855" s="5"/>
    </row>
    <row r="856">
      <c r="A856" s="5"/>
      <c r="B856" s="5" t="str">
        <f>'Ingest Template'!B856&amp;IF('Ingest Template'!A856 = "Standard", " - DAR","")</f>
        <v/>
      </c>
      <c r="C856" s="6" t="str">
        <f>'Ingest Template'!C856</f>
        <v/>
      </c>
      <c r="D856" s="7" t="str">
        <f>'Ingest Template'!E856</f>
        <v/>
      </c>
      <c r="E856" s="5"/>
      <c r="F856" s="5"/>
      <c r="G856" s="5"/>
      <c r="H856" s="7"/>
      <c r="I856" s="5"/>
      <c r="J856" s="7" t="str">
        <f>'Ingest Template'!Q856</f>
        <v/>
      </c>
      <c r="K856" s="5" t="str">
        <f>'Ingest Template'!R856</f>
        <v/>
      </c>
      <c r="L856" s="8" t="s">
        <v>38</v>
      </c>
      <c r="M856" s="9"/>
      <c r="N856" s="5"/>
      <c r="O856" s="5"/>
      <c r="P856" s="5"/>
      <c r="Q856" s="5"/>
      <c r="R856" s="5" t="str">
        <f>'Ingest Template'!D856</f>
        <v/>
      </c>
      <c r="S856" s="5" t="str">
        <f>'Ingest Template'!G856</f>
        <v/>
      </c>
      <c r="T856" s="5" t="str">
        <f>'Ingest Template'!H856</f>
        <v/>
      </c>
      <c r="U856" s="5" t="str">
        <f>LOWER(SUBSTITUTE(SUBSTITUTE(SUBSTITUTE(SUBSTITUTE(SUBSTITUTE('Ingest Template'!I856,"https:",""),"www.",""),"/",""),"?hl=en",""),"instagram.com",""))</f>
        <v/>
      </c>
      <c r="V856" s="10" t="str">
        <f>'Ingest Template'!J856</f>
        <v/>
      </c>
      <c r="W856" s="10" t="str">
        <f>'Ingest Template'!K856</f>
        <v/>
      </c>
      <c r="X856" s="5"/>
      <c r="Y856" s="5" t="str">
        <f>SUBSTITUTE(SUBSTITUTE(SUBSTITUTE('Ingest Template'!L856,"http:",""),"https:",""),"/","")</f>
        <v/>
      </c>
      <c r="Z856" s="5" t="str">
        <f t="array" ref="Z856">IF('Ingest Template'!A856="Standard",(IF(ISBLANK('Ingest Template'!M856),"", 'Ingest Template'!M856&amp;"|DAR")),(IF(ISBLANK('Ingest Template'!M856),"", 'Ingest Template'!M856&amp;"|Operations - Core Title")))</f>
        <v/>
      </c>
      <c r="AA856" s="5"/>
      <c r="AB856" s="5" t="str">
        <f>'Ingest Template'!F856</f>
        <v/>
      </c>
      <c r="AC856" s="5"/>
      <c r="AD856" s="5"/>
      <c r="AE856" s="5"/>
      <c r="AF856" s="8"/>
      <c r="AG856" s="5" t="str">
        <f t="array" ref="AG856">IF('Ingest Template'!A856="Standard",(CONCATENATE(IF(ISBLANK('Ingest Template'!N856),"", 'Ingest Template'!N856&amp;"|DAR"),CHAR(10), IF(ISBLANK('Ingest Template'!O856),"", 'Ingest Template'!O856&amp;"|DAR"),CHAR(10), IF(ISBLANK('Ingest Template'!P856),"", 'Ingest Template'!P856&amp;"|DAR"))),(CONCATENATE(IF(ISBLANK('Ingest Template'!N856),"", 'Ingest Template'!N856&amp;"|Operations - Core Title"),CHAR(10), IF(ISBLANK('Ingest Template'!O856),"", 'Ingest Template'!O856&amp;"|Operations - Core Title"),CHAR(10), IF(ISBLANK('Ingest Template'!P856),"", 'Ingest Template'!P856&amp;"|Operations - Core Title"))))</f>
        <v>#|Operations - Core Title
</v>
      </c>
      <c r="AH856" s="5"/>
      <c r="AI856" s="5"/>
      <c r="AJ856" s="5"/>
      <c r="AK856" s="5"/>
      <c r="AL856" s="5"/>
    </row>
    <row r="857">
      <c r="A857" s="5"/>
      <c r="B857" s="5" t="str">
        <f>'Ingest Template'!B857&amp;IF('Ingest Template'!A857 = "Standard", " - DAR","")</f>
        <v/>
      </c>
      <c r="C857" s="6" t="str">
        <f>'Ingest Template'!C857</f>
        <v/>
      </c>
      <c r="D857" s="7" t="str">
        <f>'Ingest Template'!E857</f>
        <v/>
      </c>
      <c r="E857" s="5"/>
      <c r="F857" s="5"/>
      <c r="G857" s="5"/>
      <c r="H857" s="7"/>
      <c r="I857" s="5"/>
      <c r="J857" s="7" t="str">
        <f>'Ingest Template'!Q857</f>
        <v/>
      </c>
      <c r="K857" s="5" t="str">
        <f>'Ingest Template'!R857</f>
        <v/>
      </c>
      <c r="L857" s="8" t="s">
        <v>38</v>
      </c>
      <c r="M857" s="9"/>
      <c r="N857" s="5"/>
      <c r="O857" s="5"/>
      <c r="P857" s="5"/>
      <c r="Q857" s="5"/>
      <c r="R857" s="5" t="str">
        <f>'Ingest Template'!D857</f>
        <v/>
      </c>
      <c r="S857" s="5" t="str">
        <f>'Ingest Template'!G857</f>
        <v/>
      </c>
      <c r="T857" s="5" t="str">
        <f>'Ingest Template'!H857</f>
        <v/>
      </c>
      <c r="U857" s="5" t="str">
        <f>LOWER(SUBSTITUTE(SUBSTITUTE(SUBSTITUTE(SUBSTITUTE(SUBSTITUTE('Ingest Template'!I857,"https:",""),"www.",""),"/",""),"?hl=en",""),"instagram.com",""))</f>
        <v/>
      </c>
      <c r="V857" s="10" t="str">
        <f>'Ingest Template'!J857</f>
        <v/>
      </c>
      <c r="W857" s="10" t="str">
        <f>'Ingest Template'!K857</f>
        <v/>
      </c>
      <c r="X857" s="5"/>
      <c r="Y857" s="5" t="str">
        <f>SUBSTITUTE(SUBSTITUTE(SUBSTITUTE('Ingest Template'!L857,"http:",""),"https:",""),"/","")</f>
        <v/>
      </c>
      <c r="Z857" s="5" t="str">
        <f t="array" ref="Z857">IF('Ingest Template'!A857="Standard",(IF(ISBLANK('Ingest Template'!M857),"", 'Ingest Template'!M857&amp;"|DAR")),(IF(ISBLANK('Ingest Template'!M857),"", 'Ingest Template'!M857&amp;"|Operations - Core Title")))</f>
        <v/>
      </c>
      <c r="AA857" s="5"/>
      <c r="AB857" s="5" t="str">
        <f>'Ingest Template'!F857</f>
        <v/>
      </c>
      <c r="AC857" s="5"/>
      <c r="AD857" s="5"/>
      <c r="AE857" s="5"/>
      <c r="AF857" s="8"/>
      <c r="AG857" s="5" t="str">
        <f t="array" ref="AG857">IF('Ingest Template'!A857="Standard",(CONCATENATE(IF(ISBLANK('Ingest Template'!N857),"", 'Ingest Template'!N857&amp;"|DAR"),CHAR(10), IF(ISBLANK('Ingest Template'!O857),"", 'Ingest Template'!O857&amp;"|DAR"),CHAR(10), IF(ISBLANK('Ingest Template'!P857),"", 'Ingest Template'!P857&amp;"|DAR"))),(CONCATENATE(IF(ISBLANK('Ingest Template'!N857),"", 'Ingest Template'!N857&amp;"|Operations - Core Title"),CHAR(10), IF(ISBLANK('Ingest Template'!O857),"", 'Ingest Template'!O857&amp;"|Operations - Core Title"),CHAR(10), IF(ISBLANK('Ingest Template'!P857),"", 'Ingest Template'!P857&amp;"|Operations - Core Title"))))</f>
        <v>#|Operations - Core Title
</v>
      </c>
      <c r="AH857" s="5"/>
      <c r="AI857" s="5"/>
      <c r="AJ857" s="5"/>
      <c r="AK857" s="5"/>
      <c r="AL857" s="5"/>
    </row>
    <row r="858">
      <c r="A858" s="5"/>
      <c r="B858" s="5" t="str">
        <f>'Ingest Template'!B858&amp;IF('Ingest Template'!A858 = "Standard", " - DAR","")</f>
        <v/>
      </c>
      <c r="C858" s="6" t="str">
        <f>'Ingest Template'!C858</f>
        <v/>
      </c>
      <c r="D858" s="7" t="str">
        <f>'Ingest Template'!E858</f>
        <v/>
      </c>
      <c r="E858" s="5"/>
      <c r="F858" s="5"/>
      <c r="G858" s="5"/>
      <c r="H858" s="7"/>
      <c r="I858" s="5"/>
      <c r="J858" s="7" t="str">
        <f>'Ingest Template'!Q858</f>
        <v/>
      </c>
      <c r="K858" s="5" t="str">
        <f>'Ingest Template'!R858</f>
        <v/>
      </c>
      <c r="L858" s="8" t="s">
        <v>38</v>
      </c>
      <c r="M858" s="9"/>
      <c r="N858" s="5"/>
      <c r="O858" s="5"/>
      <c r="P858" s="5"/>
      <c r="Q858" s="5"/>
      <c r="R858" s="5" t="str">
        <f>'Ingest Template'!D858</f>
        <v/>
      </c>
      <c r="S858" s="5" t="str">
        <f>'Ingest Template'!G858</f>
        <v/>
      </c>
      <c r="T858" s="5" t="str">
        <f>'Ingest Template'!H858</f>
        <v/>
      </c>
      <c r="U858" s="5" t="str">
        <f>LOWER(SUBSTITUTE(SUBSTITUTE(SUBSTITUTE(SUBSTITUTE(SUBSTITUTE('Ingest Template'!I858,"https:",""),"www.",""),"/",""),"?hl=en",""),"instagram.com",""))</f>
        <v/>
      </c>
      <c r="V858" s="10" t="str">
        <f>'Ingest Template'!J858</f>
        <v/>
      </c>
      <c r="W858" s="10" t="str">
        <f>'Ingest Template'!K858</f>
        <v/>
      </c>
      <c r="X858" s="5"/>
      <c r="Y858" s="5" t="str">
        <f>SUBSTITUTE(SUBSTITUTE(SUBSTITUTE('Ingest Template'!L858,"http:",""),"https:",""),"/","")</f>
        <v/>
      </c>
      <c r="Z858" s="5" t="str">
        <f t="array" ref="Z858">IF('Ingest Template'!A858="Standard",(IF(ISBLANK('Ingest Template'!M858),"", 'Ingest Template'!M858&amp;"|DAR")),(IF(ISBLANK('Ingest Template'!M858),"", 'Ingest Template'!M858&amp;"|Operations - Core Title")))</f>
        <v/>
      </c>
      <c r="AA858" s="5"/>
      <c r="AB858" s="5" t="str">
        <f>'Ingest Template'!F858</f>
        <v/>
      </c>
      <c r="AC858" s="5"/>
      <c r="AD858" s="5"/>
      <c r="AE858" s="5"/>
      <c r="AF858" s="8"/>
      <c r="AG858" s="5" t="str">
        <f t="array" ref="AG858">IF('Ingest Template'!A858="Standard",(CONCATENATE(IF(ISBLANK('Ingest Template'!N858),"", 'Ingest Template'!N858&amp;"|DAR"),CHAR(10), IF(ISBLANK('Ingest Template'!O858),"", 'Ingest Template'!O858&amp;"|DAR"),CHAR(10), IF(ISBLANK('Ingest Template'!P858),"", 'Ingest Template'!P858&amp;"|DAR"))),(CONCATENATE(IF(ISBLANK('Ingest Template'!N858),"", 'Ingest Template'!N858&amp;"|Operations - Core Title"),CHAR(10), IF(ISBLANK('Ingest Template'!O858),"", 'Ingest Template'!O858&amp;"|Operations - Core Title"),CHAR(10), IF(ISBLANK('Ingest Template'!P858),"", 'Ingest Template'!P858&amp;"|Operations - Core Title"))))</f>
        <v>#|Operations - Core Title
</v>
      </c>
      <c r="AH858" s="5"/>
      <c r="AI858" s="5"/>
      <c r="AJ858" s="5"/>
      <c r="AK858" s="5"/>
      <c r="AL858" s="5"/>
    </row>
    <row r="859">
      <c r="A859" s="5"/>
      <c r="B859" s="5" t="str">
        <f>'Ingest Template'!B859&amp;IF('Ingest Template'!A859 = "Standard", " - DAR","")</f>
        <v/>
      </c>
      <c r="C859" s="6" t="str">
        <f>'Ingest Template'!C859</f>
        <v/>
      </c>
      <c r="D859" s="7" t="str">
        <f>'Ingest Template'!E859</f>
        <v/>
      </c>
      <c r="E859" s="5"/>
      <c r="F859" s="5"/>
      <c r="G859" s="5"/>
      <c r="H859" s="7"/>
      <c r="I859" s="5"/>
      <c r="J859" s="7" t="str">
        <f>'Ingest Template'!Q859</f>
        <v/>
      </c>
      <c r="K859" s="5" t="str">
        <f>'Ingest Template'!R859</f>
        <v/>
      </c>
      <c r="L859" s="8" t="s">
        <v>38</v>
      </c>
      <c r="M859" s="9"/>
      <c r="N859" s="5"/>
      <c r="O859" s="5"/>
      <c r="P859" s="5"/>
      <c r="Q859" s="5"/>
      <c r="R859" s="5" t="str">
        <f>'Ingest Template'!D859</f>
        <v/>
      </c>
      <c r="S859" s="5" t="str">
        <f>'Ingest Template'!G859</f>
        <v/>
      </c>
      <c r="T859" s="5" t="str">
        <f>'Ingest Template'!H859</f>
        <v/>
      </c>
      <c r="U859" s="5" t="str">
        <f>LOWER(SUBSTITUTE(SUBSTITUTE(SUBSTITUTE(SUBSTITUTE(SUBSTITUTE('Ingest Template'!I859,"https:",""),"www.",""),"/",""),"?hl=en",""),"instagram.com",""))</f>
        <v/>
      </c>
      <c r="V859" s="10" t="str">
        <f>'Ingest Template'!J859</f>
        <v/>
      </c>
      <c r="W859" s="10" t="str">
        <f>'Ingest Template'!K859</f>
        <v/>
      </c>
      <c r="X859" s="5"/>
      <c r="Y859" s="5" t="str">
        <f>SUBSTITUTE(SUBSTITUTE(SUBSTITUTE('Ingest Template'!L859,"http:",""),"https:",""),"/","")</f>
        <v/>
      </c>
      <c r="Z859" s="5" t="str">
        <f t="array" ref="Z859">IF('Ingest Template'!A859="Standard",(IF(ISBLANK('Ingest Template'!M859),"", 'Ingest Template'!M859&amp;"|DAR")),(IF(ISBLANK('Ingest Template'!M859),"", 'Ingest Template'!M859&amp;"|Operations - Core Title")))</f>
        <v/>
      </c>
      <c r="AA859" s="5"/>
      <c r="AB859" s="5" t="str">
        <f>'Ingest Template'!F859</f>
        <v/>
      </c>
      <c r="AC859" s="5"/>
      <c r="AD859" s="5"/>
      <c r="AE859" s="5"/>
      <c r="AF859" s="8"/>
      <c r="AG859" s="5" t="str">
        <f t="array" ref="AG859">IF('Ingest Template'!A859="Standard",(CONCATENATE(IF(ISBLANK('Ingest Template'!N859),"", 'Ingest Template'!N859&amp;"|DAR"),CHAR(10), IF(ISBLANK('Ingest Template'!O859),"", 'Ingest Template'!O859&amp;"|DAR"),CHAR(10), IF(ISBLANK('Ingest Template'!P859),"", 'Ingest Template'!P859&amp;"|DAR"))),(CONCATENATE(IF(ISBLANK('Ingest Template'!N859),"", 'Ingest Template'!N859&amp;"|Operations - Core Title"),CHAR(10), IF(ISBLANK('Ingest Template'!O859),"", 'Ingest Template'!O859&amp;"|Operations - Core Title"),CHAR(10), IF(ISBLANK('Ingest Template'!P859),"", 'Ingest Template'!P859&amp;"|Operations - Core Title"))))</f>
        <v>#|Operations - Core Title
</v>
      </c>
      <c r="AH859" s="5"/>
      <c r="AI859" s="5"/>
      <c r="AJ859" s="5"/>
      <c r="AK859" s="5"/>
      <c r="AL859" s="5"/>
    </row>
    <row r="860">
      <c r="A860" s="5"/>
      <c r="B860" s="5" t="str">
        <f>'Ingest Template'!B860&amp;IF('Ingest Template'!A860 = "Standard", " - DAR","")</f>
        <v/>
      </c>
      <c r="C860" s="6" t="str">
        <f>'Ingest Template'!C860</f>
        <v/>
      </c>
      <c r="D860" s="7" t="str">
        <f>'Ingest Template'!E860</f>
        <v/>
      </c>
      <c r="E860" s="5"/>
      <c r="F860" s="5"/>
      <c r="G860" s="5"/>
      <c r="H860" s="7"/>
      <c r="I860" s="5"/>
      <c r="J860" s="7" t="str">
        <f>'Ingest Template'!Q860</f>
        <v/>
      </c>
      <c r="K860" s="5" t="str">
        <f>'Ingest Template'!R860</f>
        <v/>
      </c>
      <c r="L860" s="8" t="s">
        <v>38</v>
      </c>
      <c r="M860" s="9"/>
      <c r="N860" s="5"/>
      <c r="O860" s="5"/>
      <c r="P860" s="5"/>
      <c r="Q860" s="5"/>
      <c r="R860" s="5" t="str">
        <f>'Ingest Template'!D860</f>
        <v/>
      </c>
      <c r="S860" s="5" t="str">
        <f>'Ingest Template'!G860</f>
        <v/>
      </c>
      <c r="T860" s="5" t="str">
        <f>'Ingest Template'!H860</f>
        <v/>
      </c>
      <c r="U860" s="5" t="str">
        <f>LOWER(SUBSTITUTE(SUBSTITUTE(SUBSTITUTE(SUBSTITUTE(SUBSTITUTE('Ingest Template'!I860,"https:",""),"www.",""),"/",""),"?hl=en",""),"instagram.com",""))</f>
        <v/>
      </c>
      <c r="V860" s="10" t="str">
        <f>'Ingest Template'!J860</f>
        <v/>
      </c>
      <c r="W860" s="10" t="str">
        <f>'Ingest Template'!K860</f>
        <v/>
      </c>
      <c r="X860" s="5"/>
      <c r="Y860" s="5" t="str">
        <f>SUBSTITUTE(SUBSTITUTE(SUBSTITUTE('Ingest Template'!L860,"http:",""),"https:",""),"/","")</f>
        <v/>
      </c>
      <c r="Z860" s="5" t="str">
        <f t="array" ref="Z860">IF('Ingest Template'!A860="Standard",(IF(ISBLANK('Ingest Template'!M860),"", 'Ingest Template'!M860&amp;"|DAR")),(IF(ISBLANK('Ingest Template'!M860),"", 'Ingest Template'!M860&amp;"|Operations - Core Title")))</f>
        <v/>
      </c>
      <c r="AA860" s="5"/>
      <c r="AB860" s="5" t="str">
        <f>'Ingest Template'!F860</f>
        <v/>
      </c>
      <c r="AC860" s="5"/>
      <c r="AD860" s="5"/>
      <c r="AE860" s="5"/>
      <c r="AF860" s="8"/>
      <c r="AG860" s="5" t="str">
        <f t="array" ref="AG860">IF('Ingest Template'!A860="Standard",(CONCATENATE(IF(ISBLANK('Ingest Template'!N860),"", 'Ingest Template'!N860&amp;"|DAR"),CHAR(10), IF(ISBLANK('Ingest Template'!O860),"", 'Ingest Template'!O860&amp;"|DAR"),CHAR(10), IF(ISBLANK('Ingest Template'!P860),"", 'Ingest Template'!P860&amp;"|DAR"))),(CONCATENATE(IF(ISBLANK('Ingest Template'!N860),"", 'Ingest Template'!N860&amp;"|Operations - Core Title"),CHAR(10), IF(ISBLANK('Ingest Template'!O860),"", 'Ingest Template'!O860&amp;"|Operations - Core Title"),CHAR(10), IF(ISBLANK('Ingest Template'!P860),"", 'Ingest Template'!P860&amp;"|Operations - Core Title"))))</f>
        <v>#|Operations - Core Title
</v>
      </c>
      <c r="AH860" s="5"/>
      <c r="AI860" s="5"/>
      <c r="AJ860" s="5"/>
      <c r="AK860" s="5"/>
      <c r="AL860" s="5"/>
    </row>
    <row r="861">
      <c r="A861" s="5"/>
      <c r="B861" s="5" t="str">
        <f>'Ingest Template'!B861&amp;IF('Ingest Template'!A861 = "Standard", " - DAR","")</f>
        <v/>
      </c>
      <c r="C861" s="6" t="str">
        <f>'Ingest Template'!C861</f>
        <v/>
      </c>
      <c r="D861" s="7" t="str">
        <f>'Ingest Template'!E861</f>
        <v/>
      </c>
      <c r="E861" s="5"/>
      <c r="F861" s="5"/>
      <c r="G861" s="5"/>
      <c r="H861" s="7"/>
      <c r="I861" s="5"/>
      <c r="J861" s="7" t="str">
        <f>'Ingest Template'!Q861</f>
        <v/>
      </c>
      <c r="K861" s="5" t="str">
        <f>'Ingest Template'!R861</f>
        <v/>
      </c>
      <c r="L861" s="8" t="s">
        <v>38</v>
      </c>
      <c r="M861" s="9"/>
      <c r="N861" s="5"/>
      <c r="O861" s="5"/>
      <c r="P861" s="5"/>
      <c r="Q861" s="5"/>
      <c r="R861" s="5" t="str">
        <f>'Ingest Template'!D861</f>
        <v/>
      </c>
      <c r="S861" s="5" t="str">
        <f>'Ingest Template'!G861</f>
        <v/>
      </c>
      <c r="T861" s="5" t="str">
        <f>'Ingest Template'!H861</f>
        <v/>
      </c>
      <c r="U861" s="5" t="str">
        <f>LOWER(SUBSTITUTE(SUBSTITUTE(SUBSTITUTE(SUBSTITUTE(SUBSTITUTE('Ingest Template'!I861,"https:",""),"www.",""),"/",""),"?hl=en",""),"instagram.com",""))</f>
        <v/>
      </c>
      <c r="V861" s="10" t="str">
        <f>'Ingest Template'!J861</f>
        <v/>
      </c>
      <c r="W861" s="10" t="str">
        <f>'Ingest Template'!K861</f>
        <v/>
      </c>
      <c r="X861" s="5"/>
      <c r="Y861" s="5" t="str">
        <f>SUBSTITUTE(SUBSTITUTE(SUBSTITUTE('Ingest Template'!L861,"http:",""),"https:",""),"/","")</f>
        <v/>
      </c>
      <c r="Z861" s="5" t="str">
        <f t="array" ref="Z861">IF('Ingest Template'!A861="Standard",(IF(ISBLANK('Ingest Template'!M861),"", 'Ingest Template'!M861&amp;"|DAR")),(IF(ISBLANK('Ingest Template'!M861),"", 'Ingest Template'!M861&amp;"|Operations - Core Title")))</f>
        <v/>
      </c>
      <c r="AA861" s="5"/>
      <c r="AB861" s="5" t="str">
        <f>'Ingest Template'!F861</f>
        <v/>
      </c>
      <c r="AC861" s="5"/>
      <c r="AD861" s="5"/>
      <c r="AE861" s="5"/>
      <c r="AF861" s="8"/>
      <c r="AG861" s="5" t="str">
        <f t="array" ref="AG861">IF('Ingest Template'!A861="Standard",(CONCATENATE(IF(ISBLANK('Ingest Template'!N861),"", 'Ingest Template'!N861&amp;"|DAR"),CHAR(10), IF(ISBLANK('Ingest Template'!O861),"", 'Ingest Template'!O861&amp;"|DAR"),CHAR(10), IF(ISBLANK('Ingest Template'!P861),"", 'Ingest Template'!P861&amp;"|DAR"))),(CONCATENATE(IF(ISBLANK('Ingest Template'!N861),"", 'Ingest Template'!N861&amp;"|Operations - Core Title"),CHAR(10), IF(ISBLANK('Ingest Template'!O861),"", 'Ingest Template'!O861&amp;"|Operations - Core Title"),CHAR(10), IF(ISBLANK('Ingest Template'!P861),"", 'Ingest Template'!P861&amp;"|Operations - Core Title"))))</f>
        <v>#|Operations - Core Title
</v>
      </c>
      <c r="AH861" s="5"/>
      <c r="AI861" s="5"/>
      <c r="AJ861" s="5"/>
      <c r="AK861" s="5"/>
      <c r="AL861" s="5"/>
    </row>
    <row r="862">
      <c r="A862" s="5"/>
      <c r="B862" s="5" t="str">
        <f>'Ingest Template'!B862&amp;IF('Ingest Template'!A862 = "Standard", " - DAR","")</f>
        <v/>
      </c>
      <c r="C862" s="6" t="str">
        <f>'Ingest Template'!C862</f>
        <v/>
      </c>
      <c r="D862" s="7" t="str">
        <f>'Ingest Template'!E862</f>
        <v/>
      </c>
      <c r="E862" s="5"/>
      <c r="F862" s="5"/>
      <c r="G862" s="5"/>
      <c r="H862" s="7"/>
      <c r="I862" s="5"/>
      <c r="J862" s="7" t="str">
        <f>'Ingest Template'!Q862</f>
        <v/>
      </c>
      <c r="K862" s="5" t="str">
        <f>'Ingest Template'!R862</f>
        <v/>
      </c>
      <c r="L862" s="8" t="s">
        <v>38</v>
      </c>
      <c r="M862" s="9"/>
      <c r="N862" s="5"/>
      <c r="O862" s="5"/>
      <c r="P862" s="5"/>
      <c r="Q862" s="5"/>
      <c r="R862" s="5" t="str">
        <f>'Ingest Template'!D862</f>
        <v/>
      </c>
      <c r="S862" s="5" t="str">
        <f>'Ingest Template'!G862</f>
        <v/>
      </c>
      <c r="T862" s="5" t="str">
        <f>'Ingest Template'!H862</f>
        <v/>
      </c>
      <c r="U862" s="5" t="str">
        <f>LOWER(SUBSTITUTE(SUBSTITUTE(SUBSTITUTE(SUBSTITUTE(SUBSTITUTE('Ingest Template'!I862,"https:",""),"www.",""),"/",""),"?hl=en",""),"instagram.com",""))</f>
        <v/>
      </c>
      <c r="V862" s="10" t="str">
        <f>'Ingest Template'!J862</f>
        <v/>
      </c>
      <c r="W862" s="10" t="str">
        <f>'Ingest Template'!K862</f>
        <v/>
      </c>
      <c r="X862" s="5"/>
      <c r="Y862" s="5" t="str">
        <f>SUBSTITUTE(SUBSTITUTE(SUBSTITUTE('Ingest Template'!L862,"http:",""),"https:",""),"/","")</f>
        <v/>
      </c>
      <c r="Z862" s="5" t="str">
        <f t="array" ref="Z862">IF('Ingest Template'!A862="Standard",(IF(ISBLANK('Ingest Template'!M862),"", 'Ingest Template'!M862&amp;"|DAR")),(IF(ISBLANK('Ingest Template'!M862),"", 'Ingest Template'!M862&amp;"|Operations - Core Title")))</f>
        <v/>
      </c>
      <c r="AA862" s="5"/>
      <c r="AB862" s="5" t="str">
        <f>'Ingest Template'!F862</f>
        <v/>
      </c>
      <c r="AC862" s="5"/>
      <c r="AD862" s="5"/>
      <c r="AE862" s="5"/>
      <c r="AF862" s="8"/>
      <c r="AG862" s="5" t="str">
        <f t="array" ref="AG862">IF('Ingest Template'!A862="Standard",(CONCATENATE(IF(ISBLANK('Ingest Template'!N862),"", 'Ingest Template'!N862&amp;"|DAR"),CHAR(10), IF(ISBLANK('Ingest Template'!O862),"", 'Ingest Template'!O862&amp;"|DAR"),CHAR(10), IF(ISBLANK('Ingest Template'!P862),"", 'Ingest Template'!P862&amp;"|DAR"))),(CONCATENATE(IF(ISBLANK('Ingest Template'!N862),"", 'Ingest Template'!N862&amp;"|Operations - Core Title"),CHAR(10), IF(ISBLANK('Ingest Template'!O862),"", 'Ingest Template'!O862&amp;"|Operations - Core Title"),CHAR(10), IF(ISBLANK('Ingest Template'!P862),"", 'Ingest Template'!P862&amp;"|Operations - Core Title"))))</f>
        <v>#|Operations - Core Title
</v>
      </c>
      <c r="AH862" s="5"/>
      <c r="AI862" s="5"/>
      <c r="AJ862" s="5"/>
      <c r="AK862" s="5"/>
      <c r="AL862" s="5"/>
    </row>
    <row r="863">
      <c r="A863" s="5"/>
      <c r="B863" s="5" t="str">
        <f>'Ingest Template'!B863&amp;IF('Ingest Template'!A863 = "Standard", " - DAR","")</f>
        <v/>
      </c>
      <c r="C863" s="6" t="str">
        <f>'Ingest Template'!C863</f>
        <v/>
      </c>
      <c r="D863" s="7" t="str">
        <f>'Ingest Template'!E863</f>
        <v/>
      </c>
      <c r="E863" s="5"/>
      <c r="F863" s="5"/>
      <c r="G863" s="5"/>
      <c r="H863" s="7"/>
      <c r="I863" s="5"/>
      <c r="J863" s="7" t="str">
        <f>'Ingest Template'!Q863</f>
        <v/>
      </c>
      <c r="K863" s="5" t="str">
        <f>'Ingest Template'!R863</f>
        <v/>
      </c>
      <c r="L863" s="8" t="s">
        <v>38</v>
      </c>
      <c r="M863" s="9"/>
      <c r="N863" s="5"/>
      <c r="O863" s="5"/>
      <c r="P863" s="5"/>
      <c r="Q863" s="5"/>
      <c r="R863" s="5" t="str">
        <f>'Ingest Template'!D863</f>
        <v/>
      </c>
      <c r="S863" s="5" t="str">
        <f>'Ingest Template'!G863</f>
        <v/>
      </c>
      <c r="T863" s="5" t="str">
        <f>'Ingest Template'!H863</f>
        <v/>
      </c>
      <c r="U863" s="5" t="str">
        <f>LOWER(SUBSTITUTE(SUBSTITUTE(SUBSTITUTE(SUBSTITUTE(SUBSTITUTE('Ingest Template'!I863,"https:",""),"www.",""),"/",""),"?hl=en",""),"instagram.com",""))</f>
        <v/>
      </c>
      <c r="V863" s="10" t="str">
        <f>'Ingest Template'!J863</f>
        <v/>
      </c>
      <c r="W863" s="10" t="str">
        <f>'Ingest Template'!K863</f>
        <v/>
      </c>
      <c r="X863" s="5"/>
      <c r="Y863" s="5" t="str">
        <f>SUBSTITUTE(SUBSTITUTE(SUBSTITUTE('Ingest Template'!L863,"http:",""),"https:",""),"/","")</f>
        <v/>
      </c>
      <c r="Z863" s="5" t="str">
        <f t="array" ref="Z863">IF('Ingest Template'!A863="Standard",(IF(ISBLANK('Ingest Template'!M863),"", 'Ingest Template'!M863&amp;"|DAR")),(IF(ISBLANK('Ingest Template'!M863),"", 'Ingest Template'!M863&amp;"|Operations - Core Title")))</f>
        <v/>
      </c>
      <c r="AA863" s="5"/>
      <c r="AB863" s="5" t="str">
        <f>'Ingest Template'!F863</f>
        <v/>
      </c>
      <c r="AC863" s="5"/>
      <c r="AD863" s="5"/>
      <c r="AE863" s="5"/>
      <c r="AF863" s="8"/>
      <c r="AG863" s="5" t="str">
        <f t="array" ref="AG863">IF('Ingest Template'!A863="Standard",(CONCATENATE(IF(ISBLANK('Ingest Template'!N863),"", 'Ingest Template'!N863&amp;"|DAR"),CHAR(10), IF(ISBLANK('Ingest Template'!O863),"", 'Ingest Template'!O863&amp;"|DAR"),CHAR(10), IF(ISBLANK('Ingest Template'!P863),"", 'Ingest Template'!P863&amp;"|DAR"))),(CONCATENATE(IF(ISBLANK('Ingest Template'!N863),"", 'Ingest Template'!N863&amp;"|Operations - Core Title"),CHAR(10), IF(ISBLANK('Ingest Template'!O863),"", 'Ingest Template'!O863&amp;"|Operations - Core Title"),CHAR(10), IF(ISBLANK('Ingest Template'!P863),"", 'Ingest Template'!P863&amp;"|Operations - Core Title"))))</f>
        <v>#|Operations - Core Title
</v>
      </c>
      <c r="AH863" s="5"/>
      <c r="AI863" s="5"/>
      <c r="AJ863" s="5"/>
      <c r="AK863" s="5"/>
      <c r="AL863" s="5"/>
    </row>
    <row r="864">
      <c r="A864" s="5"/>
      <c r="B864" s="5" t="str">
        <f>'Ingest Template'!B864&amp;IF('Ingest Template'!A864 = "Standard", " - DAR","")</f>
        <v/>
      </c>
      <c r="C864" s="6" t="str">
        <f>'Ingest Template'!C864</f>
        <v/>
      </c>
      <c r="D864" s="7" t="str">
        <f>'Ingest Template'!E864</f>
        <v/>
      </c>
      <c r="E864" s="5"/>
      <c r="F864" s="5"/>
      <c r="G864" s="5"/>
      <c r="H864" s="7"/>
      <c r="I864" s="5"/>
      <c r="J864" s="7" t="str">
        <f>'Ingest Template'!Q864</f>
        <v/>
      </c>
      <c r="K864" s="5" t="str">
        <f>'Ingest Template'!R864</f>
        <v/>
      </c>
      <c r="L864" s="8" t="s">
        <v>38</v>
      </c>
      <c r="M864" s="9"/>
      <c r="N864" s="5"/>
      <c r="O864" s="5"/>
      <c r="P864" s="5"/>
      <c r="Q864" s="5"/>
      <c r="R864" s="5" t="str">
        <f>'Ingest Template'!D864</f>
        <v/>
      </c>
      <c r="S864" s="5" t="str">
        <f>'Ingest Template'!G864</f>
        <v/>
      </c>
      <c r="T864" s="5" t="str">
        <f>'Ingest Template'!H864</f>
        <v/>
      </c>
      <c r="U864" s="5" t="str">
        <f>LOWER(SUBSTITUTE(SUBSTITUTE(SUBSTITUTE(SUBSTITUTE(SUBSTITUTE('Ingest Template'!I864,"https:",""),"www.",""),"/",""),"?hl=en",""),"instagram.com",""))</f>
        <v/>
      </c>
      <c r="V864" s="10" t="str">
        <f>'Ingest Template'!J864</f>
        <v/>
      </c>
      <c r="W864" s="10" t="str">
        <f>'Ingest Template'!K864</f>
        <v/>
      </c>
      <c r="X864" s="5"/>
      <c r="Y864" s="5" t="str">
        <f>SUBSTITUTE(SUBSTITUTE(SUBSTITUTE('Ingest Template'!L864,"http:",""),"https:",""),"/","")</f>
        <v/>
      </c>
      <c r="Z864" s="5" t="str">
        <f t="array" ref="Z864">IF('Ingest Template'!A864="Standard",(IF(ISBLANK('Ingest Template'!M864),"", 'Ingest Template'!M864&amp;"|DAR")),(IF(ISBLANK('Ingest Template'!M864),"", 'Ingest Template'!M864&amp;"|Operations - Core Title")))</f>
        <v/>
      </c>
      <c r="AA864" s="5"/>
      <c r="AB864" s="5" t="str">
        <f>'Ingest Template'!F864</f>
        <v/>
      </c>
      <c r="AC864" s="5"/>
      <c r="AD864" s="5"/>
      <c r="AE864" s="5"/>
      <c r="AF864" s="8"/>
      <c r="AG864" s="5" t="str">
        <f t="array" ref="AG864">IF('Ingest Template'!A864="Standard",(CONCATENATE(IF(ISBLANK('Ingest Template'!N864),"", 'Ingest Template'!N864&amp;"|DAR"),CHAR(10), IF(ISBLANK('Ingest Template'!O864),"", 'Ingest Template'!O864&amp;"|DAR"),CHAR(10), IF(ISBLANK('Ingest Template'!P864),"", 'Ingest Template'!P864&amp;"|DAR"))),(CONCATENATE(IF(ISBLANK('Ingest Template'!N864),"", 'Ingest Template'!N864&amp;"|Operations - Core Title"),CHAR(10), IF(ISBLANK('Ingest Template'!O864),"", 'Ingest Template'!O864&amp;"|Operations - Core Title"),CHAR(10), IF(ISBLANK('Ingest Template'!P864),"", 'Ingest Template'!P864&amp;"|Operations - Core Title"))))</f>
        <v>#|Operations - Core Title
</v>
      </c>
      <c r="AH864" s="5"/>
      <c r="AI864" s="5"/>
      <c r="AJ864" s="5"/>
      <c r="AK864" s="5"/>
      <c r="AL864" s="5"/>
    </row>
    <row r="865">
      <c r="A865" s="5"/>
      <c r="B865" s="5" t="str">
        <f>'Ingest Template'!B865&amp;IF('Ingest Template'!A865 = "Standard", " - DAR","")</f>
        <v/>
      </c>
      <c r="C865" s="6" t="str">
        <f>'Ingest Template'!C865</f>
        <v/>
      </c>
      <c r="D865" s="7" t="str">
        <f>'Ingest Template'!E865</f>
        <v/>
      </c>
      <c r="E865" s="5"/>
      <c r="F865" s="5"/>
      <c r="G865" s="5"/>
      <c r="H865" s="7"/>
      <c r="I865" s="5"/>
      <c r="J865" s="7" t="str">
        <f>'Ingest Template'!Q865</f>
        <v/>
      </c>
      <c r="K865" s="5" t="str">
        <f>'Ingest Template'!R865</f>
        <v/>
      </c>
      <c r="L865" s="8" t="s">
        <v>38</v>
      </c>
      <c r="M865" s="9"/>
      <c r="N865" s="5"/>
      <c r="O865" s="5"/>
      <c r="P865" s="5"/>
      <c r="Q865" s="5"/>
      <c r="R865" s="5" t="str">
        <f>'Ingest Template'!D865</f>
        <v/>
      </c>
      <c r="S865" s="5" t="str">
        <f>'Ingest Template'!G865</f>
        <v/>
      </c>
      <c r="T865" s="5" t="str">
        <f>'Ingest Template'!H865</f>
        <v/>
      </c>
      <c r="U865" s="5" t="str">
        <f>LOWER(SUBSTITUTE(SUBSTITUTE(SUBSTITUTE(SUBSTITUTE(SUBSTITUTE('Ingest Template'!I865,"https:",""),"www.",""),"/",""),"?hl=en",""),"instagram.com",""))</f>
        <v/>
      </c>
      <c r="V865" s="10" t="str">
        <f>'Ingest Template'!J865</f>
        <v/>
      </c>
      <c r="W865" s="10" t="str">
        <f>'Ingest Template'!K865</f>
        <v/>
      </c>
      <c r="X865" s="5"/>
      <c r="Y865" s="5" t="str">
        <f>SUBSTITUTE(SUBSTITUTE(SUBSTITUTE('Ingest Template'!L865,"http:",""),"https:",""),"/","")</f>
        <v/>
      </c>
      <c r="Z865" s="5" t="str">
        <f t="array" ref="Z865">IF('Ingest Template'!A865="Standard",(IF(ISBLANK('Ingest Template'!M865),"", 'Ingest Template'!M865&amp;"|DAR")),(IF(ISBLANK('Ingest Template'!M865),"", 'Ingest Template'!M865&amp;"|Operations - Core Title")))</f>
        <v/>
      </c>
      <c r="AA865" s="5"/>
      <c r="AB865" s="5" t="str">
        <f>'Ingest Template'!F865</f>
        <v/>
      </c>
      <c r="AC865" s="5"/>
      <c r="AD865" s="5"/>
      <c r="AE865" s="5"/>
      <c r="AF865" s="8"/>
      <c r="AG865" s="5" t="str">
        <f t="array" ref="AG865">IF('Ingest Template'!A865="Standard",(CONCATENATE(IF(ISBLANK('Ingest Template'!N865),"", 'Ingest Template'!N865&amp;"|DAR"),CHAR(10), IF(ISBLANK('Ingest Template'!O865),"", 'Ingest Template'!O865&amp;"|DAR"),CHAR(10), IF(ISBLANK('Ingest Template'!P865),"", 'Ingest Template'!P865&amp;"|DAR"))),(CONCATENATE(IF(ISBLANK('Ingest Template'!N865),"", 'Ingest Template'!N865&amp;"|Operations - Core Title"),CHAR(10), IF(ISBLANK('Ingest Template'!O865),"", 'Ingest Template'!O865&amp;"|Operations - Core Title"),CHAR(10), IF(ISBLANK('Ingest Template'!P865),"", 'Ingest Template'!P865&amp;"|Operations - Core Title"))))</f>
        <v>#|Operations - Core Title
</v>
      </c>
      <c r="AH865" s="5"/>
      <c r="AI865" s="5"/>
      <c r="AJ865" s="5"/>
      <c r="AK865" s="5"/>
      <c r="AL865" s="5"/>
    </row>
    <row r="866">
      <c r="A866" s="5"/>
      <c r="B866" s="5" t="str">
        <f>'Ingest Template'!B866&amp;IF('Ingest Template'!A866 = "Standard", " - DAR","")</f>
        <v/>
      </c>
      <c r="C866" s="6" t="str">
        <f>'Ingest Template'!C866</f>
        <v/>
      </c>
      <c r="D866" s="7" t="str">
        <f>'Ingest Template'!E866</f>
        <v/>
      </c>
      <c r="E866" s="5"/>
      <c r="F866" s="5"/>
      <c r="G866" s="5"/>
      <c r="H866" s="7"/>
      <c r="I866" s="5"/>
      <c r="J866" s="7" t="str">
        <f>'Ingest Template'!Q866</f>
        <v/>
      </c>
      <c r="K866" s="5" t="str">
        <f>'Ingest Template'!R866</f>
        <v/>
      </c>
      <c r="L866" s="8" t="s">
        <v>38</v>
      </c>
      <c r="M866" s="9"/>
      <c r="N866" s="5"/>
      <c r="O866" s="5"/>
      <c r="P866" s="5"/>
      <c r="Q866" s="5"/>
      <c r="R866" s="5" t="str">
        <f>'Ingest Template'!D866</f>
        <v/>
      </c>
      <c r="S866" s="5" t="str">
        <f>'Ingest Template'!G866</f>
        <v/>
      </c>
      <c r="T866" s="5" t="str">
        <f>'Ingest Template'!H866</f>
        <v/>
      </c>
      <c r="U866" s="5" t="str">
        <f>LOWER(SUBSTITUTE(SUBSTITUTE(SUBSTITUTE(SUBSTITUTE(SUBSTITUTE('Ingest Template'!I866,"https:",""),"www.",""),"/",""),"?hl=en",""),"instagram.com",""))</f>
        <v/>
      </c>
      <c r="V866" s="10" t="str">
        <f>'Ingest Template'!J866</f>
        <v/>
      </c>
      <c r="W866" s="10" t="str">
        <f>'Ingest Template'!K866</f>
        <v/>
      </c>
      <c r="X866" s="5"/>
      <c r="Y866" s="5" t="str">
        <f>SUBSTITUTE(SUBSTITUTE(SUBSTITUTE('Ingest Template'!L866,"http:",""),"https:",""),"/","")</f>
        <v/>
      </c>
      <c r="Z866" s="5" t="str">
        <f t="array" ref="Z866">IF('Ingest Template'!A866="Standard",(IF(ISBLANK('Ingest Template'!M866),"", 'Ingest Template'!M866&amp;"|DAR")),(IF(ISBLANK('Ingest Template'!M866),"", 'Ingest Template'!M866&amp;"|Operations - Core Title")))</f>
        <v/>
      </c>
      <c r="AA866" s="5"/>
      <c r="AB866" s="5" t="str">
        <f>'Ingest Template'!F866</f>
        <v/>
      </c>
      <c r="AC866" s="5"/>
      <c r="AD866" s="5"/>
      <c r="AE866" s="5"/>
      <c r="AF866" s="8"/>
      <c r="AG866" s="5" t="str">
        <f t="array" ref="AG866">IF('Ingest Template'!A866="Standard",(CONCATENATE(IF(ISBLANK('Ingest Template'!N866),"", 'Ingest Template'!N866&amp;"|DAR"),CHAR(10), IF(ISBLANK('Ingest Template'!O866),"", 'Ingest Template'!O866&amp;"|DAR"),CHAR(10), IF(ISBLANK('Ingest Template'!P866),"", 'Ingest Template'!P866&amp;"|DAR"))),(CONCATENATE(IF(ISBLANK('Ingest Template'!N866),"", 'Ingest Template'!N866&amp;"|Operations - Core Title"),CHAR(10), IF(ISBLANK('Ingest Template'!O866),"", 'Ingest Template'!O866&amp;"|Operations - Core Title"),CHAR(10), IF(ISBLANK('Ingest Template'!P866),"", 'Ingest Template'!P866&amp;"|Operations - Core Title"))))</f>
        <v>#|Operations - Core Title
</v>
      </c>
      <c r="AH866" s="5"/>
      <c r="AI866" s="5"/>
      <c r="AJ866" s="5"/>
      <c r="AK866" s="5"/>
      <c r="AL866" s="5"/>
    </row>
    <row r="867">
      <c r="A867" s="5"/>
      <c r="B867" s="5" t="str">
        <f>'Ingest Template'!B867&amp;IF('Ingest Template'!A867 = "Standard", " - DAR","")</f>
        <v/>
      </c>
      <c r="C867" s="6" t="str">
        <f>'Ingest Template'!C867</f>
        <v/>
      </c>
      <c r="D867" s="7" t="str">
        <f>'Ingest Template'!E867</f>
        <v/>
      </c>
      <c r="E867" s="5"/>
      <c r="F867" s="5"/>
      <c r="G867" s="5"/>
      <c r="H867" s="7"/>
      <c r="I867" s="5"/>
      <c r="J867" s="7" t="str">
        <f>'Ingest Template'!Q867</f>
        <v/>
      </c>
      <c r="K867" s="5" t="str">
        <f>'Ingest Template'!R867</f>
        <v/>
      </c>
      <c r="L867" s="8" t="s">
        <v>38</v>
      </c>
      <c r="M867" s="9"/>
      <c r="N867" s="5"/>
      <c r="O867" s="5"/>
      <c r="P867" s="5"/>
      <c r="Q867" s="5"/>
      <c r="R867" s="5" t="str">
        <f>'Ingest Template'!D867</f>
        <v/>
      </c>
      <c r="S867" s="5" t="str">
        <f>'Ingest Template'!G867</f>
        <v/>
      </c>
      <c r="T867" s="5" t="str">
        <f>'Ingest Template'!H867</f>
        <v/>
      </c>
      <c r="U867" s="5" t="str">
        <f>LOWER(SUBSTITUTE(SUBSTITUTE(SUBSTITUTE(SUBSTITUTE(SUBSTITUTE('Ingest Template'!I867,"https:",""),"www.",""),"/",""),"?hl=en",""),"instagram.com",""))</f>
        <v/>
      </c>
      <c r="V867" s="10" t="str">
        <f>'Ingest Template'!J867</f>
        <v/>
      </c>
      <c r="W867" s="10" t="str">
        <f>'Ingest Template'!K867</f>
        <v/>
      </c>
      <c r="X867" s="5"/>
      <c r="Y867" s="5" t="str">
        <f>SUBSTITUTE(SUBSTITUTE(SUBSTITUTE('Ingest Template'!L867,"http:",""),"https:",""),"/","")</f>
        <v/>
      </c>
      <c r="Z867" s="5" t="str">
        <f t="array" ref="Z867">IF('Ingest Template'!A867="Standard",(IF(ISBLANK('Ingest Template'!M867),"", 'Ingest Template'!M867&amp;"|DAR")),(IF(ISBLANK('Ingest Template'!M867),"", 'Ingest Template'!M867&amp;"|Operations - Core Title")))</f>
        <v/>
      </c>
      <c r="AA867" s="5"/>
      <c r="AB867" s="5" t="str">
        <f>'Ingest Template'!F867</f>
        <v/>
      </c>
      <c r="AC867" s="5"/>
      <c r="AD867" s="5"/>
      <c r="AE867" s="5"/>
      <c r="AF867" s="8"/>
      <c r="AG867" s="5" t="str">
        <f t="array" ref="AG867">IF('Ingest Template'!A867="Standard",(CONCATENATE(IF(ISBLANK('Ingest Template'!N867),"", 'Ingest Template'!N867&amp;"|DAR"),CHAR(10), IF(ISBLANK('Ingest Template'!O867),"", 'Ingest Template'!O867&amp;"|DAR"),CHAR(10), IF(ISBLANK('Ingest Template'!P867),"", 'Ingest Template'!P867&amp;"|DAR"))),(CONCATENATE(IF(ISBLANK('Ingest Template'!N867),"", 'Ingest Template'!N867&amp;"|Operations - Core Title"),CHAR(10), IF(ISBLANK('Ingest Template'!O867),"", 'Ingest Template'!O867&amp;"|Operations - Core Title"),CHAR(10), IF(ISBLANK('Ingest Template'!P867),"", 'Ingest Template'!P867&amp;"|Operations - Core Title"))))</f>
        <v>#|Operations - Core Title
</v>
      </c>
      <c r="AH867" s="5"/>
      <c r="AI867" s="5"/>
      <c r="AJ867" s="5"/>
      <c r="AK867" s="5"/>
      <c r="AL867" s="5"/>
    </row>
    <row r="868">
      <c r="A868" s="5"/>
      <c r="B868" s="5" t="str">
        <f>'Ingest Template'!B868&amp;IF('Ingest Template'!A868 = "Standard", " - DAR","")</f>
        <v/>
      </c>
      <c r="C868" s="6" t="str">
        <f>'Ingest Template'!C868</f>
        <v/>
      </c>
      <c r="D868" s="7" t="str">
        <f>'Ingest Template'!E868</f>
        <v/>
      </c>
      <c r="E868" s="5"/>
      <c r="F868" s="5"/>
      <c r="G868" s="5"/>
      <c r="H868" s="7"/>
      <c r="I868" s="5"/>
      <c r="J868" s="7" t="str">
        <f>'Ingest Template'!Q868</f>
        <v/>
      </c>
      <c r="K868" s="5" t="str">
        <f>'Ingest Template'!R868</f>
        <v/>
      </c>
      <c r="L868" s="8" t="s">
        <v>38</v>
      </c>
      <c r="M868" s="9"/>
      <c r="N868" s="5"/>
      <c r="O868" s="5"/>
      <c r="P868" s="5"/>
      <c r="Q868" s="5"/>
      <c r="R868" s="5" t="str">
        <f>'Ingest Template'!D868</f>
        <v/>
      </c>
      <c r="S868" s="5" t="str">
        <f>'Ingest Template'!G868</f>
        <v/>
      </c>
      <c r="T868" s="5" t="str">
        <f>'Ingest Template'!H868</f>
        <v/>
      </c>
      <c r="U868" s="5" t="str">
        <f>LOWER(SUBSTITUTE(SUBSTITUTE(SUBSTITUTE(SUBSTITUTE(SUBSTITUTE('Ingest Template'!I868,"https:",""),"www.",""),"/",""),"?hl=en",""),"instagram.com",""))</f>
        <v/>
      </c>
      <c r="V868" s="10" t="str">
        <f>'Ingest Template'!J868</f>
        <v/>
      </c>
      <c r="W868" s="10" t="str">
        <f>'Ingest Template'!K868</f>
        <v/>
      </c>
      <c r="X868" s="5"/>
      <c r="Y868" s="5" t="str">
        <f>SUBSTITUTE(SUBSTITUTE(SUBSTITUTE('Ingest Template'!L868,"http:",""),"https:",""),"/","")</f>
        <v/>
      </c>
      <c r="Z868" s="5" t="str">
        <f t="array" ref="Z868">IF('Ingest Template'!A868="Standard",(IF(ISBLANK('Ingest Template'!M868),"", 'Ingest Template'!M868&amp;"|DAR")),(IF(ISBLANK('Ingest Template'!M868),"", 'Ingest Template'!M868&amp;"|Operations - Core Title")))</f>
        <v/>
      </c>
      <c r="AA868" s="5"/>
      <c r="AB868" s="5" t="str">
        <f>'Ingest Template'!F868</f>
        <v/>
      </c>
      <c r="AC868" s="5"/>
      <c r="AD868" s="5"/>
      <c r="AE868" s="5"/>
      <c r="AF868" s="8"/>
      <c r="AG868" s="5" t="str">
        <f t="array" ref="AG868">IF('Ingest Template'!A868="Standard",(CONCATENATE(IF(ISBLANK('Ingest Template'!N868),"", 'Ingest Template'!N868&amp;"|DAR"),CHAR(10), IF(ISBLANK('Ingest Template'!O868),"", 'Ingest Template'!O868&amp;"|DAR"),CHAR(10), IF(ISBLANK('Ingest Template'!P868),"", 'Ingest Template'!P868&amp;"|DAR"))),(CONCATENATE(IF(ISBLANK('Ingest Template'!N868),"", 'Ingest Template'!N868&amp;"|Operations - Core Title"),CHAR(10), IF(ISBLANK('Ingest Template'!O868),"", 'Ingest Template'!O868&amp;"|Operations - Core Title"),CHAR(10), IF(ISBLANK('Ingest Template'!P868),"", 'Ingest Template'!P868&amp;"|Operations - Core Title"))))</f>
        <v>#|Operations - Core Title
</v>
      </c>
      <c r="AH868" s="5"/>
      <c r="AI868" s="5"/>
      <c r="AJ868" s="5"/>
      <c r="AK868" s="5"/>
      <c r="AL868" s="5"/>
    </row>
    <row r="869">
      <c r="A869" s="5"/>
      <c r="B869" s="5" t="str">
        <f>'Ingest Template'!B869&amp;IF('Ingest Template'!A869 = "Standard", " - DAR","")</f>
        <v/>
      </c>
      <c r="C869" s="6" t="str">
        <f>'Ingest Template'!C869</f>
        <v/>
      </c>
      <c r="D869" s="7" t="str">
        <f>'Ingest Template'!E869</f>
        <v/>
      </c>
      <c r="E869" s="5"/>
      <c r="F869" s="5"/>
      <c r="G869" s="5"/>
      <c r="H869" s="7"/>
      <c r="I869" s="5"/>
      <c r="J869" s="7" t="str">
        <f>'Ingest Template'!Q869</f>
        <v/>
      </c>
      <c r="K869" s="5" t="str">
        <f>'Ingest Template'!R869</f>
        <v/>
      </c>
      <c r="L869" s="8" t="s">
        <v>38</v>
      </c>
      <c r="M869" s="9"/>
      <c r="N869" s="5"/>
      <c r="O869" s="5"/>
      <c r="P869" s="5"/>
      <c r="Q869" s="5"/>
      <c r="R869" s="5" t="str">
        <f>'Ingest Template'!D869</f>
        <v/>
      </c>
      <c r="S869" s="5" t="str">
        <f>'Ingest Template'!G869</f>
        <v/>
      </c>
      <c r="T869" s="5" t="str">
        <f>'Ingest Template'!H869</f>
        <v/>
      </c>
      <c r="U869" s="5" t="str">
        <f>LOWER(SUBSTITUTE(SUBSTITUTE(SUBSTITUTE(SUBSTITUTE(SUBSTITUTE('Ingest Template'!I869,"https:",""),"www.",""),"/",""),"?hl=en",""),"instagram.com",""))</f>
        <v/>
      </c>
      <c r="V869" s="10" t="str">
        <f>'Ingest Template'!J869</f>
        <v/>
      </c>
      <c r="W869" s="10" t="str">
        <f>'Ingest Template'!K869</f>
        <v/>
      </c>
      <c r="X869" s="5"/>
      <c r="Y869" s="5" t="str">
        <f>SUBSTITUTE(SUBSTITUTE(SUBSTITUTE('Ingest Template'!L869,"http:",""),"https:",""),"/","")</f>
        <v/>
      </c>
      <c r="Z869" s="5" t="str">
        <f t="array" ref="Z869">IF('Ingest Template'!A869="Standard",(IF(ISBLANK('Ingest Template'!M869),"", 'Ingest Template'!M869&amp;"|DAR")),(IF(ISBLANK('Ingest Template'!M869),"", 'Ingest Template'!M869&amp;"|Operations - Core Title")))</f>
        <v/>
      </c>
      <c r="AA869" s="5"/>
      <c r="AB869" s="5" t="str">
        <f>'Ingest Template'!F869</f>
        <v/>
      </c>
      <c r="AC869" s="5"/>
      <c r="AD869" s="5"/>
      <c r="AE869" s="5"/>
      <c r="AF869" s="8"/>
      <c r="AG869" s="5" t="str">
        <f t="array" ref="AG869">IF('Ingest Template'!A869="Standard",(CONCATENATE(IF(ISBLANK('Ingest Template'!N869),"", 'Ingest Template'!N869&amp;"|DAR"),CHAR(10), IF(ISBLANK('Ingest Template'!O869),"", 'Ingest Template'!O869&amp;"|DAR"),CHAR(10), IF(ISBLANK('Ingest Template'!P869),"", 'Ingest Template'!P869&amp;"|DAR"))),(CONCATENATE(IF(ISBLANK('Ingest Template'!N869),"", 'Ingest Template'!N869&amp;"|Operations - Core Title"),CHAR(10), IF(ISBLANK('Ingest Template'!O869),"", 'Ingest Template'!O869&amp;"|Operations - Core Title"),CHAR(10), IF(ISBLANK('Ingest Template'!P869),"", 'Ingest Template'!P869&amp;"|Operations - Core Title"))))</f>
        <v>#|Operations - Core Title
</v>
      </c>
      <c r="AH869" s="5"/>
      <c r="AI869" s="5"/>
      <c r="AJ869" s="5"/>
      <c r="AK869" s="5"/>
      <c r="AL869" s="5"/>
    </row>
    <row r="870">
      <c r="A870" s="5"/>
      <c r="B870" s="5" t="str">
        <f>'Ingest Template'!B870&amp;IF('Ingest Template'!A870 = "Standard", " - DAR","")</f>
        <v/>
      </c>
      <c r="C870" s="6" t="str">
        <f>'Ingest Template'!C870</f>
        <v/>
      </c>
      <c r="D870" s="7" t="str">
        <f>'Ingest Template'!E870</f>
        <v/>
      </c>
      <c r="E870" s="5"/>
      <c r="F870" s="5"/>
      <c r="G870" s="5"/>
      <c r="H870" s="7"/>
      <c r="I870" s="5"/>
      <c r="J870" s="7" t="str">
        <f>'Ingest Template'!Q870</f>
        <v/>
      </c>
      <c r="K870" s="5" t="str">
        <f>'Ingest Template'!R870</f>
        <v/>
      </c>
      <c r="L870" s="8" t="s">
        <v>38</v>
      </c>
      <c r="M870" s="9"/>
      <c r="N870" s="5"/>
      <c r="O870" s="5"/>
      <c r="P870" s="5"/>
      <c r="Q870" s="5"/>
      <c r="R870" s="5" t="str">
        <f>'Ingest Template'!D870</f>
        <v/>
      </c>
      <c r="S870" s="5" t="str">
        <f>'Ingest Template'!G870</f>
        <v/>
      </c>
      <c r="T870" s="5" t="str">
        <f>'Ingest Template'!H870</f>
        <v/>
      </c>
      <c r="U870" s="5" t="str">
        <f>LOWER(SUBSTITUTE(SUBSTITUTE(SUBSTITUTE(SUBSTITUTE(SUBSTITUTE('Ingest Template'!I870,"https:",""),"www.",""),"/",""),"?hl=en",""),"instagram.com",""))</f>
        <v/>
      </c>
      <c r="V870" s="10" t="str">
        <f>'Ingest Template'!J870</f>
        <v/>
      </c>
      <c r="W870" s="10" t="str">
        <f>'Ingest Template'!K870</f>
        <v/>
      </c>
      <c r="X870" s="5"/>
      <c r="Y870" s="5" t="str">
        <f>SUBSTITUTE(SUBSTITUTE(SUBSTITUTE('Ingest Template'!L870,"http:",""),"https:",""),"/","")</f>
        <v/>
      </c>
      <c r="Z870" s="5" t="str">
        <f t="array" ref="Z870">IF('Ingest Template'!A870="Standard",(IF(ISBLANK('Ingest Template'!M870),"", 'Ingest Template'!M870&amp;"|DAR")),(IF(ISBLANK('Ingest Template'!M870),"", 'Ingest Template'!M870&amp;"|Operations - Core Title")))</f>
        <v/>
      </c>
      <c r="AA870" s="5"/>
      <c r="AB870" s="5" t="str">
        <f>'Ingest Template'!F870</f>
        <v/>
      </c>
      <c r="AC870" s="5"/>
      <c r="AD870" s="5"/>
      <c r="AE870" s="5"/>
      <c r="AF870" s="8"/>
      <c r="AG870" s="5" t="str">
        <f t="array" ref="AG870">IF('Ingest Template'!A870="Standard",(CONCATENATE(IF(ISBLANK('Ingest Template'!N870),"", 'Ingest Template'!N870&amp;"|DAR"),CHAR(10), IF(ISBLANK('Ingest Template'!O870),"", 'Ingest Template'!O870&amp;"|DAR"),CHAR(10), IF(ISBLANK('Ingest Template'!P870),"", 'Ingest Template'!P870&amp;"|DAR"))),(CONCATENATE(IF(ISBLANK('Ingest Template'!N870),"", 'Ingest Template'!N870&amp;"|Operations - Core Title"),CHAR(10), IF(ISBLANK('Ingest Template'!O870),"", 'Ingest Template'!O870&amp;"|Operations - Core Title"),CHAR(10), IF(ISBLANK('Ingest Template'!P870),"", 'Ingest Template'!P870&amp;"|Operations - Core Title"))))</f>
        <v>#|Operations - Core Title
</v>
      </c>
      <c r="AH870" s="5"/>
      <c r="AI870" s="5"/>
      <c r="AJ870" s="5"/>
      <c r="AK870" s="5"/>
      <c r="AL870" s="5"/>
    </row>
    <row r="871">
      <c r="A871" s="5"/>
      <c r="B871" s="5" t="str">
        <f>'Ingest Template'!B871&amp;IF('Ingest Template'!A871 = "Standard", " - DAR","")</f>
        <v/>
      </c>
      <c r="C871" s="6" t="str">
        <f>'Ingest Template'!C871</f>
        <v/>
      </c>
      <c r="D871" s="7" t="str">
        <f>'Ingest Template'!E871</f>
        <v/>
      </c>
      <c r="E871" s="5"/>
      <c r="F871" s="5"/>
      <c r="G871" s="5"/>
      <c r="H871" s="7"/>
      <c r="I871" s="5"/>
      <c r="J871" s="7" t="str">
        <f>'Ingest Template'!Q871</f>
        <v/>
      </c>
      <c r="K871" s="5" t="str">
        <f>'Ingest Template'!R871</f>
        <v/>
      </c>
      <c r="L871" s="8" t="s">
        <v>38</v>
      </c>
      <c r="M871" s="9"/>
      <c r="N871" s="5"/>
      <c r="O871" s="5"/>
      <c r="P871" s="5"/>
      <c r="Q871" s="5"/>
      <c r="R871" s="5" t="str">
        <f>'Ingest Template'!D871</f>
        <v/>
      </c>
      <c r="S871" s="5" t="str">
        <f>'Ingest Template'!G871</f>
        <v/>
      </c>
      <c r="T871" s="5" t="str">
        <f>'Ingest Template'!H871</f>
        <v/>
      </c>
      <c r="U871" s="5" t="str">
        <f>LOWER(SUBSTITUTE(SUBSTITUTE(SUBSTITUTE(SUBSTITUTE(SUBSTITUTE('Ingest Template'!I871,"https:",""),"www.",""),"/",""),"?hl=en",""),"instagram.com",""))</f>
        <v/>
      </c>
      <c r="V871" s="10" t="str">
        <f>'Ingest Template'!J871</f>
        <v/>
      </c>
      <c r="W871" s="10" t="str">
        <f>'Ingest Template'!K871</f>
        <v/>
      </c>
      <c r="X871" s="5"/>
      <c r="Y871" s="5" t="str">
        <f>SUBSTITUTE(SUBSTITUTE(SUBSTITUTE('Ingest Template'!L871,"http:",""),"https:",""),"/","")</f>
        <v/>
      </c>
      <c r="Z871" s="5" t="str">
        <f t="array" ref="Z871">IF('Ingest Template'!A871="Standard",(IF(ISBLANK('Ingest Template'!M871),"", 'Ingest Template'!M871&amp;"|DAR")),(IF(ISBLANK('Ingest Template'!M871),"", 'Ingest Template'!M871&amp;"|Operations - Core Title")))</f>
        <v/>
      </c>
      <c r="AA871" s="5"/>
      <c r="AB871" s="5" t="str">
        <f>'Ingest Template'!F871</f>
        <v/>
      </c>
      <c r="AC871" s="5"/>
      <c r="AD871" s="5"/>
      <c r="AE871" s="5"/>
      <c r="AF871" s="8"/>
      <c r="AG871" s="5" t="str">
        <f t="array" ref="AG871">IF('Ingest Template'!A871="Standard",(CONCATENATE(IF(ISBLANK('Ingest Template'!N871),"", 'Ingest Template'!N871&amp;"|DAR"),CHAR(10), IF(ISBLANK('Ingest Template'!O871),"", 'Ingest Template'!O871&amp;"|DAR"),CHAR(10), IF(ISBLANK('Ingest Template'!P871),"", 'Ingest Template'!P871&amp;"|DAR"))),(CONCATENATE(IF(ISBLANK('Ingest Template'!N871),"", 'Ingest Template'!N871&amp;"|Operations - Core Title"),CHAR(10), IF(ISBLANK('Ingest Template'!O871),"", 'Ingest Template'!O871&amp;"|Operations - Core Title"),CHAR(10), IF(ISBLANK('Ingest Template'!P871),"", 'Ingest Template'!P871&amp;"|Operations - Core Title"))))</f>
        <v>#|Operations - Core Title
</v>
      </c>
      <c r="AH871" s="5"/>
      <c r="AI871" s="5"/>
      <c r="AJ871" s="5"/>
      <c r="AK871" s="5"/>
      <c r="AL871" s="5"/>
    </row>
    <row r="872">
      <c r="A872" s="5"/>
      <c r="B872" s="5" t="str">
        <f>'Ingest Template'!B872&amp;IF('Ingest Template'!A872 = "Standard", " - DAR","")</f>
        <v/>
      </c>
      <c r="C872" s="6" t="str">
        <f>'Ingest Template'!C872</f>
        <v/>
      </c>
      <c r="D872" s="7" t="str">
        <f>'Ingest Template'!E872</f>
        <v/>
      </c>
      <c r="E872" s="5"/>
      <c r="F872" s="5"/>
      <c r="G872" s="5"/>
      <c r="H872" s="7"/>
      <c r="I872" s="5"/>
      <c r="J872" s="7" t="str">
        <f>'Ingest Template'!Q872</f>
        <v/>
      </c>
      <c r="K872" s="5" t="str">
        <f>'Ingest Template'!R872</f>
        <v/>
      </c>
      <c r="L872" s="8" t="s">
        <v>38</v>
      </c>
      <c r="M872" s="9"/>
      <c r="N872" s="5"/>
      <c r="O872" s="5"/>
      <c r="P872" s="5"/>
      <c r="Q872" s="5"/>
      <c r="R872" s="5" t="str">
        <f>'Ingest Template'!D872</f>
        <v/>
      </c>
      <c r="S872" s="5" t="str">
        <f>'Ingest Template'!G872</f>
        <v/>
      </c>
      <c r="T872" s="5" t="str">
        <f>'Ingest Template'!H872</f>
        <v/>
      </c>
      <c r="U872" s="5" t="str">
        <f>LOWER(SUBSTITUTE(SUBSTITUTE(SUBSTITUTE(SUBSTITUTE(SUBSTITUTE('Ingest Template'!I872,"https:",""),"www.",""),"/",""),"?hl=en",""),"instagram.com",""))</f>
        <v/>
      </c>
      <c r="V872" s="10" t="str">
        <f>'Ingest Template'!J872</f>
        <v/>
      </c>
      <c r="W872" s="10" t="str">
        <f>'Ingest Template'!K872</f>
        <v/>
      </c>
      <c r="X872" s="5"/>
      <c r="Y872" s="5" t="str">
        <f>SUBSTITUTE(SUBSTITUTE(SUBSTITUTE('Ingest Template'!L872,"http:",""),"https:",""),"/","")</f>
        <v/>
      </c>
      <c r="Z872" s="5" t="str">
        <f t="array" ref="Z872">IF('Ingest Template'!A872="Standard",(IF(ISBLANK('Ingest Template'!M872),"", 'Ingest Template'!M872&amp;"|DAR")),(IF(ISBLANK('Ingest Template'!M872),"", 'Ingest Template'!M872&amp;"|Operations - Core Title")))</f>
        <v/>
      </c>
      <c r="AA872" s="5"/>
      <c r="AB872" s="5" t="str">
        <f>'Ingest Template'!F872</f>
        <v/>
      </c>
      <c r="AC872" s="5"/>
      <c r="AD872" s="5"/>
      <c r="AE872" s="5"/>
      <c r="AF872" s="8"/>
      <c r="AG872" s="5" t="str">
        <f t="array" ref="AG872">IF('Ingest Template'!A872="Standard",(CONCATENATE(IF(ISBLANK('Ingest Template'!N872),"", 'Ingest Template'!N872&amp;"|DAR"),CHAR(10), IF(ISBLANK('Ingest Template'!O872),"", 'Ingest Template'!O872&amp;"|DAR"),CHAR(10), IF(ISBLANK('Ingest Template'!P872),"", 'Ingest Template'!P872&amp;"|DAR"))),(CONCATENATE(IF(ISBLANK('Ingest Template'!N872),"", 'Ingest Template'!N872&amp;"|Operations - Core Title"),CHAR(10), IF(ISBLANK('Ingest Template'!O872),"", 'Ingest Template'!O872&amp;"|Operations - Core Title"),CHAR(10), IF(ISBLANK('Ingest Template'!P872),"", 'Ingest Template'!P872&amp;"|Operations - Core Title"))))</f>
        <v>#|Operations - Core Title
</v>
      </c>
      <c r="AH872" s="5"/>
      <c r="AI872" s="5"/>
      <c r="AJ872" s="5"/>
      <c r="AK872" s="5"/>
      <c r="AL872" s="5"/>
    </row>
    <row r="873">
      <c r="A873" s="5"/>
      <c r="B873" s="5" t="str">
        <f>'Ingest Template'!B873&amp;IF('Ingest Template'!A873 = "Standard", " - DAR","")</f>
        <v/>
      </c>
      <c r="C873" s="6" t="str">
        <f>'Ingest Template'!C873</f>
        <v/>
      </c>
      <c r="D873" s="7" t="str">
        <f>'Ingest Template'!E873</f>
        <v/>
      </c>
      <c r="E873" s="5"/>
      <c r="F873" s="5"/>
      <c r="G873" s="5"/>
      <c r="H873" s="7"/>
      <c r="I873" s="5"/>
      <c r="J873" s="7" t="str">
        <f>'Ingest Template'!Q873</f>
        <v/>
      </c>
      <c r="K873" s="5" t="str">
        <f>'Ingest Template'!R873</f>
        <v/>
      </c>
      <c r="L873" s="8" t="s">
        <v>38</v>
      </c>
      <c r="M873" s="9"/>
      <c r="N873" s="5"/>
      <c r="O873" s="5"/>
      <c r="P873" s="5"/>
      <c r="Q873" s="5"/>
      <c r="R873" s="5" t="str">
        <f>'Ingest Template'!D873</f>
        <v/>
      </c>
      <c r="S873" s="5" t="str">
        <f>'Ingest Template'!G873</f>
        <v/>
      </c>
      <c r="T873" s="5" t="str">
        <f>'Ingest Template'!H873</f>
        <v/>
      </c>
      <c r="U873" s="5" t="str">
        <f>LOWER(SUBSTITUTE(SUBSTITUTE(SUBSTITUTE(SUBSTITUTE(SUBSTITUTE('Ingest Template'!I873,"https:",""),"www.",""),"/",""),"?hl=en",""),"instagram.com",""))</f>
        <v/>
      </c>
      <c r="V873" s="10" t="str">
        <f>'Ingest Template'!J873</f>
        <v/>
      </c>
      <c r="W873" s="10" t="str">
        <f>'Ingest Template'!K873</f>
        <v/>
      </c>
      <c r="X873" s="5"/>
      <c r="Y873" s="5" t="str">
        <f>SUBSTITUTE(SUBSTITUTE(SUBSTITUTE('Ingest Template'!L873,"http:",""),"https:",""),"/","")</f>
        <v/>
      </c>
      <c r="Z873" s="5" t="str">
        <f t="array" ref="Z873">IF('Ingest Template'!A873="Standard",(IF(ISBLANK('Ingest Template'!M873),"", 'Ingest Template'!M873&amp;"|DAR")),(IF(ISBLANK('Ingest Template'!M873),"", 'Ingest Template'!M873&amp;"|Operations - Core Title")))</f>
        <v/>
      </c>
      <c r="AA873" s="5"/>
      <c r="AB873" s="5" t="str">
        <f>'Ingest Template'!F873</f>
        <v/>
      </c>
      <c r="AC873" s="5"/>
      <c r="AD873" s="5"/>
      <c r="AE873" s="5"/>
      <c r="AF873" s="8"/>
      <c r="AG873" s="5" t="str">
        <f t="array" ref="AG873">IF('Ingest Template'!A873="Standard",(CONCATENATE(IF(ISBLANK('Ingest Template'!N873),"", 'Ingest Template'!N873&amp;"|DAR"),CHAR(10), IF(ISBLANK('Ingest Template'!O873),"", 'Ingest Template'!O873&amp;"|DAR"),CHAR(10), IF(ISBLANK('Ingest Template'!P873),"", 'Ingest Template'!P873&amp;"|DAR"))),(CONCATENATE(IF(ISBLANK('Ingest Template'!N873),"", 'Ingest Template'!N873&amp;"|Operations - Core Title"),CHAR(10), IF(ISBLANK('Ingest Template'!O873),"", 'Ingest Template'!O873&amp;"|Operations - Core Title"),CHAR(10), IF(ISBLANK('Ingest Template'!P873),"", 'Ingest Template'!P873&amp;"|Operations - Core Title"))))</f>
        <v>#|Operations - Core Title
</v>
      </c>
      <c r="AH873" s="5"/>
      <c r="AI873" s="5"/>
      <c r="AJ873" s="5"/>
      <c r="AK873" s="5"/>
      <c r="AL873" s="5"/>
    </row>
    <row r="874">
      <c r="A874" s="5"/>
      <c r="B874" s="5" t="str">
        <f>'Ingest Template'!B874&amp;IF('Ingest Template'!A874 = "Standard", " - DAR","")</f>
        <v/>
      </c>
      <c r="C874" s="6" t="str">
        <f>'Ingest Template'!C874</f>
        <v/>
      </c>
      <c r="D874" s="7" t="str">
        <f>'Ingest Template'!E874</f>
        <v/>
      </c>
      <c r="E874" s="5"/>
      <c r="F874" s="5"/>
      <c r="G874" s="5"/>
      <c r="H874" s="7"/>
      <c r="I874" s="5"/>
      <c r="J874" s="7" t="str">
        <f>'Ingest Template'!Q874</f>
        <v/>
      </c>
      <c r="K874" s="5" t="str">
        <f>'Ingest Template'!R874</f>
        <v/>
      </c>
      <c r="L874" s="8" t="s">
        <v>38</v>
      </c>
      <c r="M874" s="9"/>
      <c r="N874" s="5"/>
      <c r="O874" s="5"/>
      <c r="P874" s="5"/>
      <c r="Q874" s="5"/>
      <c r="R874" s="5" t="str">
        <f>'Ingest Template'!D874</f>
        <v/>
      </c>
      <c r="S874" s="5" t="str">
        <f>'Ingest Template'!G874</f>
        <v/>
      </c>
      <c r="T874" s="5" t="str">
        <f>'Ingest Template'!H874</f>
        <v/>
      </c>
      <c r="U874" s="5" t="str">
        <f>LOWER(SUBSTITUTE(SUBSTITUTE(SUBSTITUTE(SUBSTITUTE(SUBSTITUTE('Ingest Template'!I874,"https:",""),"www.",""),"/",""),"?hl=en",""),"instagram.com",""))</f>
        <v/>
      </c>
      <c r="V874" s="10" t="str">
        <f>'Ingest Template'!J874</f>
        <v/>
      </c>
      <c r="W874" s="10" t="str">
        <f>'Ingest Template'!K874</f>
        <v/>
      </c>
      <c r="X874" s="5"/>
      <c r="Y874" s="5" t="str">
        <f>SUBSTITUTE(SUBSTITUTE(SUBSTITUTE('Ingest Template'!L874,"http:",""),"https:",""),"/","")</f>
        <v/>
      </c>
      <c r="Z874" s="5" t="str">
        <f t="array" ref="Z874">IF('Ingest Template'!A874="Standard",(IF(ISBLANK('Ingest Template'!M874),"", 'Ingest Template'!M874&amp;"|DAR")),(IF(ISBLANK('Ingest Template'!M874),"", 'Ingest Template'!M874&amp;"|Operations - Core Title")))</f>
        <v/>
      </c>
      <c r="AA874" s="5"/>
      <c r="AB874" s="5" t="str">
        <f>'Ingest Template'!F874</f>
        <v/>
      </c>
      <c r="AC874" s="5"/>
      <c r="AD874" s="5"/>
      <c r="AE874" s="5"/>
      <c r="AF874" s="8"/>
      <c r="AG874" s="5" t="str">
        <f t="array" ref="AG874">IF('Ingest Template'!A874="Standard",(CONCATENATE(IF(ISBLANK('Ingest Template'!N874),"", 'Ingest Template'!N874&amp;"|DAR"),CHAR(10), IF(ISBLANK('Ingest Template'!O874),"", 'Ingest Template'!O874&amp;"|DAR"),CHAR(10), IF(ISBLANK('Ingest Template'!P874),"", 'Ingest Template'!P874&amp;"|DAR"))),(CONCATENATE(IF(ISBLANK('Ingest Template'!N874),"", 'Ingest Template'!N874&amp;"|Operations - Core Title"),CHAR(10), IF(ISBLANK('Ingest Template'!O874),"", 'Ingest Template'!O874&amp;"|Operations - Core Title"),CHAR(10), IF(ISBLANK('Ingest Template'!P874),"", 'Ingest Template'!P874&amp;"|Operations - Core Title"))))</f>
        <v>#|Operations - Core Title
</v>
      </c>
      <c r="AH874" s="5"/>
      <c r="AI874" s="5"/>
      <c r="AJ874" s="5"/>
      <c r="AK874" s="5"/>
      <c r="AL874" s="5"/>
    </row>
    <row r="875">
      <c r="A875" s="5"/>
      <c r="B875" s="5" t="str">
        <f>'Ingest Template'!B875&amp;IF('Ingest Template'!A875 = "Standard", " - DAR","")</f>
        <v/>
      </c>
      <c r="C875" s="6" t="str">
        <f>'Ingest Template'!C875</f>
        <v/>
      </c>
      <c r="D875" s="7" t="str">
        <f>'Ingest Template'!E875</f>
        <v/>
      </c>
      <c r="E875" s="5"/>
      <c r="F875" s="5"/>
      <c r="G875" s="5"/>
      <c r="H875" s="7"/>
      <c r="I875" s="5"/>
      <c r="J875" s="7" t="str">
        <f>'Ingest Template'!Q875</f>
        <v/>
      </c>
      <c r="K875" s="5" t="str">
        <f>'Ingest Template'!R875</f>
        <v/>
      </c>
      <c r="L875" s="8" t="s">
        <v>38</v>
      </c>
      <c r="M875" s="9"/>
      <c r="N875" s="5"/>
      <c r="O875" s="5"/>
      <c r="P875" s="5"/>
      <c r="Q875" s="5"/>
      <c r="R875" s="5" t="str">
        <f>'Ingest Template'!D875</f>
        <v/>
      </c>
      <c r="S875" s="5" t="str">
        <f>'Ingest Template'!G875</f>
        <v/>
      </c>
      <c r="T875" s="5" t="str">
        <f>'Ingest Template'!H875</f>
        <v/>
      </c>
      <c r="U875" s="5" t="str">
        <f>LOWER(SUBSTITUTE(SUBSTITUTE(SUBSTITUTE(SUBSTITUTE(SUBSTITUTE('Ingest Template'!I875,"https:",""),"www.",""),"/",""),"?hl=en",""),"instagram.com",""))</f>
        <v/>
      </c>
      <c r="V875" s="10" t="str">
        <f>'Ingest Template'!J875</f>
        <v/>
      </c>
      <c r="W875" s="10" t="str">
        <f>'Ingest Template'!K875</f>
        <v/>
      </c>
      <c r="X875" s="5"/>
      <c r="Y875" s="5" t="str">
        <f>SUBSTITUTE(SUBSTITUTE(SUBSTITUTE('Ingest Template'!L875,"http:",""),"https:",""),"/","")</f>
        <v/>
      </c>
      <c r="Z875" s="5" t="str">
        <f t="array" ref="Z875">IF('Ingest Template'!A875="Standard",(IF(ISBLANK('Ingest Template'!M875),"", 'Ingest Template'!M875&amp;"|DAR")),(IF(ISBLANK('Ingest Template'!M875),"", 'Ingest Template'!M875&amp;"|Operations - Core Title")))</f>
        <v/>
      </c>
      <c r="AA875" s="5"/>
      <c r="AB875" s="5" t="str">
        <f>'Ingest Template'!F875</f>
        <v/>
      </c>
      <c r="AC875" s="5"/>
      <c r="AD875" s="5"/>
      <c r="AE875" s="5"/>
      <c r="AF875" s="8"/>
      <c r="AG875" s="5" t="str">
        <f t="array" ref="AG875">IF('Ingest Template'!A875="Standard",(CONCATENATE(IF(ISBLANK('Ingest Template'!N875),"", 'Ingest Template'!N875&amp;"|DAR"),CHAR(10), IF(ISBLANK('Ingest Template'!O875),"", 'Ingest Template'!O875&amp;"|DAR"),CHAR(10), IF(ISBLANK('Ingest Template'!P875),"", 'Ingest Template'!P875&amp;"|DAR"))),(CONCATENATE(IF(ISBLANK('Ingest Template'!N875),"", 'Ingest Template'!N875&amp;"|Operations - Core Title"),CHAR(10), IF(ISBLANK('Ingest Template'!O875),"", 'Ingest Template'!O875&amp;"|Operations - Core Title"),CHAR(10), IF(ISBLANK('Ingest Template'!P875),"", 'Ingest Template'!P875&amp;"|Operations - Core Title"))))</f>
        <v>#|Operations - Core Title
</v>
      </c>
      <c r="AH875" s="5"/>
      <c r="AI875" s="5"/>
      <c r="AJ875" s="5"/>
      <c r="AK875" s="5"/>
      <c r="AL875" s="5"/>
    </row>
    <row r="876">
      <c r="A876" s="5"/>
      <c r="B876" s="5" t="str">
        <f>'Ingest Template'!B876&amp;IF('Ingest Template'!A876 = "Standard", " - DAR","")</f>
        <v/>
      </c>
      <c r="C876" s="6" t="str">
        <f>'Ingest Template'!C876</f>
        <v/>
      </c>
      <c r="D876" s="7" t="str">
        <f>'Ingest Template'!E876</f>
        <v/>
      </c>
      <c r="E876" s="5"/>
      <c r="F876" s="5"/>
      <c r="G876" s="5"/>
      <c r="H876" s="7"/>
      <c r="I876" s="5"/>
      <c r="J876" s="7" t="str">
        <f>'Ingest Template'!Q876</f>
        <v/>
      </c>
      <c r="K876" s="5" t="str">
        <f>'Ingest Template'!R876</f>
        <v/>
      </c>
      <c r="L876" s="8" t="s">
        <v>38</v>
      </c>
      <c r="M876" s="9"/>
      <c r="N876" s="5"/>
      <c r="O876" s="5"/>
      <c r="P876" s="5"/>
      <c r="Q876" s="5"/>
      <c r="R876" s="5" t="str">
        <f>'Ingest Template'!D876</f>
        <v/>
      </c>
      <c r="S876" s="5" t="str">
        <f>'Ingest Template'!G876</f>
        <v/>
      </c>
      <c r="T876" s="5" t="str">
        <f>'Ingest Template'!H876</f>
        <v/>
      </c>
      <c r="U876" s="5" t="str">
        <f>LOWER(SUBSTITUTE(SUBSTITUTE(SUBSTITUTE(SUBSTITUTE(SUBSTITUTE('Ingest Template'!I876,"https:",""),"www.",""),"/",""),"?hl=en",""),"instagram.com",""))</f>
        <v/>
      </c>
      <c r="V876" s="10" t="str">
        <f>'Ingest Template'!J876</f>
        <v/>
      </c>
      <c r="W876" s="10" t="str">
        <f>'Ingest Template'!K876</f>
        <v/>
      </c>
      <c r="X876" s="5"/>
      <c r="Y876" s="5" t="str">
        <f>SUBSTITUTE(SUBSTITUTE(SUBSTITUTE('Ingest Template'!L876,"http:",""),"https:",""),"/","")</f>
        <v/>
      </c>
      <c r="Z876" s="5" t="str">
        <f t="array" ref="Z876">IF('Ingest Template'!A876="Standard",(IF(ISBLANK('Ingest Template'!M876),"", 'Ingest Template'!M876&amp;"|DAR")),(IF(ISBLANK('Ingest Template'!M876),"", 'Ingest Template'!M876&amp;"|Operations - Core Title")))</f>
        <v/>
      </c>
      <c r="AA876" s="5"/>
      <c r="AB876" s="5" t="str">
        <f>'Ingest Template'!F876</f>
        <v/>
      </c>
      <c r="AC876" s="5"/>
      <c r="AD876" s="5"/>
      <c r="AE876" s="5"/>
      <c r="AF876" s="8"/>
      <c r="AG876" s="5" t="str">
        <f t="array" ref="AG876">IF('Ingest Template'!A876="Standard",(CONCATENATE(IF(ISBLANK('Ingest Template'!N876),"", 'Ingest Template'!N876&amp;"|DAR"),CHAR(10), IF(ISBLANK('Ingest Template'!O876),"", 'Ingest Template'!O876&amp;"|DAR"),CHAR(10), IF(ISBLANK('Ingest Template'!P876),"", 'Ingest Template'!P876&amp;"|DAR"))),(CONCATENATE(IF(ISBLANK('Ingest Template'!N876),"", 'Ingest Template'!N876&amp;"|Operations - Core Title"),CHAR(10), IF(ISBLANK('Ingest Template'!O876),"", 'Ingest Template'!O876&amp;"|Operations - Core Title"),CHAR(10), IF(ISBLANK('Ingest Template'!P876),"", 'Ingest Template'!P876&amp;"|Operations - Core Title"))))</f>
        <v>#|Operations - Core Title
</v>
      </c>
      <c r="AH876" s="5"/>
      <c r="AI876" s="5"/>
      <c r="AJ876" s="5"/>
      <c r="AK876" s="5"/>
      <c r="AL876" s="5"/>
    </row>
    <row r="877">
      <c r="A877" s="5"/>
      <c r="B877" s="5" t="str">
        <f>'Ingest Template'!B877&amp;IF('Ingest Template'!A877 = "Standard", " - DAR","")</f>
        <v/>
      </c>
      <c r="C877" s="6" t="str">
        <f>'Ingest Template'!C877</f>
        <v/>
      </c>
      <c r="D877" s="7" t="str">
        <f>'Ingest Template'!E877</f>
        <v/>
      </c>
      <c r="E877" s="5"/>
      <c r="F877" s="5"/>
      <c r="G877" s="5"/>
      <c r="H877" s="7"/>
      <c r="I877" s="5"/>
      <c r="J877" s="7" t="str">
        <f>'Ingest Template'!Q877</f>
        <v/>
      </c>
      <c r="K877" s="5" t="str">
        <f>'Ingest Template'!R877</f>
        <v/>
      </c>
      <c r="L877" s="8" t="s">
        <v>38</v>
      </c>
      <c r="M877" s="9"/>
      <c r="N877" s="5"/>
      <c r="O877" s="5"/>
      <c r="P877" s="5"/>
      <c r="Q877" s="5"/>
      <c r="R877" s="5" t="str">
        <f>'Ingest Template'!D877</f>
        <v/>
      </c>
      <c r="S877" s="5" t="str">
        <f>'Ingest Template'!G877</f>
        <v/>
      </c>
      <c r="T877" s="5" t="str">
        <f>'Ingest Template'!H877</f>
        <v/>
      </c>
      <c r="U877" s="5" t="str">
        <f>LOWER(SUBSTITUTE(SUBSTITUTE(SUBSTITUTE(SUBSTITUTE(SUBSTITUTE('Ingest Template'!I877,"https:",""),"www.",""),"/",""),"?hl=en",""),"instagram.com",""))</f>
        <v/>
      </c>
      <c r="V877" s="10" t="str">
        <f>'Ingest Template'!J877</f>
        <v/>
      </c>
      <c r="W877" s="10" t="str">
        <f>'Ingest Template'!K877</f>
        <v/>
      </c>
      <c r="X877" s="5"/>
      <c r="Y877" s="5" t="str">
        <f>SUBSTITUTE(SUBSTITUTE(SUBSTITUTE('Ingest Template'!L877,"http:",""),"https:",""),"/","")</f>
        <v/>
      </c>
      <c r="Z877" s="5" t="str">
        <f t="array" ref="Z877">IF('Ingest Template'!A877="Standard",(IF(ISBLANK('Ingest Template'!M877),"", 'Ingest Template'!M877&amp;"|DAR")),(IF(ISBLANK('Ingest Template'!M877),"", 'Ingest Template'!M877&amp;"|Operations - Core Title")))</f>
        <v/>
      </c>
      <c r="AA877" s="5"/>
      <c r="AB877" s="5" t="str">
        <f>'Ingest Template'!F877</f>
        <v/>
      </c>
      <c r="AC877" s="5"/>
      <c r="AD877" s="5"/>
      <c r="AE877" s="5"/>
      <c r="AF877" s="8"/>
      <c r="AG877" s="5" t="str">
        <f t="array" ref="AG877">IF('Ingest Template'!A877="Standard",(CONCATENATE(IF(ISBLANK('Ingest Template'!N877),"", 'Ingest Template'!N877&amp;"|DAR"),CHAR(10), IF(ISBLANK('Ingest Template'!O877),"", 'Ingest Template'!O877&amp;"|DAR"),CHAR(10), IF(ISBLANK('Ingest Template'!P877),"", 'Ingest Template'!P877&amp;"|DAR"))),(CONCATENATE(IF(ISBLANK('Ingest Template'!N877),"", 'Ingest Template'!N877&amp;"|Operations - Core Title"),CHAR(10), IF(ISBLANK('Ingest Template'!O877),"", 'Ingest Template'!O877&amp;"|Operations - Core Title"),CHAR(10), IF(ISBLANK('Ingest Template'!P877),"", 'Ingest Template'!P877&amp;"|Operations - Core Title"))))</f>
        <v>#|Operations - Core Title
</v>
      </c>
      <c r="AH877" s="5"/>
      <c r="AI877" s="5"/>
      <c r="AJ877" s="5"/>
      <c r="AK877" s="5"/>
      <c r="AL877" s="5"/>
    </row>
    <row r="878">
      <c r="A878" s="5"/>
      <c r="B878" s="5" t="str">
        <f>'Ingest Template'!B878&amp;IF('Ingest Template'!A878 = "Standard", " - DAR","")</f>
        <v/>
      </c>
      <c r="C878" s="6" t="str">
        <f>'Ingest Template'!C878</f>
        <v/>
      </c>
      <c r="D878" s="7" t="str">
        <f>'Ingest Template'!E878</f>
        <v/>
      </c>
      <c r="E878" s="5"/>
      <c r="F878" s="5"/>
      <c r="G878" s="5"/>
      <c r="H878" s="7"/>
      <c r="I878" s="5"/>
      <c r="J878" s="7" t="str">
        <f>'Ingest Template'!Q878</f>
        <v/>
      </c>
      <c r="K878" s="5" t="str">
        <f>'Ingest Template'!R878</f>
        <v/>
      </c>
      <c r="L878" s="8" t="s">
        <v>38</v>
      </c>
      <c r="M878" s="9"/>
      <c r="N878" s="5"/>
      <c r="O878" s="5"/>
      <c r="P878" s="5"/>
      <c r="Q878" s="5"/>
      <c r="R878" s="5" t="str">
        <f>'Ingest Template'!D878</f>
        <v/>
      </c>
      <c r="S878" s="5" t="str">
        <f>'Ingest Template'!G878</f>
        <v/>
      </c>
      <c r="T878" s="5" t="str">
        <f>'Ingest Template'!H878</f>
        <v/>
      </c>
      <c r="U878" s="5" t="str">
        <f>LOWER(SUBSTITUTE(SUBSTITUTE(SUBSTITUTE(SUBSTITUTE(SUBSTITUTE('Ingest Template'!I878,"https:",""),"www.",""),"/",""),"?hl=en",""),"instagram.com",""))</f>
        <v/>
      </c>
      <c r="V878" s="10" t="str">
        <f>'Ingest Template'!J878</f>
        <v/>
      </c>
      <c r="W878" s="10" t="str">
        <f>'Ingest Template'!K878</f>
        <v/>
      </c>
      <c r="X878" s="5"/>
      <c r="Y878" s="5" t="str">
        <f>SUBSTITUTE(SUBSTITUTE(SUBSTITUTE('Ingest Template'!L878,"http:",""),"https:",""),"/","")</f>
        <v/>
      </c>
      <c r="Z878" s="5" t="str">
        <f t="array" ref="Z878">IF('Ingest Template'!A878="Standard",(IF(ISBLANK('Ingest Template'!M878),"", 'Ingest Template'!M878&amp;"|DAR")),(IF(ISBLANK('Ingest Template'!M878),"", 'Ingest Template'!M878&amp;"|Operations - Core Title")))</f>
        <v/>
      </c>
      <c r="AA878" s="5"/>
      <c r="AB878" s="5" t="str">
        <f>'Ingest Template'!F878</f>
        <v/>
      </c>
      <c r="AC878" s="5"/>
      <c r="AD878" s="5"/>
      <c r="AE878" s="5"/>
      <c r="AF878" s="8"/>
      <c r="AG878" s="5" t="str">
        <f t="array" ref="AG878">IF('Ingest Template'!A878="Standard",(CONCATENATE(IF(ISBLANK('Ingest Template'!N878),"", 'Ingest Template'!N878&amp;"|DAR"),CHAR(10), IF(ISBLANK('Ingest Template'!O878),"", 'Ingest Template'!O878&amp;"|DAR"),CHAR(10), IF(ISBLANK('Ingest Template'!P878),"", 'Ingest Template'!P878&amp;"|DAR"))),(CONCATENATE(IF(ISBLANK('Ingest Template'!N878),"", 'Ingest Template'!N878&amp;"|Operations - Core Title"),CHAR(10), IF(ISBLANK('Ingest Template'!O878),"", 'Ingest Template'!O878&amp;"|Operations - Core Title"),CHAR(10), IF(ISBLANK('Ingest Template'!P878),"", 'Ingest Template'!P878&amp;"|Operations - Core Title"))))</f>
        <v>#|Operations - Core Title
</v>
      </c>
      <c r="AH878" s="5"/>
      <c r="AI878" s="5"/>
      <c r="AJ878" s="5"/>
      <c r="AK878" s="5"/>
      <c r="AL878" s="5"/>
    </row>
    <row r="879">
      <c r="A879" s="5"/>
      <c r="B879" s="5" t="str">
        <f>'Ingest Template'!B879&amp;IF('Ingest Template'!A879 = "Standard", " - DAR","")</f>
        <v/>
      </c>
      <c r="C879" s="6" t="str">
        <f>'Ingest Template'!C879</f>
        <v/>
      </c>
      <c r="D879" s="7" t="str">
        <f>'Ingest Template'!E879</f>
        <v/>
      </c>
      <c r="E879" s="5"/>
      <c r="F879" s="5"/>
      <c r="G879" s="5"/>
      <c r="H879" s="7"/>
      <c r="I879" s="5"/>
      <c r="J879" s="7" t="str">
        <f>'Ingest Template'!Q879</f>
        <v/>
      </c>
      <c r="K879" s="5" t="str">
        <f>'Ingest Template'!R879</f>
        <v/>
      </c>
      <c r="L879" s="8" t="s">
        <v>38</v>
      </c>
      <c r="M879" s="9"/>
      <c r="N879" s="5"/>
      <c r="O879" s="5"/>
      <c r="P879" s="5"/>
      <c r="Q879" s="5"/>
      <c r="R879" s="5" t="str">
        <f>'Ingest Template'!D879</f>
        <v/>
      </c>
      <c r="S879" s="5" t="str">
        <f>'Ingest Template'!G879</f>
        <v/>
      </c>
      <c r="T879" s="5" t="str">
        <f>'Ingest Template'!H879</f>
        <v/>
      </c>
      <c r="U879" s="5" t="str">
        <f>LOWER(SUBSTITUTE(SUBSTITUTE(SUBSTITUTE(SUBSTITUTE(SUBSTITUTE('Ingest Template'!I879,"https:",""),"www.",""),"/",""),"?hl=en",""),"instagram.com",""))</f>
        <v/>
      </c>
      <c r="V879" s="10" t="str">
        <f>'Ingest Template'!J879</f>
        <v/>
      </c>
      <c r="W879" s="10" t="str">
        <f>'Ingest Template'!K879</f>
        <v/>
      </c>
      <c r="X879" s="5"/>
      <c r="Y879" s="5" t="str">
        <f>SUBSTITUTE(SUBSTITUTE(SUBSTITUTE('Ingest Template'!L879,"http:",""),"https:",""),"/","")</f>
        <v/>
      </c>
      <c r="Z879" s="5" t="str">
        <f t="array" ref="Z879">IF('Ingest Template'!A879="Standard",(IF(ISBLANK('Ingest Template'!M879),"", 'Ingest Template'!M879&amp;"|DAR")),(IF(ISBLANK('Ingest Template'!M879),"", 'Ingest Template'!M879&amp;"|Operations - Core Title")))</f>
        <v/>
      </c>
      <c r="AA879" s="5"/>
      <c r="AB879" s="5" t="str">
        <f>'Ingest Template'!F879</f>
        <v/>
      </c>
      <c r="AC879" s="5"/>
      <c r="AD879" s="5"/>
      <c r="AE879" s="5"/>
      <c r="AF879" s="8"/>
      <c r="AG879" s="5" t="str">
        <f t="array" ref="AG879">IF('Ingest Template'!A879="Standard",(CONCATENATE(IF(ISBLANK('Ingest Template'!N879),"", 'Ingest Template'!N879&amp;"|DAR"),CHAR(10), IF(ISBLANK('Ingest Template'!O879),"", 'Ingest Template'!O879&amp;"|DAR"),CHAR(10), IF(ISBLANK('Ingest Template'!P879),"", 'Ingest Template'!P879&amp;"|DAR"))),(CONCATENATE(IF(ISBLANK('Ingest Template'!N879),"", 'Ingest Template'!N879&amp;"|Operations - Core Title"),CHAR(10), IF(ISBLANK('Ingest Template'!O879),"", 'Ingest Template'!O879&amp;"|Operations - Core Title"),CHAR(10), IF(ISBLANK('Ingest Template'!P879),"", 'Ingest Template'!P879&amp;"|Operations - Core Title"))))</f>
        <v>#|Operations - Core Title
</v>
      </c>
      <c r="AH879" s="5"/>
      <c r="AI879" s="5"/>
      <c r="AJ879" s="5"/>
      <c r="AK879" s="5"/>
      <c r="AL879" s="5"/>
    </row>
    <row r="880">
      <c r="A880" s="5"/>
      <c r="B880" s="5" t="str">
        <f>'Ingest Template'!B880&amp;IF('Ingest Template'!A880 = "Standard", " - DAR","")</f>
        <v/>
      </c>
      <c r="C880" s="6" t="str">
        <f>'Ingest Template'!C880</f>
        <v/>
      </c>
      <c r="D880" s="7" t="str">
        <f>'Ingest Template'!E880</f>
        <v/>
      </c>
      <c r="E880" s="5"/>
      <c r="F880" s="5"/>
      <c r="G880" s="5"/>
      <c r="H880" s="7"/>
      <c r="I880" s="5"/>
      <c r="J880" s="7" t="str">
        <f>'Ingest Template'!Q880</f>
        <v/>
      </c>
      <c r="K880" s="5" t="str">
        <f>'Ingest Template'!R880</f>
        <v/>
      </c>
      <c r="L880" s="8" t="s">
        <v>38</v>
      </c>
      <c r="M880" s="9"/>
      <c r="N880" s="5"/>
      <c r="O880" s="5"/>
      <c r="P880" s="5"/>
      <c r="Q880" s="5"/>
      <c r="R880" s="5" t="str">
        <f>'Ingest Template'!D880</f>
        <v/>
      </c>
      <c r="S880" s="5" t="str">
        <f>'Ingest Template'!G880</f>
        <v/>
      </c>
      <c r="T880" s="5" t="str">
        <f>'Ingest Template'!H880</f>
        <v/>
      </c>
      <c r="U880" s="5" t="str">
        <f>LOWER(SUBSTITUTE(SUBSTITUTE(SUBSTITUTE(SUBSTITUTE(SUBSTITUTE('Ingest Template'!I880,"https:",""),"www.",""),"/",""),"?hl=en",""),"instagram.com",""))</f>
        <v/>
      </c>
      <c r="V880" s="10" t="str">
        <f>'Ingest Template'!J880</f>
        <v/>
      </c>
      <c r="W880" s="10" t="str">
        <f>'Ingest Template'!K880</f>
        <v/>
      </c>
      <c r="X880" s="5"/>
      <c r="Y880" s="5" t="str">
        <f>SUBSTITUTE(SUBSTITUTE(SUBSTITUTE('Ingest Template'!L880,"http:",""),"https:",""),"/","")</f>
        <v/>
      </c>
      <c r="Z880" s="5" t="str">
        <f t="array" ref="Z880">IF('Ingest Template'!A880="Standard",(IF(ISBLANK('Ingest Template'!M880),"", 'Ingest Template'!M880&amp;"|DAR")),(IF(ISBLANK('Ingest Template'!M880),"", 'Ingest Template'!M880&amp;"|Operations - Core Title")))</f>
        <v/>
      </c>
      <c r="AA880" s="5"/>
      <c r="AB880" s="5" t="str">
        <f>'Ingest Template'!F880</f>
        <v/>
      </c>
      <c r="AC880" s="5"/>
      <c r="AD880" s="5"/>
      <c r="AE880" s="5"/>
      <c r="AF880" s="8"/>
      <c r="AG880" s="5" t="str">
        <f t="array" ref="AG880">IF('Ingest Template'!A880="Standard",(CONCATENATE(IF(ISBLANK('Ingest Template'!N880),"", 'Ingest Template'!N880&amp;"|DAR"),CHAR(10), IF(ISBLANK('Ingest Template'!O880),"", 'Ingest Template'!O880&amp;"|DAR"),CHAR(10), IF(ISBLANK('Ingest Template'!P880),"", 'Ingest Template'!P880&amp;"|DAR"))),(CONCATENATE(IF(ISBLANK('Ingest Template'!N880),"", 'Ingest Template'!N880&amp;"|Operations - Core Title"),CHAR(10), IF(ISBLANK('Ingest Template'!O880),"", 'Ingest Template'!O880&amp;"|Operations - Core Title"),CHAR(10), IF(ISBLANK('Ingest Template'!P880),"", 'Ingest Template'!P880&amp;"|Operations - Core Title"))))</f>
        <v>#|Operations - Core Title
</v>
      </c>
      <c r="AH880" s="5"/>
      <c r="AI880" s="5"/>
      <c r="AJ880" s="5"/>
      <c r="AK880" s="5"/>
      <c r="AL880" s="5"/>
    </row>
    <row r="881">
      <c r="A881" s="5"/>
      <c r="B881" s="5" t="str">
        <f>'Ingest Template'!B881&amp;IF('Ingest Template'!A881 = "Standard", " - DAR","")</f>
        <v/>
      </c>
      <c r="C881" s="6" t="str">
        <f>'Ingest Template'!C881</f>
        <v/>
      </c>
      <c r="D881" s="7" t="str">
        <f>'Ingest Template'!E881</f>
        <v/>
      </c>
      <c r="E881" s="5"/>
      <c r="F881" s="5"/>
      <c r="G881" s="5"/>
      <c r="H881" s="7"/>
      <c r="I881" s="5"/>
      <c r="J881" s="7" t="str">
        <f>'Ingest Template'!Q881</f>
        <v/>
      </c>
      <c r="K881" s="5" t="str">
        <f>'Ingest Template'!R881</f>
        <v/>
      </c>
      <c r="L881" s="8" t="s">
        <v>38</v>
      </c>
      <c r="M881" s="9"/>
      <c r="N881" s="5"/>
      <c r="O881" s="5"/>
      <c r="P881" s="5"/>
      <c r="Q881" s="5"/>
      <c r="R881" s="5" t="str">
        <f>'Ingest Template'!D881</f>
        <v/>
      </c>
      <c r="S881" s="5" t="str">
        <f>'Ingest Template'!G881</f>
        <v/>
      </c>
      <c r="T881" s="5" t="str">
        <f>'Ingest Template'!H881</f>
        <v/>
      </c>
      <c r="U881" s="5" t="str">
        <f>LOWER(SUBSTITUTE(SUBSTITUTE(SUBSTITUTE(SUBSTITUTE(SUBSTITUTE('Ingest Template'!I881,"https:",""),"www.",""),"/",""),"?hl=en",""),"instagram.com",""))</f>
        <v/>
      </c>
      <c r="V881" s="10" t="str">
        <f>'Ingest Template'!J881</f>
        <v/>
      </c>
      <c r="W881" s="10" t="str">
        <f>'Ingest Template'!K881</f>
        <v/>
      </c>
      <c r="X881" s="5"/>
      <c r="Y881" s="5" t="str">
        <f>SUBSTITUTE(SUBSTITUTE(SUBSTITUTE('Ingest Template'!L881,"http:",""),"https:",""),"/","")</f>
        <v/>
      </c>
      <c r="Z881" s="5" t="str">
        <f t="array" ref="Z881">IF('Ingest Template'!A881="Standard",(IF(ISBLANK('Ingest Template'!M881),"", 'Ingest Template'!M881&amp;"|DAR")),(IF(ISBLANK('Ingest Template'!M881),"", 'Ingest Template'!M881&amp;"|Operations - Core Title")))</f>
        <v/>
      </c>
      <c r="AA881" s="5"/>
      <c r="AB881" s="5" t="str">
        <f>'Ingest Template'!F881</f>
        <v/>
      </c>
      <c r="AC881" s="5"/>
      <c r="AD881" s="5"/>
      <c r="AE881" s="5"/>
      <c r="AF881" s="8"/>
      <c r="AG881" s="5" t="str">
        <f t="array" ref="AG881">IF('Ingest Template'!A881="Standard",(CONCATENATE(IF(ISBLANK('Ingest Template'!N881),"", 'Ingest Template'!N881&amp;"|DAR"),CHAR(10), IF(ISBLANK('Ingest Template'!O881),"", 'Ingest Template'!O881&amp;"|DAR"),CHAR(10), IF(ISBLANK('Ingest Template'!P881),"", 'Ingest Template'!P881&amp;"|DAR"))),(CONCATENATE(IF(ISBLANK('Ingest Template'!N881),"", 'Ingest Template'!N881&amp;"|Operations - Core Title"),CHAR(10), IF(ISBLANK('Ingest Template'!O881),"", 'Ingest Template'!O881&amp;"|Operations - Core Title"),CHAR(10), IF(ISBLANK('Ingest Template'!P881),"", 'Ingest Template'!P881&amp;"|Operations - Core Title"))))</f>
        <v>#|Operations - Core Title
</v>
      </c>
      <c r="AH881" s="5"/>
      <c r="AI881" s="5"/>
      <c r="AJ881" s="5"/>
      <c r="AK881" s="5"/>
      <c r="AL881" s="5"/>
    </row>
    <row r="882">
      <c r="A882" s="5"/>
      <c r="B882" s="5" t="str">
        <f>'Ingest Template'!B882&amp;IF('Ingest Template'!A882 = "Standard", " - DAR","")</f>
        <v/>
      </c>
      <c r="C882" s="6" t="str">
        <f>'Ingest Template'!C882</f>
        <v/>
      </c>
      <c r="D882" s="7" t="str">
        <f>'Ingest Template'!E882</f>
        <v/>
      </c>
      <c r="E882" s="5"/>
      <c r="F882" s="5"/>
      <c r="G882" s="5"/>
      <c r="H882" s="7"/>
      <c r="I882" s="5"/>
      <c r="J882" s="7" t="str">
        <f>'Ingest Template'!Q882</f>
        <v/>
      </c>
      <c r="K882" s="5" t="str">
        <f>'Ingest Template'!R882</f>
        <v/>
      </c>
      <c r="L882" s="8" t="s">
        <v>38</v>
      </c>
      <c r="M882" s="9"/>
      <c r="N882" s="5"/>
      <c r="O882" s="5"/>
      <c r="P882" s="5"/>
      <c r="Q882" s="5"/>
      <c r="R882" s="5" t="str">
        <f>'Ingest Template'!D882</f>
        <v/>
      </c>
      <c r="S882" s="5" t="str">
        <f>'Ingest Template'!G882</f>
        <v/>
      </c>
      <c r="T882" s="5" t="str">
        <f>'Ingest Template'!H882</f>
        <v/>
      </c>
      <c r="U882" s="5" t="str">
        <f>LOWER(SUBSTITUTE(SUBSTITUTE(SUBSTITUTE(SUBSTITUTE(SUBSTITUTE('Ingest Template'!I882,"https:",""),"www.",""),"/",""),"?hl=en",""),"instagram.com",""))</f>
        <v/>
      </c>
      <c r="V882" s="10" t="str">
        <f>'Ingest Template'!J882</f>
        <v/>
      </c>
      <c r="W882" s="10" t="str">
        <f>'Ingest Template'!K882</f>
        <v/>
      </c>
      <c r="X882" s="5"/>
      <c r="Y882" s="5" t="str">
        <f>SUBSTITUTE(SUBSTITUTE(SUBSTITUTE('Ingest Template'!L882,"http:",""),"https:",""),"/","")</f>
        <v/>
      </c>
      <c r="Z882" s="5" t="str">
        <f t="array" ref="Z882">IF('Ingest Template'!A882="Standard",(IF(ISBLANK('Ingest Template'!M882),"", 'Ingest Template'!M882&amp;"|DAR")),(IF(ISBLANK('Ingest Template'!M882),"", 'Ingest Template'!M882&amp;"|Operations - Core Title")))</f>
        <v/>
      </c>
      <c r="AA882" s="5"/>
      <c r="AB882" s="5" t="str">
        <f>'Ingest Template'!F882</f>
        <v/>
      </c>
      <c r="AC882" s="5"/>
      <c r="AD882" s="5"/>
      <c r="AE882" s="5"/>
      <c r="AF882" s="8"/>
      <c r="AG882" s="5" t="str">
        <f t="array" ref="AG882">IF('Ingest Template'!A882="Standard",(CONCATENATE(IF(ISBLANK('Ingest Template'!N882),"", 'Ingest Template'!N882&amp;"|DAR"),CHAR(10), IF(ISBLANK('Ingest Template'!O882),"", 'Ingest Template'!O882&amp;"|DAR"),CHAR(10), IF(ISBLANK('Ingest Template'!P882),"", 'Ingest Template'!P882&amp;"|DAR"))),(CONCATENATE(IF(ISBLANK('Ingest Template'!N882),"", 'Ingest Template'!N882&amp;"|Operations - Core Title"),CHAR(10), IF(ISBLANK('Ingest Template'!O882),"", 'Ingest Template'!O882&amp;"|Operations - Core Title"),CHAR(10), IF(ISBLANK('Ingest Template'!P882),"", 'Ingest Template'!P882&amp;"|Operations - Core Title"))))</f>
        <v>#|Operations - Core Title
</v>
      </c>
      <c r="AH882" s="5"/>
      <c r="AI882" s="5"/>
      <c r="AJ882" s="5"/>
      <c r="AK882" s="5"/>
      <c r="AL882" s="5"/>
    </row>
    <row r="883">
      <c r="A883" s="5"/>
      <c r="B883" s="5" t="str">
        <f>'Ingest Template'!B883&amp;IF('Ingest Template'!A883 = "Standard", " - DAR","")</f>
        <v/>
      </c>
      <c r="C883" s="6" t="str">
        <f>'Ingest Template'!C883</f>
        <v/>
      </c>
      <c r="D883" s="7" t="str">
        <f>'Ingest Template'!E883</f>
        <v/>
      </c>
      <c r="E883" s="5"/>
      <c r="F883" s="5"/>
      <c r="G883" s="5"/>
      <c r="H883" s="7"/>
      <c r="I883" s="5"/>
      <c r="J883" s="7" t="str">
        <f>'Ingest Template'!Q883</f>
        <v/>
      </c>
      <c r="K883" s="5" t="str">
        <f>'Ingest Template'!R883</f>
        <v/>
      </c>
      <c r="L883" s="8" t="s">
        <v>38</v>
      </c>
      <c r="M883" s="9"/>
      <c r="N883" s="5"/>
      <c r="O883" s="5"/>
      <c r="P883" s="5"/>
      <c r="Q883" s="5"/>
      <c r="R883" s="5" t="str">
        <f>'Ingest Template'!D883</f>
        <v/>
      </c>
      <c r="S883" s="5" t="str">
        <f>'Ingest Template'!G883</f>
        <v/>
      </c>
      <c r="T883" s="5" t="str">
        <f>'Ingest Template'!H883</f>
        <v/>
      </c>
      <c r="U883" s="5" t="str">
        <f>LOWER(SUBSTITUTE(SUBSTITUTE(SUBSTITUTE(SUBSTITUTE(SUBSTITUTE('Ingest Template'!I883,"https:",""),"www.",""),"/",""),"?hl=en",""),"instagram.com",""))</f>
        <v/>
      </c>
      <c r="V883" s="10" t="str">
        <f>'Ingest Template'!J883</f>
        <v/>
      </c>
      <c r="W883" s="10" t="str">
        <f>'Ingest Template'!K883</f>
        <v/>
      </c>
      <c r="X883" s="5"/>
      <c r="Y883" s="5" t="str">
        <f>SUBSTITUTE(SUBSTITUTE(SUBSTITUTE('Ingest Template'!L883,"http:",""),"https:",""),"/","")</f>
        <v/>
      </c>
      <c r="Z883" s="5" t="str">
        <f t="array" ref="Z883">IF('Ingest Template'!A883="Standard",(IF(ISBLANK('Ingest Template'!M883),"", 'Ingest Template'!M883&amp;"|DAR")),(IF(ISBLANK('Ingest Template'!M883),"", 'Ingest Template'!M883&amp;"|Operations - Core Title")))</f>
        <v/>
      </c>
      <c r="AA883" s="5"/>
      <c r="AB883" s="5" t="str">
        <f>'Ingest Template'!F883</f>
        <v/>
      </c>
      <c r="AC883" s="5"/>
      <c r="AD883" s="5"/>
      <c r="AE883" s="5"/>
      <c r="AF883" s="8"/>
      <c r="AG883" s="5" t="str">
        <f t="array" ref="AG883">IF('Ingest Template'!A883="Standard",(CONCATENATE(IF(ISBLANK('Ingest Template'!N883),"", 'Ingest Template'!N883&amp;"|DAR"),CHAR(10), IF(ISBLANK('Ingest Template'!O883),"", 'Ingest Template'!O883&amp;"|DAR"),CHAR(10), IF(ISBLANK('Ingest Template'!P883),"", 'Ingest Template'!P883&amp;"|DAR"))),(CONCATENATE(IF(ISBLANK('Ingest Template'!N883),"", 'Ingest Template'!N883&amp;"|Operations - Core Title"),CHAR(10), IF(ISBLANK('Ingest Template'!O883),"", 'Ingest Template'!O883&amp;"|Operations - Core Title"),CHAR(10), IF(ISBLANK('Ingest Template'!P883),"", 'Ingest Template'!P883&amp;"|Operations - Core Title"))))</f>
        <v>#|Operations - Core Title
</v>
      </c>
      <c r="AH883" s="5"/>
      <c r="AI883" s="5"/>
      <c r="AJ883" s="5"/>
      <c r="AK883" s="5"/>
      <c r="AL883" s="5"/>
    </row>
    <row r="884">
      <c r="A884" s="5"/>
      <c r="B884" s="5" t="str">
        <f>'Ingest Template'!B884&amp;IF('Ingest Template'!A884 = "Standard", " - DAR","")</f>
        <v/>
      </c>
      <c r="C884" s="6" t="str">
        <f>'Ingest Template'!C884</f>
        <v/>
      </c>
      <c r="D884" s="7" t="str">
        <f>'Ingest Template'!E884</f>
        <v/>
      </c>
      <c r="E884" s="5"/>
      <c r="F884" s="5"/>
      <c r="G884" s="5"/>
      <c r="H884" s="7"/>
      <c r="I884" s="5"/>
      <c r="J884" s="7" t="str">
        <f>'Ingest Template'!Q884</f>
        <v/>
      </c>
      <c r="K884" s="5" t="str">
        <f>'Ingest Template'!R884</f>
        <v/>
      </c>
      <c r="L884" s="8" t="s">
        <v>38</v>
      </c>
      <c r="M884" s="9"/>
      <c r="N884" s="5"/>
      <c r="O884" s="5"/>
      <c r="P884" s="5"/>
      <c r="Q884" s="5"/>
      <c r="R884" s="5" t="str">
        <f>'Ingest Template'!D884</f>
        <v/>
      </c>
      <c r="S884" s="5" t="str">
        <f>'Ingest Template'!G884</f>
        <v/>
      </c>
      <c r="T884" s="5" t="str">
        <f>'Ingest Template'!H884</f>
        <v/>
      </c>
      <c r="U884" s="5" t="str">
        <f>LOWER(SUBSTITUTE(SUBSTITUTE(SUBSTITUTE(SUBSTITUTE(SUBSTITUTE('Ingest Template'!I884,"https:",""),"www.",""),"/",""),"?hl=en",""),"instagram.com",""))</f>
        <v/>
      </c>
      <c r="V884" s="10" t="str">
        <f>'Ingest Template'!J884</f>
        <v/>
      </c>
      <c r="W884" s="10" t="str">
        <f>'Ingest Template'!K884</f>
        <v/>
      </c>
      <c r="X884" s="5"/>
      <c r="Y884" s="5" t="str">
        <f>SUBSTITUTE(SUBSTITUTE(SUBSTITUTE('Ingest Template'!L884,"http:",""),"https:",""),"/","")</f>
        <v/>
      </c>
      <c r="Z884" s="5" t="str">
        <f t="array" ref="Z884">IF('Ingest Template'!A884="Standard",(IF(ISBLANK('Ingest Template'!M884),"", 'Ingest Template'!M884&amp;"|DAR")),(IF(ISBLANK('Ingest Template'!M884),"", 'Ingest Template'!M884&amp;"|Operations - Core Title")))</f>
        <v/>
      </c>
      <c r="AA884" s="5"/>
      <c r="AB884" s="5" t="str">
        <f>'Ingest Template'!F884</f>
        <v/>
      </c>
      <c r="AC884" s="5"/>
      <c r="AD884" s="5"/>
      <c r="AE884" s="5"/>
      <c r="AF884" s="8"/>
      <c r="AG884" s="5" t="str">
        <f t="array" ref="AG884">IF('Ingest Template'!A884="Standard",(CONCATENATE(IF(ISBLANK('Ingest Template'!N884),"", 'Ingest Template'!N884&amp;"|DAR"),CHAR(10), IF(ISBLANK('Ingest Template'!O884),"", 'Ingest Template'!O884&amp;"|DAR"),CHAR(10), IF(ISBLANK('Ingest Template'!P884),"", 'Ingest Template'!P884&amp;"|DAR"))),(CONCATENATE(IF(ISBLANK('Ingest Template'!N884),"", 'Ingest Template'!N884&amp;"|Operations - Core Title"),CHAR(10), IF(ISBLANK('Ingest Template'!O884),"", 'Ingest Template'!O884&amp;"|Operations - Core Title"),CHAR(10), IF(ISBLANK('Ingest Template'!P884),"", 'Ingest Template'!P884&amp;"|Operations - Core Title"))))</f>
        <v>#|Operations - Core Title
</v>
      </c>
      <c r="AH884" s="5"/>
      <c r="AI884" s="5"/>
      <c r="AJ884" s="5"/>
      <c r="AK884" s="5"/>
      <c r="AL884" s="5"/>
    </row>
    <row r="885">
      <c r="A885" s="5"/>
      <c r="B885" s="5" t="str">
        <f>'Ingest Template'!B885&amp;IF('Ingest Template'!A885 = "Standard", " - DAR","")</f>
        <v/>
      </c>
      <c r="C885" s="6" t="str">
        <f>'Ingest Template'!C885</f>
        <v/>
      </c>
      <c r="D885" s="7" t="str">
        <f>'Ingest Template'!E885</f>
        <v/>
      </c>
      <c r="E885" s="5"/>
      <c r="F885" s="5"/>
      <c r="G885" s="5"/>
      <c r="H885" s="7"/>
      <c r="I885" s="5"/>
      <c r="J885" s="7" t="str">
        <f>'Ingest Template'!Q885</f>
        <v/>
      </c>
      <c r="K885" s="5" t="str">
        <f>'Ingest Template'!R885</f>
        <v/>
      </c>
      <c r="L885" s="8" t="s">
        <v>38</v>
      </c>
      <c r="M885" s="9"/>
      <c r="N885" s="5"/>
      <c r="O885" s="5"/>
      <c r="P885" s="5"/>
      <c r="Q885" s="5"/>
      <c r="R885" s="5" t="str">
        <f>'Ingest Template'!D885</f>
        <v/>
      </c>
      <c r="S885" s="5" t="str">
        <f>'Ingest Template'!G885</f>
        <v/>
      </c>
      <c r="T885" s="5" t="str">
        <f>'Ingest Template'!H885</f>
        <v/>
      </c>
      <c r="U885" s="5" t="str">
        <f>LOWER(SUBSTITUTE(SUBSTITUTE(SUBSTITUTE(SUBSTITUTE(SUBSTITUTE('Ingest Template'!I885,"https:",""),"www.",""),"/",""),"?hl=en",""),"instagram.com",""))</f>
        <v/>
      </c>
      <c r="V885" s="10" t="str">
        <f>'Ingest Template'!J885</f>
        <v/>
      </c>
      <c r="W885" s="10" t="str">
        <f>'Ingest Template'!K885</f>
        <v/>
      </c>
      <c r="X885" s="5"/>
      <c r="Y885" s="5" t="str">
        <f>SUBSTITUTE(SUBSTITUTE(SUBSTITUTE('Ingest Template'!L885,"http:",""),"https:",""),"/","")</f>
        <v/>
      </c>
      <c r="Z885" s="5" t="str">
        <f t="array" ref="Z885">IF('Ingest Template'!A885="Standard",(IF(ISBLANK('Ingest Template'!M885),"", 'Ingest Template'!M885&amp;"|DAR")),(IF(ISBLANK('Ingest Template'!M885),"", 'Ingest Template'!M885&amp;"|Operations - Core Title")))</f>
        <v/>
      </c>
      <c r="AA885" s="5"/>
      <c r="AB885" s="5" t="str">
        <f>'Ingest Template'!F885</f>
        <v/>
      </c>
      <c r="AC885" s="5"/>
      <c r="AD885" s="5"/>
      <c r="AE885" s="5"/>
      <c r="AF885" s="8"/>
      <c r="AG885" s="5" t="str">
        <f t="array" ref="AG885">IF('Ingest Template'!A885="Standard",(CONCATENATE(IF(ISBLANK('Ingest Template'!N885),"", 'Ingest Template'!N885&amp;"|DAR"),CHAR(10), IF(ISBLANK('Ingest Template'!O885),"", 'Ingest Template'!O885&amp;"|DAR"),CHAR(10), IF(ISBLANK('Ingest Template'!P885),"", 'Ingest Template'!P885&amp;"|DAR"))),(CONCATENATE(IF(ISBLANK('Ingest Template'!N885),"", 'Ingest Template'!N885&amp;"|Operations - Core Title"),CHAR(10), IF(ISBLANK('Ingest Template'!O885),"", 'Ingest Template'!O885&amp;"|Operations - Core Title"),CHAR(10), IF(ISBLANK('Ingest Template'!P885),"", 'Ingest Template'!P885&amp;"|Operations - Core Title"))))</f>
        <v>#|Operations - Core Title
</v>
      </c>
      <c r="AH885" s="5"/>
      <c r="AI885" s="5"/>
      <c r="AJ885" s="5"/>
      <c r="AK885" s="5"/>
      <c r="AL885" s="5"/>
    </row>
    <row r="886">
      <c r="A886" s="5"/>
      <c r="B886" s="5" t="str">
        <f>'Ingest Template'!B886&amp;IF('Ingest Template'!A886 = "Standard", " - DAR","")</f>
        <v/>
      </c>
      <c r="C886" s="6" t="str">
        <f>'Ingest Template'!C886</f>
        <v/>
      </c>
      <c r="D886" s="7" t="str">
        <f>'Ingest Template'!E886</f>
        <v/>
      </c>
      <c r="E886" s="5"/>
      <c r="F886" s="5"/>
      <c r="G886" s="5"/>
      <c r="H886" s="7"/>
      <c r="I886" s="5"/>
      <c r="J886" s="7" t="str">
        <f>'Ingest Template'!Q886</f>
        <v/>
      </c>
      <c r="K886" s="5" t="str">
        <f>'Ingest Template'!R886</f>
        <v/>
      </c>
      <c r="L886" s="8" t="s">
        <v>38</v>
      </c>
      <c r="M886" s="9"/>
      <c r="N886" s="5"/>
      <c r="O886" s="5"/>
      <c r="P886" s="5"/>
      <c r="Q886" s="5"/>
      <c r="R886" s="5" t="str">
        <f>'Ingest Template'!D886</f>
        <v/>
      </c>
      <c r="S886" s="5" t="str">
        <f>'Ingest Template'!G886</f>
        <v/>
      </c>
      <c r="T886" s="5" t="str">
        <f>'Ingest Template'!H886</f>
        <v/>
      </c>
      <c r="U886" s="5" t="str">
        <f>LOWER(SUBSTITUTE(SUBSTITUTE(SUBSTITUTE(SUBSTITUTE(SUBSTITUTE('Ingest Template'!I886,"https:",""),"www.",""),"/",""),"?hl=en",""),"instagram.com",""))</f>
        <v/>
      </c>
      <c r="V886" s="10" t="str">
        <f>'Ingest Template'!J886</f>
        <v/>
      </c>
      <c r="W886" s="10" t="str">
        <f>'Ingest Template'!K886</f>
        <v/>
      </c>
      <c r="X886" s="5"/>
      <c r="Y886" s="5" t="str">
        <f>SUBSTITUTE(SUBSTITUTE(SUBSTITUTE('Ingest Template'!L886,"http:",""),"https:",""),"/","")</f>
        <v/>
      </c>
      <c r="Z886" s="5" t="str">
        <f t="array" ref="Z886">IF('Ingest Template'!A886="Standard",(IF(ISBLANK('Ingest Template'!M886),"", 'Ingest Template'!M886&amp;"|DAR")),(IF(ISBLANK('Ingest Template'!M886),"", 'Ingest Template'!M886&amp;"|Operations - Core Title")))</f>
        <v/>
      </c>
      <c r="AA886" s="5"/>
      <c r="AB886" s="5" t="str">
        <f>'Ingest Template'!F886</f>
        <v/>
      </c>
      <c r="AC886" s="5"/>
      <c r="AD886" s="5"/>
      <c r="AE886" s="5"/>
      <c r="AF886" s="8"/>
      <c r="AG886" s="5" t="str">
        <f t="array" ref="AG886">IF('Ingest Template'!A886="Standard",(CONCATENATE(IF(ISBLANK('Ingest Template'!N886),"", 'Ingest Template'!N886&amp;"|DAR"),CHAR(10), IF(ISBLANK('Ingest Template'!O886),"", 'Ingest Template'!O886&amp;"|DAR"),CHAR(10), IF(ISBLANK('Ingest Template'!P886),"", 'Ingest Template'!P886&amp;"|DAR"))),(CONCATENATE(IF(ISBLANK('Ingest Template'!N886),"", 'Ingest Template'!N886&amp;"|Operations - Core Title"),CHAR(10), IF(ISBLANK('Ingest Template'!O886),"", 'Ingest Template'!O886&amp;"|Operations - Core Title"),CHAR(10), IF(ISBLANK('Ingest Template'!P886),"", 'Ingest Template'!P886&amp;"|Operations - Core Title"))))</f>
        <v>#|Operations - Core Title
</v>
      </c>
      <c r="AH886" s="5"/>
      <c r="AI886" s="5"/>
      <c r="AJ886" s="5"/>
      <c r="AK886" s="5"/>
      <c r="AL886" s="5"/>
    </row>
    <row r="887">
      <c r="A887" s="5"/>
      <c r="B887" s="5" t="str">
        <f>'Ingest Template'!B887&amp;IF('Ingest Template'!A887 = "Standard", " - DAR","")</f>
        <v/>
      </c>
      <c r="C887" s="6" t="str">
        <f>'Ingest Template'!C887</f>
        <v/>
      </c>
      <c r="D887" s="7" t="str">
        <f>'Ingest Template'!E887</f>
        <v/>
      </c>
      <c r="E887" s="5"/>
      <c r="F887" s="5"/>
      <c r="G887" s="5"/>
      <c r="H887" s="7"/>
      <c r="I887" s="5"/>
      <c r="J887" s="7" t="str">
        <f>'Ingest Template'!Q887</f>
        <v/>
      </c>
      <c r="K887" s="5" t="str">
        <f>'Ingest Template'!R887</f>
        <v/>
      </c>
      <c r="L887" s="8" t="s">
        <v>38</v>
      </c>
      <c r="M887" s="9"/>
      <c r="N887" s="5"/>
      <c r="O887" s="5"/>
      <c r="P887" s="5"/>
      <c r="Q887" s="5"/>
      <c r="R887" s="5" t="str">
        <f>'Ingest Template'!D887</f>
        <v/>
      </c>
      <c r="S887" s="5" t="str">
        <f>'Ingest Template'!G887</f>
        <v/>
      </c>
      <c r="T887" s="5" t="str">
        <f>'Ingest Template'!H887</f>
        <v/>
      </c>
      <c r="U887" s="5" t="str">
        <f>LOWER(SUBSTITUTE(SUBSTITUTE(SUBSTITUTE(SUBSTITUTE(SUBSTITUTE('Ingest Template'!I887,"https:",""),"www.",""),"/",""),"?hl=en",""),"instagram.com",""))</f>
        <v/>
      </c>
      <c r="V887" s="10" t="str">
        <f>'Ingest Template'!J887</f>
        <v/>
      </c>
      <c r="W887" s="10" t="str">
        <f>'Ingest Template'!K887</f>
        <v/>
      </c>
      <c r="X887" s="5"/>
      <c r="Y887" s="5" t="str">
        <f>SUBSTITUTE(SUBSTITUTE(SUBSTITUTE('Ingest Template'!L887,"http:",""),"https:",""),"/","")</f>
        <v/>
      </c>
      <c r="Z887" s="5" t="str">
        <f t="array" ref="Z887">IF('Ingest Template'!A887="Standard",(IF(ISBLANK('Ingest Template'!M887),"", 'Ingest Template'!M887&amp;"|DAR")),(IF(ISBLANK('Ingest Template'!M887),"", 'Ingest Template'!M887&amp;"|Operations - Core Title")))</f>
        <v/>
      </c>
      <c r="AA887" s="5"/>
      <c r="AB887" s="5" t="str">
        <f>'Ingest Template'!F887</f>
        <v/>
      </c>
      <c r="AC887" s="5"/>
      <c r="AD887" s="5"/>
      <c r="AE887" s="5"/>
      <c r="AF887" s="8"/>
      <c r="AG887" s="5" t="str">
        <f t="array" ref="AG887">IF('Ingest Template'!A887="Standard",(CONCATENATE(IF(ISBLANK('Ingest Template'!N887),"", 'Ingest Template'!N887&amp;"|DAR"),CHAR(10), IF(ISBLANK('Ingest Template'!O887),"", 'Ingest Template'!O887&amp;"|DAR"),CHAR(10), IF(ISBLANK('Ingest Template'!P887),"", 'Ingest Template'!P887&amp;"|DAR"))),(CONCATENATE(IF(ISBLANK('Ingest Template'!N887),"", 'Ingest Template'!N887&amp;"|Operations - Core Title"),CHAR(10), IF(ISBLANK('Ingest Template'!O887),"", 'Ingest Template'!O887&amp;"|Operations - Core Title"),CHAR(10), IF(ISBLANK('Ingest Template'!P887),"", 'Ingest Template'!P887&amp;"|Operations - Core Title"))))</f>
        <v>#|Operations - Core Title
</v>
      </c>
      <c r="AH887" s="5"/>
      <c r="AI887" s="5"/>
      <c r="AJ887" s="5"/>
      <c r="AK887" s="5"/>
      <c r="AL887" s="5"/>
    </row>
    <row r="888">
      <c r="A888" s="5"/>
      <c r="B888" s="5" t="str">
        <f>'Ingest Template'!B888&amp;IF('Ingest Template'!A888 = "Standard", " - DAR","")</f>
        <v/>
      </c>
      <c r="C888" s="6" t="str">
        <f>'Ingest Template'!C888</f>
        <v/>
      </c>
      <c r="D888" s="7" t="str">
        <f>'Ingest Template'!E888</f>
        <v/>
      </c>
      <c r="E888" s="5"/>
      <c r="F888" s="5"/>
      <c r="G888" s="5"/>
      <c r="H888" s="7"/>
      <c r="I888" s="5"/>
      <c r="J888" s="7" t="str">
        <f>'Ingest Template'!Q888</f>
        <v/>
      </c>
      <c r="K888" s="5" t="str">
        <f>'Ingest Template'!R888</f>
        <v/>
      </c>
      <c r="L888" s="8" t="s">
        <v>38</v>
      </c>
      <c r="M888" s="9"/>
      <c r="N888" s="5"/>
      <c r="O888" s="5"/>
      <c r="P888" s="5"/>
      <c r="Q888" s="5"/>
      <c r="R888" s="5" t="str">
        <f>'Ingest Template'!D888</f>
        <v/>
      </c>
      <c r="S888" s="5" t="str">
        <f>'Ingest Template'!G888</f>
        <v/>
      </c>
      <c r="T888" s="5" t="str">
        <f>'Ingest Template'!H888</f>
        <v/>
      </c>
      <c r="U888" s="5" t="str">
        <f>LOWER(SUBSTITUTE(SUBSTITUTE(SUBSTITUTE(SUBSTITUTE(SUBSTITUTE('Ingest Template'!I888,"https:",""),"www.",""),"/",""),"?hl=en",""),"instagram.com",""))</f>
        <v/>
      </c>
      <c r="V888" s="10" t="str">
        <f>'Ingest Template'!J888</f>
        <v/>
      </c>
      <c r="W888" s="10" t="str">
        <f>'Ingest Template'!K888</f>
        <v/>
      </c>
      <c r="X888" s="5"/>
      <c r="Y888" s="5" t="str">
        <f>SUBSTITUTE(SUBSTITUTE(SUBSTITUTE('Ingest Template'!L888,"http:",""),"https:",""),"/","")</f>
        <v/>
      </c>
      <c r="Z888" s="5" t="str">
        <f t="array" ref="Z888">IF('Ingest Template'!A888="Standard",(IF(ISBLANK('Ingest Template'!M888),"", 'Ingest Template'!M888&amp;"|DAR")),(IF(ISBLANK('Ingest Template'!M888),"", 'Ingest Template'!M888&amp;"|Operations - Core Title")))</f>
        <v/>
      </c>
      <c r="AA888" s="5"/>
      <c r="AB888" s="5" t="str">
        <f>'Ingest Template'!F888</f>
        <v/>
      </c>
      <c r="AC888" s="5"/>
      <c r="AD888" s="5"/>
      <c r="AE888" s="5"/>
      <c r="AF888" s="8"/>
      <c r="AG888" s="5" t="str">
        <f t="array" ref="AG888">IF('Ingest Template'!A888="Standard",(CONCATENATE(IF(ISBLANK('Ingest Template'!N888),"", 'Ingest Template'!N888&amp;"|DAR"),CHAR(10), IF(ISBLANK('Ingest Template'!O888),"", 'Ingest Template'!O888&amp;"|DAR"),CHAR(10), IF(ISBLANK('Ingest Template'!P888),"", 'Ingest Template'!P888&amp;"|DAR"))),(CONCATENATE(IF(ISBLANK('Ingest Template'!N888),"", 'Ingest Template'!N888&amp;"|Operations - Core Title"),CHAR(10), IF(ISBLANK('Ingest Template'!O888),"", 'Ingest Template'!O888&amp;"|Operations - Core Title"),CHAR(10), IF(ISBLANK('Ingest Template'!P888),"", 'Ingest Template'!P888&amp;"|Operations - Core Title"))))</f>
        <v>#|Operations - Core Title
</v>
      </c>
      <c r="AH888" s="5"/>
      <c r="AI888" s="5"/>
      <c r="AJ888" s="5"/>
      <c r="AK888" s="5"/>
      <c r="AL888" s="5"/>
    </row>
    <row r="889">
      <c r="A889" s="5"/>
      <c r="B889" s="5" t="str">
        <f>'Ingest Template'!B889&amp;IF('Ingest Template'!A889 = "Standard", " - DAR","")</f>
        <v/>
      </c>
      <c r="C889" s="6" t="str">
        <f>'Ingest Template'!C889</f>
        <v/>
      </c>
      <c r="D889" s="7" t="str">
        <f>'Ingest Template'!E889</f>
        <v/>
      </c>
      <c r="E889" s="5"/>
      <c r="F889" s="5"/>
      <c r="G889" s="5"/>
      <c r="H889" s="7"/>
      <c r="I889" s="5"/>
      <c r="J889" s="7" t="str">
        <f>'Ingest Template'!Q889</f>
        <v/>
      </c>
      <c r="K889" s="5" t="str">
        <f>'Ingest Template'!R889</f>
        <v/>
      </c>
      <c r="L889" s="8" t="s">
        <v>38</v>
      </c>
      <c r="M889" s="9"/>
      <c r="N889" s="5"/>
      <c r="O889" s="5"/>
      <c r="P889" s="5"/>
      <c r="Q889" s="5"/>
      <c r="R889" s="5" t="str">
        <f>'Ingest Template'!D889</f>
        <v/>
      </c>
      <c r="S889" s="5" t="str">
        <f>'Ingest Template'!G889</f>
        <v/>
      </c>
      <c r="T889" s="5" t="str">
        <f>'Ingest Template'!H889</f>
        <v/>
      </c>
      <c r="U889" s="5" t="str">
        <f>LOWER(SUBSTITUTE(SUBSTITUTE(SUBSTITUTE(SUBSTITUTE(SUBSTITUTE('Ingest Template'!I889,"https:",""),"www.",""),"/",""),"?hl=en",""),"instagram.com",""))</f>
        <v/>
      </c>
      <c r="V889" s="10" t="str">
        <f>'Ingest Template'!J889</f>
        <v/>
      </c>
      <c r="W889" s="10" t="str">
        <f>'Ingest Template'!K889</f>
        <v/>
      </c>
      <c r="X889" s="5"/>
      <c r="Y889" s="5" t="str">
        <f>SUBSTITUTE(SUBSTITUTE(SUBSTITUTE('Ingest Template'!L889,"http:",""),"https:",""),"/","")</f>
        <v/>
      </c>
      <c r="Z889" s="5" t="str">
        <f t="array" ref="Z889">IF('Ingest Template'!A889="Standard",(IF(ISBLANK('Ingest Template'!M889),"", 'Ingest Template'!M889&amp;"|DAR")),(IF(ISBLANK('Ingest Template'!M889),"", 'Ingest Template'!M889&amp;"|Operations - Core Title")))</f>
        <v/>
      </c>
      <c r="AA889" s="5"/>
      <c r="AB889" s="5" t="str">
        <f>'Ingest Template'!F889</f>
        <v/>
      </c>
      <c r="AC889" s="5"/>
      <c r="AD889" s="5"/>
      <c r="AE889" s="5"/>
      <c r="AF889" s="8"/>
      <c r="AG889" s="5" t="str">
        <f t="array" ref="AG889">IF('Ingest Template'!A889="Standard",(CONCATENATE(IF(ISBLANK('Ingest Template'!N889),"", 'Ingest Template'!N889&amp;"|DAR"),CHAR(10), IF(ISBLANK('Ingest Template'!O889),"", 'Ingest Template'!O889&amp;"|DAR"),CHAR(10), IF(ISBLANK('Ingest Template'!P889),"", 'Ingest Template'!P889&amp;"|DAR"))),(CONCATENATE(IF(ISBLANK('Ingest Template'!N889),"", 'Ingest Template'!N889&amp;"|Operations - Core Title"),CHAR(10), IF(ISBLANK('Ingest Template'!O889),"", 'Ingest Template'!O889&amp;"|Operations - Core Title"),CHAR(10), IF(ISBLANK('Ingest Template'!P889),"", 'Ingest Template'!P889&amp;"|Operations - Core Title"))))</f>
        <v>#|Operations - Core Title
</v>
      </c>
      <c r="AH889" s="5"/>
      <c r="AI889" s="5"/>
      <c r="AJ889" s="5"/>
      <c r="AK889" s="5"/>
      <c r="AL889" s="5"/>
    </row>
    <row r="890">
      <c r="A890" s="5"/>
      <c r="B890" s="5" t="str">
        <f>'Ingest Template'!B890&amp;IF('Ingest Template'!A890 = "Standard", " - DAR","")</f>
        <v/>
      </c>
      <c r="C890" s="6" t="str">
        <f>'Ingest Template'!C890</f>
        <v/>
      </c>
      <c r="D890" s="7" t="str">
        <f>'Ingest Template'!E890</f>
        <v/>
      </c>
      <c r="E890" s="5"/>
      <c r="F890" s="5"/>
      <c r="G890" s="5"/>
      <c r="H890" s="7"/>
      <c r="I890" s="5"/>
      <c r="J890" s="7" t="str">
        <f>'Ingest Template'!Q890</f>
        <v/>
      </c>
      <c r="K890" s="5" t="str">
        <f>'Ingest Template'!R890</f>
        <v/>
      </c>
      <c r="L890" s="8" t="s">
        <v>38</v>
      </c>
      <c r="M890" s="9"/>
      <c r="N890" s="5"/>
      <c r="O890" s="5"/>
      <c r="P890" s="5"/>
      <c r="Q890" s="5"/>
      <c r="R890" s="5" t="str">
        <f>'Ingest Template'!D890</f>
        <v/>
      </c>
      <c r="S890" s="5" t="str">
        <f>'Ingest Template'!G890</f>
        <v/>
      </c>
      <c r="T890" s="5" t="str">
        <f>'Ingest Template'!H890</f>
        <v/>
      </c>
      <c r="U890" s="5" t="str">
        <f>LOWER(SUBSTITUTE(SUBSTITUTE(SUBSTITUTE(SUBSTITUTE(SUBSTITUTE('Ingest Template'!I890,"https:",""),"www.",""),"/",""),"?hl=en",""),"instagram.com",""))</f>
        <v/>
      </c>
      <c r="V890" s="10" t="str">
        <f>'Ingest Template'!J890</f>
        <v/>
      </c>
      <c r="W890" s="10" t="str">
        <f>'Ingest Template'!K890</f>
        <v/>
      </c>
      <c r="X890" s="5"/>
      <c r="Y890" s="5" t="str">
        <f>SUBSTITUTE(SUBSTITUTE(SUBSTITUTE('Ingest Template'!L890,"http:",""),"https:",""),"/","")</f>
        <v/>
      </c>
      <c r="Z890" s="5" t="str">
        <f t="array" ref="Z890">IF('Ingest Template'!A890="Standard",(IF(ISBLANK('Ingest Template'!M890),"", 'Ingest Template'!M890&amp;"|DAR")),(IF(ISBLANK('Ingest Template'!M890),"", 'Ingest Template'!M890&amp;"|Operations - Core Title")))</f>
        <v/>
      </c>
      <c r="AA890" s="5"/>
      <c r="AB890" s="5" t="str">
        <f>'Ingest Template'!F890</f>
        <v/>
      </c>
      <c r="AC890" s="5"/>
      <c r="AD890" s="5"/>
      <c r="AE890" s="5"/>
      <c r="AF890" s="8"/>
      <c r="AG890" s="5" t="str">
        <f t="array" ref="AG890">IF('Ingest Template'!A890="Standard",(CONCATENATE(IF(ISBLANK('Ingest Template'!N890),"", 'Ingest Template'!N890&amp;"|DAR"),CHAR(10), IF(ISBLANK('Ingest Template'!O890),"", 'Ingest Template'!O890&amp;"|DAR"),CHAR(10), IF(ISBLANK('Ingest Template'!P890),"", 'Ingest Template'!P890&amp;"|DAR"))),(CONCATENATE(IF(ISBLANK('Ingest Template'!N890),"", 'Ingest Template'!N890&amp;"|Operations - Core Title"),CHAR(10), IF(ISBLANK('Ingest Template'!O890),"", 'Ingest Template'!O890&amp;"|Operations - Core Title"),CHAR(10), IF(ISBLANK('Ingest Template'!P890),"", 'Ingest Template'!P890&amp;"|Operations - Core Title"))))</f>
        <v>#|Operations - Core Title
</v>
      </c>
      <c r="AH890" s="5"/>
      <c r="AI890" s="5"/>
      <c r="AJ890" s="5"/>
      <c r="AK890" s="5"/>
      <c r="AL890" s="5"/>
    </row>
    <row r="891">
      <c r="A891" s="5"/>
      <c r="B891" s="5" t="str">
        <f>'Ingest Template'!B891&amp;IF('Ingest Template'!A891 = "Standard", " - DAR","")</f>
        <v/>
      </c>
      <c r="C891" s="6" t="str">
        <f>'Ingest Template'!C891</f>
        <v/>
      </c>
      <c r="D891" s="7" t="str">
        <f>'Ingest Template'!E891</f>
        <v/>
      </c>
      <c r="E891" s="5"/>
      <c r="F891" s="5"/>
      <c r="G891" s="5"/>
      <c r="H891" s="7"/>
      <c r="I891" s="5"/>
      <c r="J891" s="7" t="str">
        <f>'Ingest Template'!Q891</f>
        <v/>
      </c>
      <c r="K891" s="5" t="str">
        <f>'Ingest Template'!R891</f>
        <v/>
      </c>
      <c r="L891" s="8" t="s">
        <v>38</v>
      </c>
      <c r="M891" s="9"/>
      <c r="N891" s="5"/>
      <c r="O891" s="5"/>
      <c r="P891" s="5"/>
      <c r="Q891" s="5"/>
      <c r="R891" s="5" t="str">
        <f>'Ingest Template'!D891</f>
        <v/>
      </c>
      <c r="S891" s="5" t="str">
        <f>'Ingest Template'!G891</f>
        <v/>
      </c>
      <c r="T891" s="5" t="str">
        <f>'Ingest Template'!H891</f>
        <v/>
      </c>
      <c r="U891" s="5" t="str">
        <f>LOWER(SUBSTITUTE(SUBSTITUTE(SUBSTITUTE(SUBSTITUTE(SUBSTITUTE('Ingest Template'!I891,"https:",""),"www.",""),"/",""),"?hl=en",""),"instagram.com",""))</f>
        <v/>
      </c>
      <c r="V891" s="10" t="str">
        <f>'Ingest Template'!J891</f>
        <v/>
      </c>
      <c r="W891" s="10" t="str">
        <f>'Ingest Template'!K891</f>
        <v/>
      </c>
      <c r="X891" s="5"/>
      <c r="Y891" s="5" t="str">
        <f>SUBSTITUTE(SUBSTITUTE(SUBSTITUTE('Ingest Template'!L891,"http:",""),"https:",""),"/","")</f>
        <v/>
      </c>
      <c r="Z891" s="5" t="str">
        <f t="array" ref="Z891">IF('Ingest Template'!A891="Standard",(IF(ISBLANK('Ingest Template'!M891),"", 'Ingest Template'!M891&amp;"|DAR")),(IF(ISBLANK('Ingest Template'!M891),"", 'Ingest Template'!M891&amp;"|Operations - Core Title")))</f>
        <v/>
      </c>
      <c r="AA891" s="5"/>
      <c r="AB891" s="5" t="str">
        <f>'Ingest Template'!F891</f>
        <v/>
      </c>
      <c r="AC891" s="5"/>
      <c r="AD891" s="5"/>
      <c r="AE891" s="5"/>
      <c r="AF891" s="8"/>
      <c r="AG891" s="5" t="str">
        <f t="array" ref="AG891">IF('Ingest Template'!A891="Standard",(CONCATENATE(IF(ISBLANK('Ingest Template'!N891),"", 'Ingest Template'!N891&amp;"|DAR"),CHAR(10), IF(ISBLANK('Ingest Template'!O891),"", 'Ingest Template'!O891&amp;"|DAR"),CHAR(10), IF(ISBLANK('Ingest Template'!P891),"", 'Ingest Template'!P891&amp;"|DAR"))),(CONCATENATE(IF(ISBLANK('Ingest Template'!N891),"", 'Ingest Template'!N891&amp;"|Operations - Core Title"),CHAR(10), IF(ISBLANK('Ingest Template'!O891),"", 'Ingest Template'!O891&amp;"|Operations - Core Title"),CHAR(10), IF(ISBLANK('Ingest Template'!P891),"", 'Ingest Template'!P891&amp;"|Operations - Core Title"))))</f>
        <v>#|Operations - Core Title
</v>
      </c>
      <c r="AH891" s="5"/>
      <c r="AI891" s="5"/>
      <c r="AJ891" s="5"/>
      <c r="AK891" s="5"/>
      <c r="AL891" s="5"/>
    </row>
    <row r="892">
      <c r="A892" s="5"/>
      <c r="B892" s="5" t="str">
        <f>'Ingest Template'!B892&amp;IF('Ingest Template'!A892 = "Standard", " - DAR","")</f>
        <v/>
      </c>
      <c r="C892" s="6" t="str">
        <f>'Ingest Template'!C892</f>
        <v/>
      </c>
      <c r="D892" s="7" t="str">
        <f>'Ingest Template'!E892</f>
        <v/>
      </c>
      <c r="E892" s="5"/>
      <c r="F892" s="5"/>
      <c r="G892" s="5"/>
      <c r="H892" s="7"/>
      <c r="I892" s="5"/>
      <c r="J892" s="7" t="str">
        <f>'Ingest Template'!Q892</f>
        <v/>
      </c>
      <c r="K892" s="5" t="str">
        <f>'Ingest Template'!R892</f>
        <v/>
      </c>
      <c r="L892" s="8" t="s">
        <v>38</v>
      </c>
      <c r="M892" s="9"/>
      <c r="N892" s="5"/>
      <c r="O892" s="5"/>
      <c r="P892" s="5"/>
      <c r="Q892" s="5"/>
      <c r="R892" s="5" t="str">
        <f>'Ingest Template'!D892</f>
        <v/>
      </c>
      <c r="S892" s="5" t="str">
        <f>'Ingest Template'!G892</f>
        <v/>
      </c>
      <c r="T892" s="5" t="str">
        <f>'Ingest Template'!H892</f>
        <v/>
      </c>
      <c r="U892" s="5" t="str">
        <f>LOWER(SUBSTITUTE(SUBSTITUTE(SUBSTITUTE(SUBSTITUTE(SUBSTITUTE('Ingest Template'!I892,"https:",""),"www.",""),"/",""),"?hl=en",""),"instagram.com",""))</f>
        <v/>
      </c>
      <c r="V892" s="10" t="str">
        <f>'Ingest Template'!J892</f>
        <v/>
      </c>
      <c r="W892" s="10" t="str">
        <f>'Ingest Template'!K892</f>
        <v/>
      </c>
      <c r="X892" s="5"/>
      <c r="Y892" s="5" t="str">
        <f>SUBSTITUTE(SUBSTITUTE(SUBSTITUTE('Ingest Template'!L892,"http:",""),"https:",""),"/","")</f>
        <v/>
      </c>
      <c r="Z892" s="5" t="str">
        <f t="array" ref="Z892">IF('Ingest Template'!A892="Standard",(IF(ISBLANK('Ingest Template'!M892),"", 'Ingest Template'!M892&amp;"|DAR")),(IF(ISBLANK('Ingest Template'!M892),"", 'Ingest Template'!M892&amp;"|Operations - Core Title")))</f>
        <v/>
      </c>
      <c r="AA892" s="5"/>
      <c r="AB892" s="5" t="str">
        <f>'Ingest Template'!F892</f>
        <v/>
      </c>
      <c r="AC892" s="5"/>
      <c r="AD892" s="5"/>
      <c r="AE892" s="5"/>
      <c r="AF892" s="8"/>
      <c r="AG892" s="5" t="str">
        <f t="array" ref="AG892">IF('Ingest Template'!A892="Standard",(CONCATENATE(IF(ISBLANK('Ingest Template'!N892),"", 'Ingest Template'!N892&amp;"|DAR"),CHAR(10), IF(ISBLANK('Ingest Template'!O892),"", 'Ingest Template'!O892&amp;"|DAR"),CHAR(10), IF(ISBLANK('Ingest Template'!P892),"", 'Ingest Template'!P892&amp;"|DAR"))),(CONCATENATE(IF(ISBLANK('Ingest Template'!N892),"", 'Ingest Template'!N892&amp;"|Operations - Core Title"),CHAR(10), IF(ISBLANK('Ingest Template'!O892),"", 'Ingest Template'!O892&amp;"|Operations - Core Title"),CHAR(10), IF(ISBLANK('Ingest Template'!P892),"", 'Ingest Template'!P892&amp;"|Operations - Core Title"))))</f>
        <v>#|Operations - Core Title
</v>
      </c>
      <c r="AH892" s="5"/>
      <c r="AI892" s="5"/>
      <c r="AJ892" s="5"/>
      <c r="AK892" s="5"/>
      <c r="AL892" s="5"/>
    </row>
    <row r="893">
      <c r="A893" s="5"/>
      <c r="B893" s="5" t="str">
        <f>'Ingest Template'!B893&amp;IF('Ingest Template'!A893 = "Standard", " - DAR","")</f>
        <v/>
      </c>
      <c r="C893" s="6" t="str">
        <f>'Ingest Template'!C893</f>
        <v/>
      </c>
      <c r="D893" s="7" t="str">
        <f>'Ingest Template'!E893</f>
        <v/>
      </c>
      <c r="E893" s="5"/>
      <c r="F893" s="5"/>
      <c r="G893" s="5"/>
      <c r="H893" s="7"/>
      <c r="I893" s="5"/>
      <c r="J893" s="7" t="str">
        <f>'Ingest Template'!Q893</f>
        <v/>
      </c>
      <c r="K893" s="5" t="str">
        <f>'Ingest Template'!R893</f>
        <v/>
      </c>
      <c r="L893" s="8" t="s">
        <v>38</v>
      </c>
      <c r="M893" s="9"/>
      <c r="N893" s="5"/>
      <c r="O893" s="5"/>
      <c r="P893" s="5"/>
      <c r="Q893" s="5"/>
      <c r="R893" s="5" t="str">
        <f>'Ingest Template'!D893</f>
        <v/>
      </c>
      <c r="S893" s="5" t="str">
        <f>'Ingest Template'!G893</f>
        <v/>
      </c>
      <c r="T893" s="5" t="str">
        <f>'Ingest Template'!H893</f>
        <v/>
      </c>
      <c r="U893" s="5" t="str">
        <f>LOWER(SUBSTITUTE(SUBSTITUTE(SUBSTITUTE(SUBSTITUTE(SUBSTITUTE('Ingest Template'!I893,"https:",""),"www.",""),"/",""),"?hl=en",""),"instagram.com",""))</f>
        <v/>
      </c>
      <c r="V893" s="10" t="str">
        <f>'Ingest Template'!J893</f>
        <v/>
      </c>
      <c r="W893" s="10" t="str">
        <f>'Ingest Template'!K893</f>
        <v/>
      </c>
      <c r="X893" s="5"/>
      <c r="Y893" s="5" t="str">
        <f>SUBSTITUTE(SUBSTITUTE(SUBSTITUTE('Ingest Template'!L893,"http:",""),"https:",""),"/","")</f>
        <v/>
      </c>
      <c r="Z893" s="5" t="str">
        <f t="array" ref="Z893">IF('Ingest Template'!A893="Standard",(IF(ISBLANK('Ingest Template'!M893),"", 'Ingest Template'!M893&amp;"|DAR")),(IF(ISBLANK('Ingest Template'!M893),"", 'Ingest Template'!M893&amp;"|Operations - Core Title")))</f>
        <v/>
      </c>
      <c r="AA893" s="5"/>
      <c r="AB893" s="5" t="str">
        <f>'Ingest Template'!F893</f>
        <v/>
      </c>
      <c r="AC893" s="5"/>
      <c r="AD893" s="5"/>
      <c r="AE893" s="5"/>
      <c r="AF893" s="8"/>
      <c r="AG893" s="5" t="str">
        <f t="array" ref="AG893">IF('Ingest Template'!A893="Standard",(CONCATENATE(IF(ISBLANK('Ingest Template'!N893),"", 'Ingest Template'!N893&amp;"|DAR"),CHAR(10), IF(ISBLANK('Ingest Template'!O893),"", 'Ingest Template'!O893&amp;"|DAR"),CHAR(10), IF(ISBLANK('Ingest Template'!P893),"", 'Ingest Template'!P893&amp;"|DAR"))),(CONCATENATE(IF(ISBLANK('Ingest Template'!N893),"", 'Ingest Template'!N893&amp;"|Operations - Core Title"),CHAR(10), IF(ISBLANK('Ingest Template'!O893),"", 'Ingest Template'!O893&amp;"|Operations - Core Title"),CHAR(10), IF(ISBLANK('Ingest Template'!P893),"", 'Ingest Template'!P893&amp;"|Operations - Core Title"))))</f>
        <v>#|Operations - Core Title
</v>
      </c>
      <c r="AH893" s="5"/>
      <c r="AI893" s="5"/>
      <c r="AJ893" s="5"/>
      <c r="AK893" s="5"/>
      <c r="AL893" s="5"/>
    </row>
    <row r="894">
      <c r="A894" s="5"/>
      <c r="B894" s="5" t="str">
        <f>'Ingest Template'!B894&amp;IF('Ingest Template'!A894 = "Standard", " - DAR","")</f>
        <v/>
      </c>
      <c r="C894" s="6" t="str">
        <f>'Ingest Template'!C894</f>
        <v/>
      </c>
      <c r="D894" s="7" t="str">
        <f>'Ingest Template'!E894</f>
        <v/>
      </c>
      <c r="E894" s="5"/>
      <c r="F894" s="5"/>
      <c r="G894" s="5"/>
      <c r="H894" s="7"/>
      <c r="I894" s="5"/>
      <c r="J894" s="7" t="str">
        <f>'Ingest Template'!Q894</f>
        <v/>
      </c>
      <c r="K894" s="5" t="str">
        <f>'Ingest Template'!R894</f>
        <v/>
      </c>
      <c r="L894" s="8" t="s">
        <v>38</v>
      </c>
      <c r="M894" s="9"/>
      <c r="N894" s="5"/>
      <c r="O894" s="5"/>
      <c r="P894" s="5"/>
      <c r="Q894" s="5"/>
      <c r="R894" s="5" t="str">
        <f>'Ingest Template'!D894</f>
        <v/>
      </c>
      <c r="S894" s="5" t="str">
        <f>'Ingest Template'!G894</f>
        <v/>
      </c>
      <c r="T894" s="5" t="str">
        <f>'Ingest Template'!H894</f>
        <v/>
      </c>
      <c r="U894" s="5" t="str">
        <f>LOWER(SUBSTITUTE(SUBSTITUTE(SUBSTITUTE(SUBSTITUTE(SUBSTITUTE('Ingest Template'!I894,"https:",""),"www.",""),"/",""),"?hl=en",""),"instagram.com",""))</f>
        <v/>
      </c>
      <c r="V894" s="10" t="str">
        <f>'Ingest Template'!J894</f>
        <v/>
      </c>
      <c r="W894" s="10" t="str">
        <f>'Ingest Template'!K894</f>
        <v/>
      </c>
      <c r="X894" s="5"/>
      <c r="Y894" s="5" t="str">
        <f>SUBSTITUTE(SUBSTITUTE(SUBSTITUTE('Ingest Template'!L894,"http:",""),"https:",""),"/","")</f>
        <v/>
      </c>
      <c r="Z894" s="5" t="str">
        <f t="array" ref="Z894">IF('Ingest Template'!A894="Standard",(IF(ISBLANK('Ingest Template'!M894),"", 'Ingest Template'!M894&amp;"|DAR")),(IF(ISBLANK('Ingest Template'!M894),"", 'Ingest Template'!M894&amp;"|Operations - Core Title")))</f>
        <v/>
      </c>
      <c r="AA894" s="5"/>
      <c r="AB894" s="5" t="str">
        <f>'Ingest Template'!F894</f>
        <v/>
      </c>
      <c r="AC894" s="5"/>
      <c r="AD894" s="5"/>
      <c r="AE894" s="5"/>
      <c r="AF894" s="8"/>
      <c r="AG894" s="5" t="str">
        <f t="array" ref="AG894">IF('Ingest Template'!A894="Standard",(CONCATENATE(IF(ISBLANK('Ingest Template'!N894),"", 'Ingest Template'!N894&amp;"|DAR"),CHAR(10), IF(ISBLANK('Ingest Template'!O894),"", 'Ingest Template'!O894&amp;"|DAR"),CHAR(10), IF(ISBLANK('Ingest Template'!P894),"", 'Ingest Template'!P894&amp;"|DAR"))),(CONCATENATE(IF(ISBLANK('Ingest Template'!N894),"", 'Ingest Template'!N894&amp;"|Operations - Core Title"),CHAR(10), IF(ISBLANK('Ingest Template'!O894),"", 'Ingest Template'!O894&amp;"|Operations - Core Title"),CHAR(10), IF(ISBLANK('Ingest Template'!P894),"", 'Ingest Template'!P894&amp;"|Operations - Core Title"))))</f>
        <v>#|Operations - Core Title
</v>
      </c>
      <c r="AH894" s="5"/>
      <c r="AI894" s="5"/>
      <c r="AJ894" s="5"/>
      <c r="AK894" s="5"/>
      <c r="AL894" s="5"/>
    </row>
    <row r="895">
      <c r="A895" s="5"/>
      <c r="B895" s="5" t="str">
        <f>'Ingest Template'!B895&amp;IF('Ingest Template'!A895 = "Standard", " - DAR","")</f>
        <v/>
      </c>
      <c r="C895" s="6" t="str">
        <f>'Ingest Template'!C895</f>
        <v/>
      </c>
      <c r="D895" s="7" t="str">
        <f>'Ingest Template'!E895</f>
        <v/>
      </c>
      <c r="E895" s="5"/>
      <c r="F895" s="5"/>
      <c r="G895" s="5"/>
      <c r="H895" s="7"/>
      <c r="I895" s="5"/>
      <c r="J895" s="7" t="str">
        <f>'Ingest Template'!Q895</f>
        <v/>
      </c>
      <c r="K895" s="5" t="str">
        <f>'Ingest Template'!R895</f>
        <v/>
      </c>
      <c r="L895" s="8" t="s">
        <v>38</v>
      </c>
      <c r="M895" s="9"/>
      <c r="N895" s="5"/>
      <c r="O895" s="5"/>
      <c r="P895" s="5"/>
      <c r="Q895" s="5"/>
      <c r="R895" s="5" t="str">
        <f>'Ingest Template'!D895</f>
        <v/>
      </c>
      <c r="S895" s="5" t="str">
        <f>'Ingest Template'!G895</f>
        <v/>
      </c>
      <c r="T895" s="5" t="str">
        <f>'Ingest Template'!H895</f>
        <v/>
      </c>
      <c r="U895" s="5" t="str">
        <f>LOWER(SUBSTITUTE(SUBSTITUTE(SUBSTITUTE(SUBSTITUTE(SUBSTITUTE('Ingest Template'!I895,"https:",""),"www.",""),"/",""),"?hl=en",""),"instagram.com",""))</f>
        <v/>
      </c>
      <c r="V895" s="10" t="str">
        <f>'Ingest Template'!J895</f>
        <v/>
      </c>
      <c r="W895" s="10" t="str">
        <f>'Ingest Template'!K895</f>
        <v/>
      </c>
      <c r="X895" s="5"/>
      <c r="Y895" s="5" t="str">
        <f>SUBSTITUTE(SUBSTITUTE(SUBSTITUTE('Ingest Template'!L895,"http:",""),"https:",""),"/","")</f>
        <v/>
      </c>
      <c r="Z895" s="5" t="str">
        <f t="array" ref="Z895">IF('Ingest Template'!A895="Standard",(IF(ISBLANK('Ingest Template'!M895),"", 'Ingest Template'!M895&amp;"|DAR")),(IF(ISBLANK('Ingest Template'!M895),"", 'Ingest Template'!M895&amp;"|Operations - Core Title")))</f>
        <v/>
      </c>
      <c r="AA895" s="5"/>
      <c r="AB895" s="5" t="str">
        <f>'Ingest Template'!F895</f>
        <v/>
      </c>
      <c r="AC895" s="5"/>
      <c r="AD895" s="5"/>
      <c r="AE895" s="5"/>
      <c r="AF895" s="8"/>
      <c r="AG895" s="5" t="str">
        <f t="array" ref="AG895">IF('Ingest Template'!A895="Standard",(CONCATENATE(IF(ISBLANK('Ingest Template'!N895),"", 'Ingest Template'!N895&amp;"|DAR"),CHAR(10), IF(ISBLANK('Ingest Template'!O895),"", 'Ingest Template'!O895&amp;"|DAR"),CHAR(10), IF(ISBLANK('Ingest Template'!P895),"", 'Ingest Template'!P895&amp;"|DAR"))),(CONCATENATE(IF(ISBLANK('Ingest Template'!N895),"", 'Ingest Template'!N895&amp;"|Operations - Core Title"),CHAR(10), IF(ISBLANK('Ingest Template'!O895),"", 'Ingest Template'!O895&amp;"|Operations - Core Title"),CHAR(10), IF(ISBLANK('Ingest Template'!P895),"", 'Ingest Template'!P895&amp;"|Operations - Core Title"))))</f>
        <v>#|Operations - Core Title
</v>
      </c>
      <c r="AH895" s="5"/>
      <c r="AI895" s="5"/>
      <c r="AJ895" s="5"/>
      <c r="AK895" s="5"/>
      <c r="AL895" s="5"/>
    </row>
    <row r="896">
      <c r="A896" s="5"/>
      <c r="B896" s="5" t="str">
        <f>'Ingest Template'!B896&amp;IF('Ingest Template'!A896 = "Standard", " - DAR","")</f>
        <v/>
      </c>
      <c r="C896" s="6" t="str">
        <f>'Ingest Template'!C896</f>
        <v/>
      </c>
      <c r="D896" s="7" t="str">
        <f>'Ingest Template'!E896</f>
        <v/>
      </c>
      <c r="E896" s="5"/>
      <c r="F896" s="5"/>
      <c r="G896" s="5"/>
      <c r="H896" s="7"/>
      <c r="I896" s="5"/>
      <c r="J896" s="7" t="str">
        <f>'Ingest Template'!Q896</f>
        <v/>
      </c>
      <c r="K896" s="5" t="str">
        <f>'Ingest Template'!R896</f>
        <v/>
      </c>
      <c r="L896" s="8" t="s">
        <v>38</v>
      </c>
      <c r="M896" s="9"/>
      <c r="N896" s="5"/>
      <c r="O896" s="5"/>
      <c r="P896" s="5"/>
      <c r="Q896" s="5"/>
      <c r="R896" s="5" t="str">
        <f>'Ingest Template'!D896</f>
        <v/>
      </c>
      <c r="S896" s="5" t="str">
        <f>'Ingest Template'!G896</f>
        <v/>
      </c>
      <c r="T896" s="5" t="str">
        <f>'Ingest Template'!H896</f>
        <v/>
      </c>
      <c r="U896" s="5" t="str">
        <f>LOWER(SUBSTITUTE(SUBSTITUTE(SUBSTITUTE(SUBSTITUTE(SUBSTITUTE('Ingest Template'!I896,"https:",""),"www.",""),"/",""),"?hl=en",""),"instagram.com",""))</f>
        <v/>
      </c>
      <c r="V896" s="10" t="str">
        <f>'Ingest Template'!J896</f>
        <v/>
      </c>
      <c r="W896" s="10" t="str">
        <f>'Ingest Template'!K896</f>
        <v/>
      </c>
      <c r="X896" s="5"/>
      <c r="Y896" s="5" t="str">
        <f>SUBSTITUTE(SUBSTITUTE(SUBSTITUTE('Ingest Template'!L896,"http:",""),"https:",""),"/","")</f>
        <v/>
      </c>
      <c r="Z896" s="5" t="str">
        <f t="array" ref="Z896">IF('Ingest Template'!A896="Standard",(IF(ISBLANK('Ingest Template'!M896),"", 'Ingest Template'!M896&amp;"|DAR")),(IF(ISBLANK('Ingest Template'!M896),"", 'Ingest Template'!M896&amp;"|Operations - Core Title")))</f>
        <v/>
      </c>
      <c r="AA896" s="5"/>
      <c r="AB896" s="5" t="str">
        <f>'Ingest Template'!F896</f>
        <v/>
      </c>
      <c r="AC896" s="5"/>
      <c r="AD896" s="5"/>
      <c r="AE896" s="5"/>
      <c r="AF896" s="8"/>
      <c r="AG896" s="5" t="str">
        <f t="array" ref="AG896">IF('Ingest Template'!A896="Standard",(CONCATENATE(IF(ISBLANK('Ingest Template'!N896),"", 'Ingest Template'!N896&amp;"|DAR"),CHAR(10), IF(ISBLANK('Ingest Template'!O896),"", 'Ingest Template'!O896&amp;"|DAR"),CHAR(10), IF(ISBLANK('Ingest Template'!P896),"", 'Ingest Template'!P896&amp;"|DAR"))),(CONCATENATE(IF(ISBLANK('Ingest Template'!N896),"", 'Ingest Template'!N896&amp;"|Operations - Core Title"),CHAR(10), IF(ISBLANK('Ingest Template'!O896),"", 'Ingest Template'!O896&amp;"|Operations - Core Title"),CHAR(10), IF(ISBLANK('Ingest Template'!P896),"", 'Ingest Template'!P896&amp;"|Operations - Core Title"))))</f>
        <v>#|Operations - Core Title
</v>
      </c>
      <c r="AH896" s="5"/>
      <c r="AI896" s="5"/>
      <c r="AJ896" s="5"/>
      <c r="AK896" s="5"/>
      <c r="AL896" s="5"/>
    </row>
    <row r="897">
      <c r="A897" s="5"/>
      <c r="B897" s="5" t="str">
        <f>'Ingest Template'!B897&amp;IF('Ingest Template'!A897 = "Standard", " - DAR","")</f>
        <v/>
      </c>
      <c r="C897" s="6" t="str">
        <f>'Ingest Template'!C897</f>
        <v/>
      </c>
      <c r="D897" s="7" t="str">
        <f>'Ingest Template'!E897</f>
        <v/>
      </c>
      <c r="E897" s="5"/>
      <c r="F897" s="5"/>
      <c r="G897" s="5"/>
      <c r="H897" s="7"/>
      <c r="I897" s="5"/>
      <c r="J897" s="7" t="str">
        <f>'Ingest Template'!Q897</f>
        <v/>
      </c>
      <c r="K897" s="5" t="str">
        <f>'Ingest Template'!R897</f>
        <v/>
      </c>
      <c r="L897" s="8" t="s">
        <v>38</v>
      </c>
      <c r="M897" s="9"/>
      <c r="N897" s="5"/>
      <c r="O897" s="5"/>
      <c r="P897" s="5"/>
      <c r="Q897" s="5"/>
      <c r="R897" s="5" t="str">
        <f>'Ingest Template'!D897</f>
        <v/>
      </c>
      <c r="S897" s="5" t="str">
        <f>'Ingest Template'!G897</f>
        <v/>
      </c>
      <c r="T897" s="5" t="str">
        <f>'Ingest Template'!H897</f>
        <v/>
      </c>
      <c r="U897" s="5" t="str">
        <f>LOWER(SUBSTITUTE(SUBSTITUTE(SUBSTITUTE(SUBSTITUTE(SUBSTITUTE('Ingest Template'!I897,"https:",""),"www.",""),"/",""),"?hl=en",""),"instagram.com",""))</f>
        <v/>
      </c>
      <c r="V897" s="10" t="str">
        <f>'Ingest Template'!J897</f>
        <v/>
      </c>
      <c r="W897" s="10" t="str">
        <f>'Ingest Template'!K897</f>
        <v/>
      </c>
      <c r="X897" s="5"/>
      <c r="Y897" s="5" t="str">
        <f>SUBSTITUTE(SUBSTITUTE(SUBSTITUTE('Ingest Template'!L897,"http:",""),"https:",""),"/","")</f>
        <v/>
      </c>
      <c r="Z897" s="5" t="str">
        <f t="array" ref="Z897">IF('Ingest Template'!A897="Standard",(IF(ISBLANK('Ingest Template'!M897),"", 'Ingest Template'!M897&amp;"|DAR")),(IF(ISBLANK('Ingest Template'!M897),"", 'Ingest Template'!M897&amp;"|Operations - Core Title")))</f>
        <v/>
      </c>
      <c r="AA897" s="5"/>
      <c r="AB897" s="5" t="str">
        <f>'Ingest Template'!F897</f>
        <v/>
      </c>
      <c r="AC897" s="5"/>
      <c r="AD897" s="5"/>
      <c r="AE897" s="5"/>
      <c r="AF897" s="8"/>
      <c r="AG897" s="5" t="str">
        <f t="array" ref="AG897">IF('Ingest Template'!A897="Standard",(CONCATENATE(IF(ISBLANK('Ingest Template'!N897),"", 'Ingest Template'!N897&amp;"|DAR"),CHAR(10), IF(ISBLANK('Ingest Template'!O897),"", 'Ingest Template'!O897&amp;"|DAR"),CHAR(10), IF(ISBLANK('Ingest Template'!P897),"", 'Ingest Template'!P897&amp;"|DAR"))),(CONCATENATE(IF(ISBLANK('Ingest Template'!N897),"", 'Ingest Template'!N897&amp;"|Operations - Core Title"),CHAR(10), IF(ISBLANK('Ingest Template'!O897),"", 'Ingest Template'!O897&amp;"|Operations - Core Title"),CHAR(10), IF(ISBLANK('Ingest Template'!P897),"", 'Ingest Template'!P897&amp;"|Operations - Core Title"))))</f>
        <v>#|Operations - Core Title
</v>
      </c>
      <c r="AH897" s="5"/>
      <c r="AI897" s="5"/>
      <c r="AJ897" s="5"/>
      <c r="AK897" s="5"/>
      <c r="AL897" s="5"/>
    </row>
    <row r="898">
      <c r="A898" s="5"/>
      <c r="B898" s="5" t="str">
        <f>'Ingest Template'!B898&amp;IF('Ingest Template'!A898 = "Standard", " - DAR","")</f>
        <v/>
      </c>
      <c r="C898" s="6" t="str">
        <f>'Ingest Template'!C898</f>
        <v/>
      </c>
      <c r="D898" s="7" t="str">
        <f>'Ingest Template'!E898</f>
        <v/>
      </c>
      <c r="E898" s="5"/>
      <c r="F898" s="5"/>
      <c r="G898" s="5"/>
      <c r="H898" s="7"/>
      <c r="I898" s="5"/>
      <c r="J898" s="7" t="str">
        <f>'Ingest Template'!Q898</f>
        <v/>
      </c>
      <c r="K898" s="5" t="str">
        <f>'Ingest Template'!R898</f>
        <v/>
      </c>
      <c r="L898" s="8" t="s">
        <v>38</v>
      </c>
      <c r="M898" s="9"/>
      <c r="N898" s="5"/>
      <c r="O898" s="5"/>
      <c r="P898" s="5"/>
      <c r="Q898" s="5"/>
      <c r="R898" s="5" t="str">
        <f>'Ingest Template'!D898</f>
        <v/>
      </c>
      <c r="S898" s="5" t="str">
        <f>'Ingest Template'!G898</f>
        <v/>
      </c>
      <c r="T898" s="5" t="str">
        <f>'Ingest Template'!H898</f>
        <v/>
      </c>
      <c r="U898" s="5" t="str">
        <f>LOWER(SUBSTITUTE(SUBSTITUTE(SUBSTITUTE(SUBSTITUTE(SUBSTITUTE('Ingest Template'!I898,"https:",""),"www.",""),"/",""),"?hl=en",""),"instagram.com",""))</f>
        <v/>
      </c>
      <c r="V898" s="10" t="str">
        <f>'Ingest Template'!J898</f>
        <v/>
      </c>
      <c r="W898" s="10" t="str">
        <f>'Ingest Template'!K898</f>
        <v/>
      </c>
      <c r="X898" s="5"/>
      <c r="Y898" s="5" t="str">
        <f>SUBSTITUTE(SUBSTITUTE(SUBSTITUTE('Ingest Template'!L898,"http:",""),"https:",""),"/","")</f>
        <v/>
      </c>
      <c r="Z898" s="5" t="str">
        <f t="array" ref="Z898">IF('Ingest Template'!A898="Standard",(IF(ISBLANK('Ingest Template'!M898),"", 'Ingest Template'!M898&amp;"|DAR")),(IF(ISBLANK('Ingest Template'!M898),"", 'Ingest Template'!M898&amp;"|Operations - Core Title")))</f>
        <v/>
      </c>
      <c r="AA898" s="5"/>
      <c r="AB898" s="5" t="str">
        <f>'Ingest Template'!F898</f>
        <v/>
      </c>
      <c r="AC898" s="5"/>
      <c r="AD898" s="5"/>
      <c r="AE898" s="5"/>
      <c r="AF898" s="8"/>
      <c r="AG898" s="5" t="str">
        <f t="array" ref="AG898">IF('Ingest Template'!A898="Standard",(CONCATENATE(IF(ISBLANK('Ingest Template'!N898),"", 'Ingest Template'!N898&amp;"|DAR"),CHAR(10), IF(ISBLANK('Ingest Template'!O898),"", 'Ingest Template'!O898&amp;"|DAR"),CHAR(10), IF(ISBLANK('Ingest Template'!P898),"", 'Ingest Template'!P898&amp;"|DAR"))),(CONCATENATE(IF(ISBLANK('Ingest Template'!N898),"", 'Ingest Template'!N898&amp;"|Operations - Core Title"),CHAR(10), IF(ISBLANK('Ingest Template'!O898),"", 'Ingest Template'!O898&amp;"|Operations - Core Title"),CHAR(10), IF(ISBLANK('Ingest Template'!P898),"", 'Ingest Template'!P898&amp;"|Operations - Core Title"))))</f>
        <v>#|Operations - Core Title
</v>
      </c>
      <c r="AH898" s="5"/>
      <c r="AI898" s="5"/>
      <c r="AJ898" s="5"/>
      <c r="AK898" s="5"/>
      <c r="AL898" s="5"/>
    </row>
    <row r="899">
      <c r="A899" s="5"/>
      <c r="B899" s="5" t="str">
        <f>'Ingest Template'!B899&amp;IF('Ingest Template'!A899 = "Standard", " - DAR","")</f>
        <v/>
      </c>
      <c r="C899" s="6" t="str">
        <f>'Ingest Template'!C899</f>
        <v/>
      </c>
      <c r="D899" s="7" t="str">
        <f>'Ingest Template'!E899</f>
        <v/>
      </c>
      <c r="E899" s="5"/>
      <c r="F899" s="5"/>
      <c r="G899" s="5"/>
      <c r="H899" s="7"/>
      <c r="I899" s="5"/>
      <c r="J899" s="7" t="str">
        <f>'Ingest Template'!Q899</f>
        <v/>
      </c>
      <c r="K899" s="5" t="str">
        <f>'Ingest Template'!R899</f>
        <v/>
      </c>
      <c r="L899" s="8" t="s">
        <v>38</v>
      </c>
      <c r="M899" s="9"/>
      <c r="N899" s="5"/>
      <c r="O899" s="5"/>
      <c r="P899" s="5"/>
      <c r="Q899" s="5"/>
      <c r="R899" s="5" t="str">
        <f>'Ingest Template'!D899</f>
        <v/>
      </c>
      <c r="S899" s="5" t="str">
        <f>'Ingest Template'!G899</f>
        <v/>
      </c>
      <c r="T899" s="5" t="str">
        <f>'Ingest Template'!H899</f>
        <v/>
      </c>
      <c r="U899" s="5" t="str">
        <f>LOWER(SUBSTITUTE(SUBSTITUTE(SUBSTITUTE(SUBSTITUTE(SUBSTITUTE('Ingest Template'!I899,"https:",""),"www.",""),"/",""),"?hl=en",""),"instagram.com",""))</f>
        <v/>
      </c>
      <c r="V899" s="10" t="str">
        <f>'Ingest Template'!J899</f>
        <v/>
      </c>
      <c r="W899" s="10" t="str">
        <f>'Ingest Template'!K899</f>
        <v/>
      </c>
      <c r="X899" s="5"/>
      <c r="Y899" s="5" t="str">
        <f>SUBSTITUTE(SUBSTITUTE(SUBSTITUTE('Ingest Template'!L899,"http:",""),"https:",""),"/","")</f>
        <v/>
      </c>
      <c r="Z899" s="5" t="str">
        <f t="array" ref="Z899">IF('Ingest Template'!A899="Standard",(IF(ISBLANK('Ingest Template'!M899),"", 'Ingest Template'!M899&amp;"|DAR")),(IF(ISBLANK('Ingest Template'!M899),"", 'Ingest Template'!M899&amp;"|Operations - Core Title")))</f>
        <v/>
      </c>
      <c r="AA899" s="5"/>
      <c r="AB899" s="5" t="str">
        <f>'Ingest Template'!F899</f>
        <v/>
      </c>
      <c r="AC899" s="5"/>
      <c r="AD899" s="5"/>
      <c r="AE899" s="5"/>
      <c r="AF899" s="8"/>
      <c r="AG899" s="5" t="str">
        <f t="array" ref="AG899">IF('Ingest Template'!A899="Standard",(CONCATENATE(IF(ISBLANK('Ingest Template'!N899),"", 'Ingest Template'!N899&amp;"|DAR"),CHAR(10), IF(ISBLANK('Ingest Template'!O899),"", 'Ingest Template'!O899&amp;"|DAR"),CHAR(10), IF(ISBLANK('Ingest Template'!P899),"", 'Ingest Template'!P899&amp;"|DAR"))),(CONCATENATE(IF(ISBLANK('Ingest Template'!N899),"", 'Ingest Template'!N899&amp;"|Operations - Core Title"),CHAR(10), IF(ISBLANK('Ingest Template'!O899),"", 'Ingest Template'!O899&amp;"|Operations - Core Title"),CHAR(10), IF(ISBLANK('Ingest Template'!P899),"", 'Ingest Template'!P899&amp;"|Operations - Core Title"))))</f>
        <v>#|Operations - Core Title
</v>
      </c>
      <c r="AH899" s="5"/>
      <c r="AI899" s="5"/>
      <c r="AJ899" s="5"/>
      <c r="AK899" s="5"/>
      <c r="AL899" s="5"/>
    </row>
    <row r="900">
      <c r="A900" s="5"/>
      <c r="B900" s="5" t="str">
        <f>'Ingest Template'!B900&amp;IF('Ingest Template'!A900 = "Standard", " - DAR","")</f>
        <v/>
      </c>
      <c r="C900" s="6" t="str">
        <f>'Ingest Template'!C900</f>
        <v/>
      </c>
      <c r="D900" s="7" t="str">
        <f>'Ingest Template'!E900</f>
        <v/>
      </c>
      <c r="E900" s="5"/>
      <c r="F900" s="5"/>
      <c r="G900" s="5"/>
      <c r="H900" s="7"/>
      <c r="I900" s="5"/>
      <c r="J900" s="7" t="str">
        <f>'Ingest Template'!Q900</f>
        <v/>
      </c>
      <c r="K900" s="5" t="str">
        <f>'Ingest Template'!R900</f>
        <v/>
      </c>
      <c r="L900" s="8" t="s">
        <v>38</v>
      </c>
      <c r="M900" s="9"/>
      <c r="N900" s="5"/>
      <c r="O900" s="5"/>
      <c r="P900" s="5"/>
      <c r="Q900" s="5"/>
      <c r="R900" s="5" t="str">
        <f>'Ingest Template'!D900</f>
        <v/>
      </c>
      <c r="S900" s="5" t="str">
        <f>'Ingest Template'!G900</f>
        <v/>
      </c>
      <c r="T900" s="5" t="str">
        <f>'Ingest Template'!H900</f>
        <v/>
      </c>
      <c r="U900" s="5" t="str">
        <f>LOWER(SUBSTITUTE(SUBSTITUTE(SUBSTITUTE(SUBSTITUTE(SUBSTITUTE('Ingest Template'!I900,"https:",""),"www.",""),"/",""),"?hl=en",""),"instagram.com",""))</f>
        <v/>
      </c>
      <c r="V900" s="10" t="str">
        <f>'Ingest Template'!J900</f>
        <v/>
      </c>
      <c r="W900" s="10" t="str">
        <f>'Ingest Template'!K900</f>
        <v/>
      </c>
      <c r="X900" s="5"/>
      <c r="Y900" s="5" t="str">
        <f>SUBSTITUTE(SUBSTITUTE(SUBSTITUTE('Ingest Template'!L900,"http:",""),"https:",""),"/","")</f>
        <v/>
      </c>
      <c r="Z900" s="5" t="str">
        <f t="array" ref="Z900">IF('Ingest Template'!A900="Standard",(IF(ISBLANK('Ingest Template'!M900),"", 'Ingest Template'!M900&amp;"|DAR")),(IF(ISBLANK('Ingest Template'!M900),"", 'Ingest Template'!M900&amp;"|Operations - Core Title")))</f>
        <v/>
      </c>
      <c r="AA900" s="5"/>
      <c r="AB900" s="5" t="str">
        <f>'Ingest Template'!F900</f>
        <v/>
      </c>
      <c r="AC900" s="5"/>
      <c r="AD900" s="5"/>
      <c r="AE900" s="5"/>
      <c r="AF900" s="8"/>
      <c r="AG900" s="5" t="str">
        <f t="array" ref="AG900">IF('Ingest Template'!A900="Standard",(CONCATENATE(IF(ISBLANK('Ingest Template'!N900),"", 'Ingest Template'!N900&amp;"|DAR"),CHAR(10), IF(ISBLANK('Ingest Template'!O900),"", 'Ingest Template'!O900&amp;"|DAR"),CHAR(10), IF(ISBLANK('Ingest Template'!P900),"", 'Ingest Template'!P900&amp;"|DAR"))),(CONCATENATE(IF(ISBLANK('Ingest Template'!N900),"", 'Ingest Template'!N900&amp;"|Operations - Core Title"),CHAR(10), IF(ISBLANK('Ingest Template'!O900),"", 'Ingest Template'!O900&amp;"|Operations - Core Title"),CHAR(10), IF(ISBLANK('Ingest Template'!P900),"", 'Ingest Template'!P900&amp;"|Operations - Core Title"))))</f>
        <v>#|Operations - Core Title
</v>
      </c>
      <c r="AH900" s="5"/>
      <c r="AI900" s="5"/>
      <c r="AJ900" s="5"/>
      <c r="AK900" s="5"/>
      <c r="AL900" s="5"/>
    </row>
    <row r="901">
      <c r="A901" s="5"/>
      <c r="B901" s="5" t="str">
        <f>'Ingest Template'!B901&amp;IF('Ingest Template'!A901 = "Standard", " - DAR","")</f>
        <v/>
      </c>
      <c r="C901" s="6" t="str">
        <f>'Ingest Template'!C901</f>
        <v/>
      </c>
      <c r="D901" s="7" t="str">
        <f>'Ingest Template'!E901</f>
        <v/>
      </c>
      <c r="E901" s="5"/>
      <c r="F901" s="5"/>
      <c r="G901" s="5"/>
      <c r="H901" s="7"/>
      <c r="I901" s="5"/>
      <c r="J901" s="7" t="str">
        <f>'Ingest Template'!Q901</f>
        <v/>
      </c>
      <c r="K901" s="5" t="str">
        <f>'Ingest Template'!R901</f>
        <v/>
      </c>
      <c r="L901" s="8" t="s">
        <v>38</v>
      </c>
      <c r="M901" s="9"/>
      <c r="N901" s="5"/>
      <c r="O901" s="5"/>
      <c r="P901" s="5"/>
      <c r="Q901" s="5"/>
      <c r="R901" s="5" t="str">
        <f>'Ingest Template'!D901</f>
        <v/>
      </c>
      <c r="S901" s="5" t="str">
        <f>'Ingest Template'!G901</f>
        <v/>
      </c>
      <c r="T901" s="5" t="str">
        <f>'Ingest Template'!H901</f>
        <v/>
      </c>
      <c r="U901" s="5" t="str">
        <f>LOWER(SUBSTITUTE(SUBSTITUTE(SUBSTITUTE(SUBSTITUTE(SUBSTITUTE('Ingest Template'!I901,"https:",""),"www.",""),"/",""),"?hl=en",""),"instagram.com",""))</f>
        <v/>
      </c>
      <c r="V901" s="10" t="str">
        <f>'Ingest Template'!J901</f>
        <v/>
      </c>
      <c r="W901" s="10" t="str">
        <f>'Ingest Template'!K901</f>
        <v/>
      </c>
      <c r="X901" s="5"/>
      <c r="Y901" s="5" t="str">
        <f>SUBSTITUTE(SUBSTITUTE(SUBSTITUTE('Ingest Template'!L901,"http:",""),"https:",""),"/","")</f>
        <v/>
      </c>
      <c r="Z901" s="5" t="str">
        <f t="array" ref="Z901">IF('Ingest Template'!A901="Standard",(IF(ISBLANK('Ingest Template'!M901),"", 'Ingest Template'!M901&amp;"|DAR")),(IF(ISBLANK('Ingest Template'!M901),"", 'Ingest Template'!M901&amp;"|Operations - Core Title")))</f>
        <v/>
      </c>
      <c r="AA901" s="5"/>
      <c r="AB901" s="5" t="str">
        <f>'Ingest Template'!F901</f>
        <v/>
      </c>
      <c r="AC901" s="5"/>
      <c r="AD901" s="5"/>
      <c r="AE901" s="5"/>
      <c r="AF901" s="8"/>
      <c r="AG901" s="5" t="str">
        <f t="array" ref="AG901">IF('Ingest Template'!A901="Standard",(CONCATENATE(IF(ISBLANK('Ingest Template'!N901),"", 'Ingest Template'!N901&amp;"|DAR"),CHAR(10), IF(ISBLANK('Ingest Template'!O901),"", 'Ingest Template'!O901&amp;"|DAR"),CHAR(10), IF(ISBLANK('Ingest Template'!P901),"", 'Ingest Template'!P901&amp;"|DAR"))),(CONCATENATE(IF(ISBLANK('Ingest Template'!N901),"", 'Ingest Template'!N901&amp;"|Operations - Core Title"),CHAR(10), IF(ISBLANK('Ingest Template'!O901),"", 'Ingest Template'!O901&amp;"|Operations - Core Title"),CHAR(10), IF(ISBLANK('Ingest Template'!P901),"", 'Ingest Template'!P901&amp;"|Operations - Core Title"))))</f>
        <v>#|Operations - Core Title
</v>
      </c>
      <c r="AH901" s="5"/>
      <c r="AI901" s="5"/>
      <c r="AJ901" s="5"/>
      <c r="AK901" s="5"/>
      <c r="AL901" s="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  <col customWidth="1" min="11" max="11" width="10.38"/>
    <col customWidth="1" min="12" max="12" width="6.5"/>
    <col customWidth="1" min="15" max="16" width="3.38"/>
  </cols>
  <sheetData>
    <row r="1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3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3" t="s">
        <v>50</v>
      </c>
      <c r="M1" s="3" t="s">
        <v>51</v>
      </c>
      <c r="N1" s="12" t="s">
        <v>52</v>
      </c>
      <c r="O1" s="12" t="s">
        <v>53</v>
      </c>
      <c r="P1" s="13" t="s">
        <v>54</v>
      </c>
      <c r="Q1" s="11" t="s">
        <v>55</v>
      </c>
      <c r="R1" s="11" t="s">
        <v>56</v>
      </c>
    </row>
    <row r="2">
      <c r="A2" s="14" t="s">
        <v>57</v>
      </c>
      <c r="B2" s="15"/>
      <c r="C2" s="14" t="s">
        <v>58</v>
      </c>
      <c r="D2" s="16"/>
      <c r="E2" s="16"/>
      <c r="F2" s="16"/>
      <c r="G2" s="17"/>
      <c r="H2" s="18"/>
      <c r="I2" s="17"/>
      <c r="J2" s="17"/>
      <c r="K2" s="19"/>
      <c r="L2" s="20"/>
      <c r="M2" s="20"/>
      <c r="N2" s="20" t="str">
        <f t="shared" ref="N2:N1000" si="1">Substitute(Substitute(Substitute(Substitute(Substitute(Substitute(Substitute(Substitute("#" &amp; B2, " ", ""), ":", ""), "," ,""), "-", ""), "!", ""), "'", ""), ".", ""), "&amp;", "and")
</f>
        <v>#</v>
      </c>
      <c r="O2" s="20"/>
      <c r="P2" s="21"/>
      <c r="Q2" s="14" t="str">
        <f t="shared" ref="Q2:Q1000" si="2">if(A2="Standard","Pristine Brand", "")</f>
        <v>Pristine Brand</v>
      </c>
      <c r="R2" s="14"/>
    </row>
    <row r="3">
      <c r="A3" s="14"/>
      <c r="B3" s="15"/>
      <c r="C3" s="14"/>
      <c r="D3" s="16"/>
      <c r="E3" s="16"/>
      <c r="F3" s="16"/>
      <c r="G3" s="17"/>
      <c r="H3" s="22"/>
      <c r="I3" s="17"/>
      <c r="J3" s="17"/>
      <c r="K3" s="19"/>
      <c r="L3" s="20"/>
      <c r="M3" s="20"/>
      <c r="N3" s="20" t="str">
        <f t="shared" si="1"/>
        <v>#</v>
      </c>
      <c r="O3" s="20"/>
      <c r="P3" s="21"/>
      <c r="Q3" s="14" t="str">
        <f t="shared" si="2"/>
        <v/>
      </c>
      <c r="R3" s="14"/>
    </row>
    <row r="4">
      <c r="A4" s="14"/>
      <c r="B4" s="15"/>
      <c r="C4" s="14"/>
      <c r="D4" s="16"/>
      <c r="E4" s="16"/>
      <c r="F4" s="23"/>
      <c r="G4" s="17"/>
      <c r="H4" s="22"/>
      <c r="I4" s="17"/>
      <c r="J4" s="17"/>
      <c r="K4" s="19"/>
      <c r="L4" s="20"/>
      <c r="M4" s="20"/>
      <c r="N4" s="20" t="str">
        <f t="shared" si="1"/>
        <v>#</v>
      </c>
      <c r="O4" s="20"/>
      <c r="P4" s="21"/>
      <c r="Q4" s="14" t="str">
        <f t="shared" si="2"/>
        <v/>
      </c>
      <c r="R4" s="14"/>
    </row>
    <row r="5">
      <c r="A5" s="14"/>
      <c r="B5" s="15"/>
      <c r="C5" s="14"/>
      <c r="D5" s="16"/>
      <c r="E5" s="16"/>
      <c r="F5" s="16"/>
      <c r="G5" s="17"/>
      <c r="H5" s="22"/>
      <c r="I5" s="17"/>
      <c r="J5" s="17"/>
      <c r="K5" s="19"/>
      <c r="L5" s="24"/>
      <c r="M5" s="20"/>
      <c r="N5" s="20" t="str">
        <f t="shared" si="1"/>
        <v>#</v>
      </c>
      <c r="O5" s="20"/>
      <c r="P5" s="21"/>
      <c r="Q5" s="14" t="str">
        <f t="shared" si="2"/>
        <v/>
      </c>
      <c r="R5" s="14"/>
    </row>
    <row r="6">
      <c r="A6" s="14"/>
      <c r="B6" s="15"/>
      <c r="C6" s="14"/>
      <c r="D6" s="16"/>
      <c r="E6" s="16"/>
      <c r="F6" s="16"/>
      <c r="G6" s="17"/>
      <c r="H6" s="17"/>
      <c r="I6" s="17"/>
      <c r="J6" s="17"/>
      <c r="K6" s="19"/>
      <c r="L6" s="24"/>
      <c r="M6" s="20"/>
      <c r="N6" s="20" t="str">
        <f t="shared" si="1"/>
        <v>#</v>
      </c>
      <c r="O6" s="20"/>
      <c r="P6" s="21"/>
      <c r="Q6" s="14" t="str">
        <f t="shared" si="2"/>
        <v/>
      </c>
      <c r="R6" s="14"/>
    </row>
    <row r="7">
      <c r="A7" s="14"/>
      <c r="B7" s="15"/>
      <c r="C7" s="14"/>
      <c r="D7" s="16"/>
      <c r="E7" s="16"/>
      <c r="F7" s="16"/>
      <c r="G7" s="17"/>
      <c r="H7" s="22"/>
      <c r="I7" s="17"/>
      <c r="J7" s="17"/>
      <c r="K7" s="19"/>
      <c r="L7" s="20"/>
      <c r="M7" s="20"/>
      <c r="N7" s="20" t="str">
        <f t="shared" si="1"/>
        <v>#</v>
      </c>
      <c r="O7" s="20"/>
      <c r="P7" s="21"/>
      <c r="Q7" s="14" t="str">
        <f t="shared" si="2"/>
        <v/>
      </c>
      <c r="R7" s="14"/>
    </row>
    <row r="8">
      <c r="A8" s="14"/>
      <c r="B8" s="17"/>
      <c r="C8" s="14"/>
      <c r="D8" s="16"/>
      <c r="E8" s="16"/>
      <c r="F8" s="16"/>
      <c r="G8" s="17"/>
      <c r="H8" s="22"/>
      <c r="I8" s="17"/>
      <c r="J8" s="17"/>
      <c r="K8" s="19"/>
      <c r="L8" s="20"/>
      <c r="M8" s="20"/>
      <c r="N8" s="20" t="str">
        <f t="shared" si="1"/>
        <v>#</v>
      </c>
      <c r="O8" s="20"/>
      <c r="P8" s="21"/>
      <c r="Q8" s="14" t="str">
        <f t="shared" si="2"/>
        <v/>
      </c>
      <c r="R8" s="14"/>
    </row>
    <row r="9">
      <c r="A9" s="14"/>
      <c r="B9" s="17"/>
      <c r="C9" s="14"/>
      <c r="D9" s="16"/>
      <c r="E9" s="16"/>
      <c r="F9" s="23"/>
      <c r="G9" s="17"/>
      <c r="H9" s="22"/>
      <c r="I9" s="17"/>
      <c r="J9" s="17"/>
      <c r="K9" s="19"/>
      <c r="L9" s="20"/>
      <c r="M9" s="20"/>
      <c r="N9" s="20" t="str">
        <f t="shared" si="1"/>
        <v>#</v>
      </c>
      <c r="O9" s="20"/>
      <c r="P9" s="21"/>
      <c r="Q9" s="14" t="str">
        <f t="shared" si="2"/>
        <v/>
      </c>
      <c r="R9" s="14"/>
    </row>
    <row r="10">
      <c r="A10" s="14"/>
      <c r="B10" s="17"/>
      <c r="C10" s="14"/>
      <c r="D10" s="16"/>
      <c r="E10" s="16"/>
      <c r="F10" s="16"/>
      <c r="G10" s="17"/>
      <c r="H10" s="22"/>
      <c r="I10" s="17"/>
      <c r="J10" s="17"/>
      <c r="K10" s="19"/>
      <c r="L10" s="20"/>
      <c r="M10" s="20"/>
      <c r="N10" s="20" t="str">
        <f t="shared" si="1"/>
        <v>#</v>
      </c>
      <c r="O10" s="20"/>
      <c r="P10" s="21"/>
      <c r="Q10" s="14" t="str">
        <f t="shared" si="2"/>
        <v/>
      </c>
      <c r="R10" s="14"/>
    </row>
    <row r="11">
      <c r="A11" s="14"/>
      <c r="B11" s="17"/>
      <c r="C11" s="14"/>
      <c r="D11" s="16"/>
      <c r="E11" s="16"/>
      <c r="F11" s="16"/>
      <c r="G11" s="17"/>
      <c r="H11" s="17"/>
      <c r="I11" s="17"/>
      <c r="J11" s="17"/>
      <c r="K11" s="19"/>
      <c r="L11" s="20"/>
      <c r="M11" s="20"/>
      <c r="N11" s="20" t="str">
        <f t="shared" si="1"/>
        <v>#</v>
      </c>
      <c r="O11" s="20"/>
      <c r="P11" s="21"/>
      <c r="Q11" s="14" t="str">
        <f t="shared" si="2"/>
        <v/>
      </c>
      <c r="R11" s="14"/>
    </row>
    <row r="12">
      <c r="A12" s="14"/>
      <c r="B12" s="25"/>
      <c r="C12" s="14"/>
      <c r="D12" s="16"/>
      <c r="E12" s="16"/>
      <c r="F12" s="21"/>
      <c r="G12" s="22"/>
      <c r="H12" s="22"/>
      <c r="I12" s="22"/>
      <c r="J12" s="19"/>
      <c r="K12" s="19"/>
      <c r="L12" s="20"/>
      <c r="M12" s="20"/>
      <c r="N12" s="20" t="str">
        <f t="shared" si="1"/>
        <v>#</v>
      </c>
      <c r="O12" s="20"/>
      <c r="P12" s="21"/>
      <c r="Q12" s="14" t="str">
        <f t="shared" si="2"/>
        <v/>
      </c>
      <c r="R12" s="14"/>
    </row>
    <row r="13">
      <c r="A13" s="14"/>
      <c r="B13" s="25"/>
      <c r="C13" s="14"/>
      <c r="D13" s="16"/>
      <c r="E13" s="16"/>
      <c r="F13" s="21"/>
      <c r="G13" s="22"/>
      <c r="H13" s="22"/>
      <c r="I13" s="22"/>
      <c r="J13" s="19"/>
      <c r="K13" s="19"/>
      <c r="L13" s="20"/>
      <c r="M13" s="20"/>
      <c r="N13" s="20" t="str">
        <f t="shared" si="1"/>
        <v>#</v>
      </c>
      <c r="O13" s="20"/>
      <c r="P13" s="21"/>
      <c r="Q13" s="14" t="str">
        <f t="shared" si="2"/>
        <v/>
      </c>
      <c r="R13" s="14"/>
    </row>
    <row r="14">
      <c r="A14" s="14"/>
      <c r="B14" s="25"/>
      <c r="C14" s="14"/>
      <c r="D14" s="16"/>
      <c r="E14" s="16"/>
      <c r="F14" s="21"/>
      <c r="G14" s="22"/>
      <c r="H14" s="22"/>
      <c r="I14" s="22"/>
      <c r="J14" s="19"/>
      <c r="K14" s="19"/>
      <c r="L14" s="20"/>
      <c r="M14" s="20"/>
      <c r="N14" s="20" t="str">
        <f t="shared" si="1"/>
        <v>#</v>
      </c>
      <c r="O14" s="20"/>
      <c r="P14" s="21"/>
      <c r="Q14" s="14" t="str">
        <f t="shared" si="2"/>
        <v/>
      </c>
      <c r="R14" s="14"/>
    </row>
    <row r="15">
      <c r="A15" s="14"/>
      <c r="B15" s="25"/>
      <c r="C15" s="14"/>
      <c r="D15" s="16"/>
      <c r="E15" s="16"/>
      <c r="F15" s="21"/>
      <c r="G15" s="22"/>
      <c r="H15" s="22"/>
      <c r="I15" s="22"/>
      <c r="J15" s="19"/>
      <c r="K15" s="19"/>
      <c r="L15" s="20"/>
      <c r="M15" s="20"/>
      <c r="N15" s="20" t="str">
        <f t="shared" si="1"/>
        <v>#</v>
      </c>
      <c r="O15" s="20"/>
      <c r="P15" s="21"/>
      <c r="Q15" s="14" t="str">
        <f t="shared" si="2"/>
        <v/>
      </c>
      <c r="R15" s="14"/>
    </row>
    <row r="16">
      <c r="A16" s="14"/>
      <c r="B16" s="25"/>
      <c r="C16" s="14"/>
      <c r="D16" s="16"/>
      <c r="E16" s="16"/>
      <c r="F16" s="21"/>
      <c r="G16" s="22"/>
      <c r="H16" s="22"/>
      <c r="I16" s="22"/>
      <c r="J16" s="19"/>
      <c r="K16" s="19"/>
      <c r="L16" s="20"/>
      <c r="M16" s="20"/>
      <c r="N16" s="20" t="str">
        <f t="shared" si="1"/>
        <v>#</v>
      </c>
      <c r="O16" s="20"/>
      <c r="P16" s="21"/>
      <c r="Q16" s="14" t="str">
        <f t="shared" si="2"/>
        <v/>
      </c>
      <c r="R16" s="14"/>
    </row>
    <row r="17">
      <c r="A17" s="14"/>
      <c r="B17" s="25"/>
      <c r="C17" s="14"/>
      <c r="D17" s="16"/>
      <c r="E17" s="16"/>
      <c r="F17" s="21"/>
      <c r="G17" s="22"/>
      <c r="H17" s="22"/>
      <c r="I17" s="22"/>
      <c r="J17" s="19"/>
      <c r="K17" s="19"/>
      <c r="L17" s="20"/>
      <c r="M17" s="20"/>
      <c r="N17" s="20" t="str">
        <f t="shared" si="1"/>
        <v>#</v>
      </c>
      <c r="O17" s="20"/>
      <c r="P17" s="21"/>
      <c r="Q17" s="14" t="str">
        <f t="shared" si="2"/>
        <v/>
      </c>
      <c r="R17" s="14"/>
    </row>
    <row r="18">
      <c r="A18" s="14"/>
      <c r="B18" s="26"/>
      <c r="C18" s="14"/>
      <c r="D18" s="16"/>
      <c r="E18" s="16"/>
      <c r="F18" s="21"/>
      <c r="G18" s="22"/>
      <c r="H18" s="22"/>
      <c r="I18" s="22"/>
      <c r="J18" s="19"/>
      <c r="K18" s="19"/>
      <c r="L18" s="20"/>
      <c r="M18" s="20"/>
      <c r="N18" s="20" t="str">
        <f t="shared" si="1"/>
        <v>#</v>
      </c>
      <c r="O18" s="20"/>
      <c r="P18" s="21"/>
      <c r="Q18" s="14" t="str">
        <f t="shared" si="2"/>
        <v/>
      </c>
      <c r="R18" s="14"/>
    </row>
    <row r="19">
      <c r="A19" s="14"/>
      <c r="B19" s="26"/>
      <c r="C19" s="14"/>
      <c r="D19" s="16"/>
      <c r="E19" s="16"/>
      <c r="F19" s="21"/>
      <c r="G19" s="23"/>
      <c r="H19" s="24"/>
      <c r="I19" s="27"/>
      <c r="J19" s="28"/>
      <c r="K19" s="28"/>
      <c r="L19" s="20"/>
      <c r="M19" s="20"/>
      <c r="N19" s="20" t="str">
        <f t="shared" si="1"/>
        <v>#</v>
      </c>
      <c r="O19" s="20"/>
      <c r="P19" s="21"/>
      <c r="Q19" s="14" t="str">
        <f t="shared" si="2"/>
        <v/>
      </c>
      <c r="R19" s="14"/>
    </row>
    <row r="20">
      <c r="A20" s="14"/>
      <c r="B20" s="26"/>
      <c r="C20" s="14"/>
      <c r="D20" s="16"/>
      <c r="E20" s="16"/>
      <c r="F20" s="21"/>
      <c r="G20" s="23"/>
      <c r="H20" s="24"/>
      <c r="I20" s="27"/>
      <c r="J20" s="28"/>
      <c r="K20" s="28"/>
      <c r="L20" s="20"/>
      <c r="M20" s="20"/>
      <c r="N20" s="20" t="str">
        <f t="shared" si="1"/>
        <v>#</v>
      </c>
      <c r="O20" s="20"/>
      <c r="P20" s="21"/>
      <c r="Q20" s="14" t="str">
        <f t="shared" si="2"/>
        <v/>
      </c>
      <c r="R20" s="14"/>
    </row>
    <row r="21">
      <c r="A21" s="14"/>
      <c r="B21" s="26"/>
      <c r="C21" s="14"/>
      <c r="D21" s="16"/>
      <c r="E21" s="16"/>
      <c r="F21" s="16"/>
      <c r="G21" s="16"/>
      <c r="H21" s="24"/>
      <c r="I21" s="27"/>
      <c r="J21" s="28"/>
      <c r="K21" s="28"/>
      <c r="L21" s="20"/>
      <c r="M21" s="20"/>
      <c r="N21" s="20" t="str">
        <f t="shared" si="1"/>
        <v>#</v>
      </c>
      <c r="O21" s="20"/>
      <c r="P21" s="21"/>
      <c r="Q21" s="14" t="str">
        <f t="shared" si="2"/>
        <v/>
      </c>
      <c r="R21" s="14"/>
    </row>
    <row r="22">
      <c r="A22" s="14"/>
      <c r="B22" s="26"/>
      <c r="C22" s="14"/>
      <c r="D22" s="16"/>
      <c r="E22" s="16"/>
      <c r="F22" s="16"/>
      <c r="G22" s="16"/>
      <c r="H22" s="24"/>
      <c r="I22" s="27"/>
      <c r="J22" s="19"/>
      <c r="K22" s="19"/>
      <c r="L22" s="20"/>
      <c r="M22" s="20"/>
      <c r="N22" s="20" t="str">
        <f t="shared" si="1"/>
        <v>#</v>
      </c>
      <c r="O22" s="20"/>
      <c r="P22" s="21"/>
      <c r="Q22" s="14" t="str">
        <f t="shared" si="2"/>
        <v/>
      </c>
      <c r="R22" s="14"/>
    </row>
    <row r="23">
      <c r="A23" s="14"/>
      <c r="B23" s="26"/>
      <c r="C23" s="14"/>
      <c r="D23" s="16"/>
      <c r="E23" s="16"/>
      <c r="F23" s="21"/>
      <c r="G23" s="23"/>
      <c r="H23" s="24"/>
      <c r="I23" s="27"/>
      <c r="J23" s="19"/>
      <c r="K23" s="19"/>
      <c r="L23" s="20"/>
      <c r="M23" s="20"/>
      <c r="N23" s="20" t="str">
        <f t="shared" si="1"/>
        <v>#</v>
      </c>
      <c r="O23" s="20"/>
      <c r="P23" s="21"/>
      <c r="Q23" s="14" t="str">
        <f t="shared" si="2"/>
        <v/>
      </c>
      <c r="R23" s="14"/>
    </row>
    <row r="24">
      <c r="A24" s="14"/>
      <c r="B24" s="26"/>
      <c r="C24" s="14"/>
      <c r="D24" s="16"/>
      <c r="E24" s="16"/>
      <c r="F24" s="16"/>
      <c r="G24" s="16"/>
      <c r="H24" s="24"/>
      <c r="I24" s="27"/>
      <c r="J24" s="19"/>
      <c r="K24" s="19"/>
      <c r="L24" s="24"/>
      <c r="M24" s="20"/>
      <c r="N24" s="20" t="str">
        <f t="shared" si="1"/>
        <v>#</v>
      </c>
      <c r="O24" s="20"/>
      <c r="P24" s="21"/>
      <c r="Q24" s="14" t="str">
        <f t="shared" si="2"/>
        <v/>
      </c>
      <c r="R24" s="14"/>
    </row>
    <row r="25">
      <c r="A25" s="14"/>
      <c r="B25" s="26"/>
      <c r="C25" s="14"/>
      <c r="D25" s="16"/>
      <c r="E25" s="16"/>
      <c r="F25" s="16"/>
      <c r="G25" s="16"/>
      <c r="H25" s="24"/>
      <c r="I25" s="27"/>
      <c r="J25" s="19"/>
      <c r="K25" s="19"/>
      <c r="L25" s="24"/>
      <c r="M25" s="20"/>
      <c r="N25" s="20" t="str">
        <f t="shared" si="1"/>
        <v>#</v>
      </c>
      <c r="O25" s="20"/>
      <c r="P25" s="21"/>
      <c r="Q25" s="14" t="str">
        <f t="shared" si="2"/>
        <v/>
      </c>
      <c r="R25" s="14"/>
    </row>
    <row r="26">
      <c r="A26" s="14"/>
      <c r="B26" s="26"/>
      <c r="C26" s="14"/>
      <c r="D26" s="16"/>
      <c r="E26" s="16"/>
      <c r="F26" s="21"/>
      <c r="G26" s="23"/>
      <c r="H26" s="24"/>
      <c r="I26" s="27"/>
      <c r="J26" s="19"/>
      <c r="K26" s="19"/>
      <c r="L26" s="20"/>
      <c r="M26" s="20"/>
      <c r="N26" s="20" t="str">
        <f t="shared" si="1"/>
        <v>#</v>
      </c>
      <c r="O26" s="20"/>
      <c r="P26" s="21"/>
      <c r="Q26" s="14" t="str">
        <f t="shared" si="2"/>
        <v/>
      </c>
      <c r="R26" s="14"/>
    </row>
    <row r="27">
      <c r="A27" s="14"/>
      <c r="B27" s="27"/>
      <c r="C27" s="14"/>
      <c r="D27" s="16"/>
      <c r="E27" s="16"/>
      <c r="F27" s="21"/>
      <c r="G27" s="23"/>
      <c r="H27" s="24"/>
      <c r="I27" s="24"/>
      <c r="J27" s="28"/>
      <c r="K27" s="28"/>
      <c r="L27" s="20"/>
      <c r="M27" s="20"/>
      <c r="N27" s="20" t="str">
        <f t="shared" si="1"/>
        <v>#</v>
      </c>
      <c r="O27" s="20"/>
      <c r="P27" s="21"/>
      <c r="Q27" s="14" t="str">
        <f t="shared" si="2"/>
        <v/>
      </c>
      <c r="R27" s="14"/>
    </row>
    <row r="28">
      <c r="A28" s="14"/>
      <c r="B28" s="27"/>
      <c r="C28" s="14"/>
      <c r="D28" s="16"/>
      <c r="E28" s="16"/>
      <c r="F28" s="21"/>
      <c r="G28" s="23"/>
      <c r="H28" s="24"/>
      <c r="I28" s="24"/>
      <c r="J28" s="19"/>
      <c r="K28" s="19"/>
      <c r="L28" s="20"/>
      <c r="M28" s="20"/>
      <c r="N28" s="20" t="str">
        <f t="shared" si="1"/>
        <v>#</v>
      </c>
      <c r="O28" s="20"/>
      <c r="P28" s="21"/>
      <c r="Q28" s="14" t="str">
        <f t="shared" si="2"/>
        <v/>
      </c>
      <c r="R28" s="14"/>
    </row>
    <row r="29">
      <c r="A29" s="14"/>
      <c r="B29" s="27"/>
      <c r="C29" s="14"/>
      <c r="D29" s="16"/>
      <c r="E29" s="16"/>
      <c r="F29" s="21"/>
      <c r="G29" s="23"/>
      <c r="H29" s="24"/>
      <c r="I29" s="24"/>
      <c r="J29" s="19"/>
      <c r="K29" s="19"/>
      <c r="L29" s="20"/>
      <c r="M29" s="20"/>
      <c r="N29" s="20" t="str">
        <f t="shared" si="1"/>
        <v>#</v>
      </c>
      <c r="O29" s="20"/>
      <c r="P29" s="21"/>
      <c r="Q29" s="14" t="str">
        <f t="shared" si="2"/>
        <v/>
      </c>
      <c r="R29" s="14"/>
    </row>
    <row r="30">
      <c r="A30" s="14"/>
      <c r="B30" s="27"/>
      <c r="C30" s="14"/>
      <c r="D30" s="16"/>
      <c r="E30" s="16"/>
      <c r="F30" s="21"/>
      <c r="G30" s="23"/>
      <c r="H30" s="24"/>
      <c r="I30" s="24"/>
      <c r="J30" s="29"/>
      <c r="K30" s="29"/>
      <c r="L30" s="20"/>
      <c r="M30" s="20"/>
      <c r="N30" s="20" t="str">
        <f t="shared" si="1"/>
        <v>#</v>
      </c>
      <c r="O30" s="20"/>
      <c r="P30" s="21"/>
      <c r="Q30" s="14" t="str">
        <f t="shared" si="2"/>
        <v/>
      </c>
      <c r="R30" s="14"/>
    </row>
    <row r="31">
      <c r="A31" s="14"/>
      <c r="B31" s="27"/>
      <c r="C31" s="14"/>
      <c r="D31" s="16"/>
      <c r="E31" s="16"/>
      <c r="F31" s="21"/>
      <c r="G31" s="23"/>
      <c r="H31" s="24"/>
      <c r="I31" s="24"/>
      <c r="J31" s="29"/>
      <c r="K31" s="29"/>
      <c r="L31" s="20"/>
      <c r="M31" s="20"/>
      <c r="N31" s="20" t="str">
        <f t="shared" si="1"/>
        <v>#</v>
      </c>
      <c r="O31" s="20"/>
      <c r="P31" s="21"/>
      <c r="Q31" s="14" t="str">
        <f t="shared" si="2"/>
        <v/>
      </c>
      <c r="R31" s="14"/>
    </row>
    <row r="32">
      <c r="A32" s="14"/>
      <c r="B32" s="27"/>
      <c r="C32" s="14"/>
      <c r="D32" s="16"/>
      <c r="E32" s="16"/>
      <c r="F32" s="21"/>
      <c r="G32" s="23"/>
      <c r="H32" s="24"/>
      <c r="I32" s="24"/>
      <c r="J32" s="29"/>
      <c r="K32" s="29"/>
      <c r="L32" s="20"/>
      <c r="M32" s="20"/>
      <c r="N32" s="20" t="str">
        <f t="shared" si="1"/>
        <v>#</v>
      </c>
      <c r="O32" s="20"/>
      <c r="P32" s="21"/>
      <c r="Q32" s="14" t="str">
        <f t="shared" si="2"/>
        <v/>
      </c>
      <c r="R32" s="14"/>
    </row>
    <row r="33">
      <c r="A33" s="14"/>
      <c r="B33" s="27"/>
      <c r="C33" s="14"/>
      <c r="D33" s="16"/>
      <c r="E33" s="16"/>
      <c r="F33" s="21"/>
      <c r="G33" s="23"/>
      <c r="H33" s="24"/>
      <c r="I33" s="24"/>
      <c r="J33" s="29"/>
      <c r="K33" s="29"/>
      <c r="L33" s="20"/>
      <c r="M33" s="20"/>
      <c r="N33" s="20" t="str">
        <f t="shared" si="1"/>
        <v>#</v>
      </c>
      <c r="O33" s="20"/>
      <c r="P33" s="21"/>
      <c r="Q33" s="14" t="str">
        <f t="shared" si="2"/>
        <v/>
      </c>
      <c r="R33" s="14"/>
    </row>
    <row r="34">
      <c r="A34" s="14"/>
      <c r="B34" s="27"/>
      <c r="C34" s="14"/>
      <c r="D34" s="16"/>
      <c r="E34" s="16"/>
      <c r="F34" s="21"/>
      <c r="G34" s="23"/>
      <c r="H34" s="24"/>
      <c r="I34" s="24"/>
      <c r="J34" s="29"/>
      <c r="K34" s="29"/>
      <c r="L34" s="20"/>
      <c r="M34" s="20"/>
      <c r="N34" s="20" t="str">
        <f t="shared" si="1"/>
        <v>#</v>
      </c>
      <c r="O34" s="20"/>
      <c r="P34" s="21"/>
      <c r="Q34" s="14" t="str">
        <f t="shared" si="2"/>
        <v/>
      </c>
      <c r="R34" s="14"/>
    </row>
    <row r="35">
      <c r="A35" s="14"/>
      <c r="B35" s="27"/>
      <c r="C35" s="14"/>
      <c r="D35" s="16"/>
      <c r="E35" s="16"/>
      <c r="F35" s="21"/>
      <c r="G35" s="23"/>
      <c r="H35" s="24"/>
      <c r="I35" s="24"/>
      <c r="J35" s="29"/>
      <c r="K35" s="29"/>
      <c r="L35" s="20"/>
      <c r="M35" s="20"/>
      <c r="N35" s="20" t="str">
        <f t="shared" si="1"/>
        <v>#</v>
      </c>
      <c r="O35" s="20"/>
      <c r="P35" s="21"/>
      <c r="Q35" s="14" t="str">
        <f t="shared" si="2"/>
        <v/>
      </c>
      <c r="R35" s="14"/>
    </row>
    <row r="36">
      <c r="A36" s="14"/>
      <c r="B36" s="27"/>
      <c r="C36" s="14"/>
      <c r="D36" s="16"/>
      <c r="E36" s="16"/>
      <c r="F36" s="21"/>
      <c r="G36" s="23"/>
      <c r="H36" s="24"/>
      <c r="I36" s="24"/>
      <c r="J36" s="28"/>
      <c r="K36" s="28"/>
      <c r="L36" s="20"/>
      <c r="M36" s="20"/>
      <c r="N36" s="20" t="str">
        <f t="shared" si="1"/>
        <v>#</v>
      </c>
      <c r="O36" s="20"/>
      <c r="P36" s="21"/>
      <c r="Q36" s="14" t="str">
        <f t="shared" si="2"/>
        <v/>
      </c>
      <c r="R36" s="14"/>
    </row>
    <row r="37">
      <c r="A37" s="14"/>
      <c r="B37" s="27"/>
      <c r="C37" s="14"/>
      <c r="D37" s="16"/>
      <c r="E37" s="16"/>
      <c r="F37" s="21"/>
      <c r="G37" s="23"/>
      <c r="H37" s="24"/>
      <c r="I37" s="24"/>
      <c r="J37" s="28"/>
      <c r="K37" s="28"/>
      <c r="L37" s="20"/>
      <c r="M37" s="20"/>
      <c r="N37" s="20" t="str">
        <f t="shared" si="1"/>
        <v>#</v>
      </c>
      <c r="O37" s="20"/>
      <c r="P37" s="21"/>
      <c r="Q37" s="14" t="str">
        <f t="shared" si="2"/>
        <v/>
      </c>
      <c r="R37" s="14"/>
    </row>
    <row r="38">
      <c r="A38" s="14"/>
      <c r="B38" s="27"/>
      <c r="C38" s="14"/>
      <c r="D38" s="16"/>
      <c r="E38" s="16"/>
      <c r="F38" s="21"/>
      <c r="G38" s="23"/>
      <c r="H38" s="24"/>
      <c r="I38" s="24"/>
      <c r="J38" s="28"/>
      <c r="K38" s="28"/>
      <c r="L38" s="20"/>
      <c r="M38" s="20"/>
      <c r="N38" s="20" t="str">
        <f t="shared" si="1"/>
        <v>#</v>
      </c>
      <c r="O38" s="20"/>
      <c r="P38" s="21"/>
      <c r="Q38" s="14" t="str">
        <f t="shared" si="2"/>
        <v/>
      </c>
      <c r="R38" s="14"/>
    </row>
    <row r="39">
      <c r="A39" s="14"/>
      <c r="B39" s="27"/>
      <c r="C39" s="14"/>
      <c r="D39" s="16"/>
      <c r="E39" s="16"/>
      <c r="F39" s="21"/>
      <c r="G39" s="23"/>
      <c r="H39" s="24"/>
      <c r="I39" s="24"/>
      <c r="J39" s="28"/>
      <c r="K39" s="28"/>
      <c r="L39" s="20"/>
      <c r="M39" s="20"/>
      <c r="N39" s="20" t="str">
        <f t="shared" si="1"/>
        <v>#</v>
      </c>
      <c r="O39" s="20"/>
      <c r="P39" s="21"/>
      <c r="Q39" s="14" t="str">
        <f t="shared" si="2"/>
        <v/>
      </c>
      <c r="R39" s="14"/>
    </row>
    <row r="40">
      <c r="A40" s="14"/>
      <c r="B40" s="27"/>
      <c r="C40" s="14"/>
      <c r="D40" s="16"/>
      <c r="E40" s="16"/>
      <c r="F40" s="21"/>
      <c r="G40" s="21"/>
      <c r="H40" s="24"/>
      <c r="I40" s="24"/>
      <c r="J40" s="20"/>
      <c r="K40" s="20"/>
      <c r="L40" s="20"/>
      <c r="M40" s="20"/>
      <c r="N40" s="20" t="str">
        <f t="shared" si="1"/>
        <v>#</v>
      </c>
      <c r="O40" s="20"/>
      <c r="P40" s="21"/>
      <c r="Q40" s="14" t="str">
        <f t="shared" si="2"/>
        <v/>
      </c>
      <c r="R40" s="14"/>
    </row>
    <row r="41">
      <c r="A41" s="14"/>
      <c r="B41" s="27"/>
      <c r="C41" s="14"/>
      <c r="D41" s="16"/>
      <c r="E41" s="16"/>
      <c r="F41" s="21"/>
      <c r="G41" s="21"/>
      <c r="H41" s="24"/>
      <c r="I41" s="24"/>
      <c r="J41" s="20"/>
      <c r="K41" s="20"/>
      <c r="L41" s="20"/>
      <c r="M41" s="20"/>
      <c r="N41" s="20" t="str">
        <f t="shared" si="1"/>
        <v>#</v>
      </c>
      <c r="O41" s="20"/>
      <c r="P41" s="21"/>
      <c r="Q41" s="14" t="str">
        <f t="shared" si="2"/>
        <v/>
      </c>
      <c r="R41" s="14"/>
    </row>
    <row r="42">
      <c r="A42" s="14"/>
      <c r="B42" s="27"/>
      <c r="C42" s="14"/>
      <c r="D42" s="16"/>
      <c r="E42" s="16"/>
      <c r="F42" s="21"/>
      <c r="G42" s="21"/>
      <c r="H42" s="24"/>
      <c r="I42" s="24"/>
      <c r="J42" s="20"/>
      <c r="K42" s="20"/>
      <c r="L42" s="20"/>
      <c r="M42" s="20"/>
      <c r="N42" s="20" t="str">
        <f t="shared" si="1"/>
        <v>#</v>
      </c>
      <c r="O42" s="20"/>
      <c r="P42" s="21"/>
      <c r="Q42" s="14" t="str">
        <f t="shared" si="2"/>
        <v/>
      </c>
      <c r="R42" s="14"/>
    </row>
    <row r="43">
      <c r="A43" s="14"/>
      <c r="B43" s="27"/>
      <c r="C43" s="14"/>
      <c r="D43" s="16"/>
      <c r="E43" s="16"/>
      <c r="F43" s="21"/>
      <c r="G43" s="21"/>
      <c r="H43" s="24"/>
      <c r="I43" s="24"/>
      <c r="J43" s="20"/>
      <c r="K43" s="20"/>
      <c r="L43" s="20"/>
      <c r="M43" s="20"/>
      <c r="N43" s="20" t="str">
        <f t="shared" si="1"/>
        <v>#</v>
      </c>
      <c r="O43" s="20"/>
      <c r="P43" s="21"/>
      <c r="Q43" s="14" t="str">
        <f t="shared" si="2"/>
        <v/>
      </c>
      <c r="R43" s="14"/>
    </row>
    <row r="44">
      <c r="A44" s="14"/>
      <c r="B44" s="27"/>
      <c r="C44" s="14"/>
      <c r="D44" s="16"/>
      <c r="E44" s="16"/>
      <c r="F44" s="21"/>
      <c r="G44" s="21"/>
      <c r="H44" s="24"/>
      <c r="I44" s="24"/>
      <c r="J44" s="20"/>
      <c r="K44" s="20"/>
      <c r="L44" s="20"/>
      <c r="M44" s="20"/>
      <c r="N44" s="20" t="str">
        <f t="shared" si="1"/>
        <v>#</v>
      </c>
      <c r="O44" s="20"/>
      <c r="P44" s="21"/>
      <c r="Q44" s="14" t="str">
        <f t="shared" si="2"/>
        <v/>
      </c>
      <c r="R44" s="14"/>
    </row>
    <row r="45">
      <c r="A45" s="14"/>
      <c r="B45" s="27"/>
      <c r="C45" s="14"/>
      <c r="D45" s="16"/>
      <c r="E45" s="16"/>
      <c r="F45" s="21"/>
      <c r="G45" s="21"/>
      <c r="H45" s="24"/>
      <c r="I45" s="24"/>
      <c r="J45" s="20"/>
      <c r="K45" s="20"/>
      <c r="L45" s="20"/>
      <c r="M45" s="20"/>
      <c r="N45" s="20" t="str">
        <f t="shared" si="1"/>
        <v>#</v>
      </c>
      <c r="O45" s="20"/>
      <c r="P45" s="21"/>
      <c r="Q45" s="14" t="str">
        <f t="shared" si="2"/>
        <v/>
      </c>
      <c r="R45" s="14"/>
    </row>
    <row r="46">
      <c r="A46" s="14"/>
      <c r="B46" s="27"/>
      <c r="C46" s="14"/>
      <c r="D46" s="16"/>
      <c r="E46" s="16"/>
      <c r="F46" s="21"/>
      <c r="G46" s="21"/>
      <c r="H46" s="24"/>
      <c r="I46" s="24"/>
      <c r="J46" s="20"/>
      <c r="K46" s="20"/>
      <c r="L46" s="20"/>
      <c r="M46" s="20"/>
      <c r="N46" s="20" t="str">
        <f t="shared" si="1"/>
        <v>#</v>
      </c>
      <c r="O46" s="20"/>
      <c r="P46" s="21"/>
      <c r="Q46" s="14" t="str">
        <f t="shared" si="2"/>
        <v/>
      </c>
      <c r="R46" s="14"/>
    </row>
    <row r="47">
      <c r="A47" s="14"/>
      <c r="B47" s="27"/>
      <c r="C47" s="14"/>
      <c r="D47" s="16"/>
      <c r="E47" s="16"/>
      <c r="F47" s="21"/>
      <c r="G47" s="21"/>
      <c r="H47" s="24"/>
      <c r="I47" s="24"/>
      <c r="J47" s="20"/>
      <c r="K47" s="20"/>
      <c r="L47" s="20"/>
      <c r="M47" s="20"/>
      <c r="N47" s="20" t="str">
        <f t="shared" si="1"/>
        <v>#</v>
      </c>
      <c r="O47" s="20"/>
      <c r="P47" s="21"/>
      <c r="Q47" s="14" t="str">
        <f t="shared" si="2"/>
        <v/>
      </c>
      <c r="R47" s="14"/>
    </row>
    <row r="48">
      <c r="A48" s="14"/>
      <c r="B48" s="27"/>
      <c r="C48" s="14"/>
      <c r="D48" s="16"/>
      <c r="E48" s="16"/>
      <c r="F48" s="21"/>
      <c r="G48" s="21"/>
      <c r="H48" s="24"/>
      <c r="I48" s="24"/>
      <c r="J48" s="20"/>
      <c r="K48" s="20"/>
      <c r="L48" s="20"/>
      <c r="M48" s="20"/>
      <c r="N48" s="20" t="str">
        <f t="shared" si="1"/>
        <v>#</v>
      </c>
      <c r="O48" s="20"/>
      <c r="P48" s="21"/>
      <c r="Q48" s="14" t="str">
        <f t="shared" si="2"/>
        <v/>
      </c>
      <c r="R48" s="14"/>
    </row>
    <row r="49">
      <c r="A49" s="14"/>
      <c r="B49" s="27"/>
      <c r="C49" s="14"/>
      <c r="D49" s="16"/>
      <c r="E49" s="16"/>
      <c r="F49" s="21"/>
      <c r="G49" s="21"/>
      <c r="H49" s="24"/>
      <c r="I49" s="24"/>
      <c r="J49" s="20"/>
      <c r="K49" s="20"/>
      <c r="L49" s="20"/>
      <c r="M49" s="20"/>
      <c r="N49" s="20" t="str">
        <f t="shared" si="1"/>
        <v>#</v>
      </c>
      <c r="O49" s="20"/>
      <c r="P49" s="21"/>
      <c r="Q49" s="14" t="str">
        <f t="shared" si="2"/>
        <v/>
      </c>
      <c r="R49" s="14"/>
    </row>
    <row r="50">
      <c r="A50" s="14"/>
      <c r="B50" s="27"/>
      <c r="C50" s="14"/>
      <c r="D50" s="16"/>
      <c r="E50" s="16"/>
      <c r="F50" s="21"/>
      <c r="G50" s="21"/>
      <c r="H50" s="24"/>
      <c r="I50" s="24"/>
      <c r="J50" s="20"/>
      <c r="K50" s="20"/>
      <c r="L50" s="20"/>
      <c r="M50" s="20"/>
      <c r="N50" s="20" t="str">
        <f t="shared" si="1"/>
        <v>#</v>
      </c>
      <c r="O50" s="20"/>
      <c r="P50" s="21"/>
      <c r="Q50" s="14" t="str">
        <f t="shared" si="2"/>
        <v/>
      </c>
      <c r="R50" s="14"/>
    </row>
    <row r="51">
      <c r="A51" s="14"/>
      <c r="B51" s="27"/>
      <c r="C51" s="14"/>
      <c r="D51" s="16"/>
      <c r="E51" s="16"/>
      <c r="F51" s="21"/>
      <c r="G51" s="21"/>
      <c r="H51" s="24"/>
      <c r="I51" s="24"/>
      <c r="J51" s="20"/>
      <c r="K51" s="20"/>
      <c r="L51" s="20"/>
      <c r="M51" s="20"/>
      <c r="N51" s="20" t="str">
        <f t="shared" si="1"/>
        <v>#</v>
      </c>
      <c r="O51" s="20"/>
      <c r="P51" s="21"/>
      <c r="Q51" s="14" t="str">
        <f t="shared" si="2"/>
        <v/>
      </c>
      <c r="R51" s="14"/>
    </row>
    <row r="52">
      <c r="A52" s="14"/>
      <c r="B52" s="27"/>
      <c r="C52" s="14"/>
      <c r="D52" s="16"/>
      <c r="E52" s="16"/>
      <c r="F52" s="21"/>
      <c r="G52" s="21"/>
      <c r="H52" s="24"/>
      <c r="I52" s="24"/>
      <c r="J52" s="20"/>
      <c r="K52" s="20"/>
      <c r="L52" s="20"/>
      <c r="M52" s="20"/>
      <c r="N52" s="20" t="str">
        <f t="shared" si="1"/>
        <v>#</v>
      </c>
      <c r="O52" s="20"/>
      <c r="P52" s="21"/>
      <c r="Q52" s="14" t="str">
        <f t="shared" si="2"/>
        <v/>
      </c>
      <c r="R52" s="14"/>
    </row>
    <row r="53">
      <c r="A53" s="14"/>
      <c r="B53" s="27"/>
      <c r="C53" s="14"/>
      <c r="D53" s="16"/>
      <c r="E53" s="16"/>
      <c r="F53" s="21"/>
      <c r="G53" s="21"/>
      <c r="H53" s="24"/>
      <c r="I53" s="24"/>
      <c r="J53" s="20"/>
      <c r="K53" s="20"/>
      <c r="L53" s="20"/>
      <c r="M53" s="20"/>
      <c r="N53" s="20" t="str">
        <f t="shared" si="1"/>
        <v>#</v>
      </c>
      <c r="O53" s="20"/>
      <c r="P53" s="21"/>
      <c r="Q53" s="14" t="str">
        <f t="shared" si="2"/>
        <v/>
      </c>
      <c r="R53" s="14"/>
    </row>
    <row r="54">
      <c r="A54" s="14"/>
      <c r="B54" s="27"/>
      <c r="C54" s="14"/>
      <c r="D54" s="16"/>
      <c r="E54" s="16"/>
      <c r="F54" s="21"/>
      <c r="G54" s="21"/>
      <c r="H54" s="24"/>
      <c r="I54" s="24"/>
      <c r="J54" s="20"/>
      <c r="K54" s="20"/>
      <c r="L54" s="20"/>
      <c r="M54" s="20"/>
      <c r="N54" s="20" t="str">
        <f t="shared" si="1"/>
        <v>#</v>
      </c>
      <c r="O54" s="20"/>
      <c r="P54" s="21"/>
      <c r="Q54" s="14" t="str">
        <f t="shared" si="2"/>
        <v/>
      </c>
      <c r="R54" s="14"/>
    </row>
    <row r="55">
      <c r="A55" s="14"/>
      <c r="B55" s="27"/>
      <c r="C55" s="14"/>
      <c r="D55" s="16"/>
      <c r="E55" s="16"/>
      <c r="F55" s="21"/>
      <c r="G55" s="21"/>
      <c r="H55" s="24"/>
      <c r="I55" s="24"/>
      <c r="J55" s="20"/>
      <c r="K55" s="20"/>
      <c r="L55" s="20"/>
      <c r="M55" s="20"/>
      <c r="N55" s="20" t="str">
        <f t="shared" si="1"/>
        <v>#</v>
      </c>
      <c r="O55" s="20"/>
      <c r="P55" s="21"/>
      <c r="Q55" s="14" t="str">
        <f t="shared" si="2"/>
        <v/>
      </c>
      <c r="R55" s="14"/>
    </row>
    <row r="56">
      <c r="A56" s="14"/>
      <c r="B56" s="27"/>
      <c r="C56" s="14"/>
      <c r="D56" s="16"/>
      <c r="E56" s="16"/>
      <c r="F56" s="21"/>
      <c r="G56" s="21"/>
      <c r="H56" s="24"/>
      <c r="I56" s="24"/>
      <c r="J56" s="20"/>
      <c r="K56" s="20"/>
      <c r="L56" s="20"/>
      <c r="M56" s="20"/>
      <c r="N56" s="20" t="str">
        <f t="shared" si="1"/>
        <v>#</v>
      </c>
      <c r="O56" s="20"/>
      <c r="P56" s="21"/>
      <c r="Q56" s="14" t="str">
        <f t="shared" si="2"/>
        <v/>
      </c>
      <c r="R56" s="14"/>
    </row>
    <row r="57">
      <c r="A57" s="14"/>
      <c r="B57" s="27"/>
      <c r="C57" s="14"/>
      <c r="D57" s="16"/>
      <c r="E57" s="16"/>
      <c r="F57" s="21"/>
      <c r="G57" s="21"/>
      <c r="H57" s="24"/>
      <c r="I57" s="24"/>
      <c r="J57" s="20"/>
      <c r="K57" s="20"/>
      <c r="L57" s="20"/>
      <c r="M57" s="20"/>
      <c r="N57" s="20" t="str">
        <f t="shared" si="1"/>
        <v>#</v>
      </c>
      <c r="O57" s="20"/>
      <c r="P57" s="21"/>
      <c r="Q57" s="14" t="str">
        <f t="shared" si="2"/>
        <v/>
      </c>
      <c r="R57" s="14"/>
    </row>
    <row r="58">
      <c r="A58" s="14"/>
      <c r="B58" s="27"/>
      <c r="C58" s="14"/>
      <c r="D58" s="16"/>
      <c r="E58" s="16"/>
      <c r="F58" s="21"/>
      <c r="G58" s="21"/>
      <c r="H58" s="24"/>
      <c r="I58" s="24"/>
      <c r="J58" s="20"/>
      <c r="K58" s="20"/>
      <c r="L58" s="20"/>
      <c r="M58" s="20"/>
      <c r="N58" s="20" t="str">
        <f t="shared" si="1"/>
        <v>#</v>
      </c>
      <c r="O58" s="20"/>
      <c r="P58" s="21"/>
      <c r="Q58" s="14" t="str">
        <f t="shared" si="2"/>
        <v/>
      </c>
      <c r="R58" s="14"/>
    </row>
    <row r="59">
      <c r="A59" s="14"/>
      <c r="B59" s="27"/>
      <c r="C59" s="14"/>
      <c r="D59" s="16"/>
      <c r="E59" s="16"/>
      <c r="F59" s="21"/>
      <c r="G59" s="21"/>
      <c r="H59" s="24"/>
      <c r="I59" s="24"/>
      <c r="J59" s="20"/>
      <c r="K59" s="20"/>
      <c r="L59" s="20"/>
      <c r="M59" s="20"/>
      <c r="N59" s="20" t="str">
        <f t="shared" si="1"/>
        <v>#</v>
      </c>
      <c r="O59" s="20"/>
      <c r="P59" s="21"/>
      <c r="Q59" s="14" t="str">
        <f t="shared" si="2"/>
        <v/>
      </c>
      <c r="R59" s="14"/>
    </row>
    <row r="60">
      <c r="A60" s="14"/>
      <c r="B60" s="27"/>
      <c r="C60" s="14"/>
      <c r="D60" s="16"/>
      <c r="E60" s="16"/>
      <c r="F60" s="21"/>
      <c r="G60" s="21"/>
      <c r="H60" s="24"/>
      <c r="I60" s="24"/>
      <c r="J60" s="20"/>
      <c r="K60" s="20"/>
      <c r="L60" s="20"/>
      <c r="M60" s="20"/>
      <c r="N60" s="20" t="str">
        <f t="shared" si="1"/>
        <v>#</v>
      </c>
      <c r="O60" s="20"/>
      <c r="P60" s="21"/>
      <c r="Q60" s="14" t="str">
        <f t="shared" si="2"/>
        <v/>
      </c>
      <c r="R60" s="14"/>
    </row>
    <row r="61">
      <c r="A61" s="14"/>
      <c r="B61" s="27"/>
      <c r="C61" s="14"/>
      <c r="D61" s="16"/>
      <c r="E61" s="16"/>
      <c r="F61" s="21"/>
      <c r="G61" s="21"/>
      <c r="H61" s="24"/>
      <c r="I61" s="24"/>
      <c r="J61" s="20"/>
      <c r="K61" s="20"/>
      <c r="L61" s="20"/>
      <c r="M61" s="20"/>
      <c r="N61" s="20" t="str">
        <f t="shared" si="1"/>
        <v>#</v>
      </c>
      <c r="O61" s="20"/>
      <c r="P61" s="21"/>
      <c r="Q61" s="14" t="str">
        <f t="shared" si="2"/>
        <v/>
      </c>
      <c r="R61" s="14"/>
    </row>
    <row r="62">
      <c r="A62" s="14"/>
      <c r="B62" s="27"/>
      <c r="C62" s="14"/>
      <c r="D62" s="16"/>
      <c r="E62" s="16"/>
      <c r="F62" s="21"/>
      <c r="G62" s="21"/>
      <c r="H62" s="24"/>
      <c r="I62" s="24"/>
      <c r="J62" s="20"/>
      <c r="K62" s="20"/>
      <c r="L62" s="20"/>
      <c r="M62" s="20"/>
      <c r="N62" s="20" t="str">
        <f t="shared" si="1"/>
        <v>#</v>
      </c>
      <c r="O62" s="20"/>
      <c r="P62" s="21"/>
      <c r="Q62" s="14" t="str">
        <f t="shared" si="2"/>
        <v/>
      </c>
      <c r="R62" s="14"/>
    </row>
    <row r="63">
      <c r="A63" s="14"/>
      <c r="B63" s="27"/>
      <c r="C63" s="14"/>
      <c r="D63" s="16"/>
      <c r="E63" s="16"/>
      <c r="F63" s="21"/>
      <c r="G63" s="21"/>
      <c r="H63" s="24"/>
      <c r="I63" s="24"/>
      <c r="J63" s="20"/>
      <c r="K63" s="20"/>
      <c r="L63" s="20"/>
      <c r="M63" s="20"/>
      <c r="N63" s="20" t="str">
        <f t="shared" si="1"/>
        <v>#</v>
      </c>
      <c r="O63" s="20"/>
      <c r="P63" s="21"/>
      <c r="Q63" s="14" t="str">
        <f t="shared" si="2"/>
        <v/>
      </c>
      <c r="R63" s="14"/>
    </row>
    <row r="64">
      <c r="A64" s="14"/>
      <c r="B64" s="21"/>
      <c r="C64" s="14"/>
      <c r="D64" s="16"/>
      <c r="E64" s="16"/>
      <c r="F64" s="21"/>
      <c r="G64" s="21"/>
      <c r="H64" s="24"/>
      <c r="I64" s="24"/>
      <c r="J64" s="20"/>
      <c r="K64" s="20"/>
      <c r="L64" s="20"/>
      <c r="M64" s="20"/>
      <c r="N64" s="20" t="str">
        <f t="shared" si="1"/>
        <v>#</v>
      </c>
      <c r="O64" s="20"/>
      <c r="P64" s="21"/>
      <c r="Q64" s="14" t="str">
        <f t="shared" si="2"/>
        <v/>
      </c>
      <c r="R64" s="14"/>
    </row>
    <row r="65">
      <c r="A65" s="14"/>
      <c r="B65" s="21"/>
      <c r="C65" s="14"/>
      <c r="D65" s="16"/>
      <c r="E65" s="16"/>
      <c r="F65" s="21"/>
      <c r="G65" s="21"/>
      <c r="H65" s="24"/>
      <c r="I65" s="24"/>
      <c r="J65" s="20"/>
      <c r="K65" s="20"/>
      <c r="L65" s="20"/>
      <c r="M65" s="20"/>
      <c r="N65" s="20" t="str">
        <f t="shared" si="1"/>
        <v>#</v>
      </c>
      <c r="O65" s="20"/>
      <c r="P65" s="21"/>
      <c r="Q65" s="14" t="str">
        <f t="shared" si="2"/>
        <v/>
      </c>
      <c r="R65" s="14"/>
    </row>
    <row r="66">
      <c r="A66" s="14"/>
      <c r="B66" s="21"/>
      <c r="C66" s="14"/>
      <c r="D66" s="16"/>
      <c r="E66" s="16"/>
      <c r="F66" s="21"/>
      <c r="G66" s="21"/>
      <c r="H66" s="24"/>
      <c r="I66" s="24"/>
      <c r="J66" s="20"/>
      <c r="K66" s="20"/>
      <c r="L66" s="20"/>
      <c r="M66" s="20"/>
      <c r="N66" s="20" t="str">
        <f t="shared" si="1"/>
        <v>#</v>
      </c>
      <c r="O66" s="20"/>
      <c r="P66" s="21"/>
      <c r="Q66" s="14" t="str">
        <f t="shared" si="2"/>
        <v/>
      </c>
      <c r="R66" s="14"/>
    </row>
    <row r="67">
      <c r="A67" s="14"/>
      <c r="B67" s="21"/>
      <c r="C67" s="14"/>
      <c r="D67" s="16"/>
      <c r="E67" s="16"/>
      <c r="F67" s="21"/>
      <c r="G67" s="21"/>
      <c r="H67" s="24"/>
      <c r="I67" s="24"/>
      <c r="J67" s="20"/>
      <c r="K67" s="20"/>
      <c r="L67" s="20"/>
      <c r="M67" s="20"/>
      <c r="N67" s="20" t="str">
        <f t="shared" si="1"/>
        <v>#</v>
      </c>
      <c r="O67" s="20"/>
      <c r="P67" s="21"/>
      <c r="Q67" s="14" t="str">
        <f t="shared" si="2"/>
        <v/>
      </c>
      <c r="R67" s="14"/>
    </row>
    <row r="68">
      <c r="A68" s="14"/>
      <c r="B68" s="21"/>
      <c r="C68" s="14"/>
      <c r="D68" s="16"/>
      <c r="E68" s="16"/>
      <c r="F68" s="21"/>
      <c r="G68" s="21"/>
      <c r="H68" s="24"/>
      <c r="I68" s="24"/>
      <c r="J68" s="20"/>
      <c r="K68" s="20"/>
      <c r="L68" s="20"/>
      <c r="M68" s="20"/>
      <c r="N68" s="20" t="str">
        <f t="shared" si="1"/>
        <v>#</v>
      </c>
      <c r="O68" s="20"/>
      <c r="P68" s="21"/>
      <c r="Q68" s="14" t="str">
        <f t="shared" si="2"/>
        <v/>
      </c>
      <c r="R68" s="14"/>
    </row>
    <row r="69">
      <c r="A69" s="14"/>
      <c r="B69" s="21"/>
      <c r="C69" s="14"/>
      <c r="D69" s="16"/>
      <c r="E69" s="16"/>
      <c r="F69" s="21"/>
      <c r="G69" s="21"/>
      <c r="H69" s="24"/>
      <c r="I69" s="24"/>
      <c r="J69" s="20"/>
      <c r="K69" s="20"/>
      <c r="L69" s="20"/>
      <c r="M69" s="20"/>
      <c r="N69" s="20" t="str">
        <f t="shared" si="1"/>
        <v>#</v>
      </c>
      <c r="O69" s="20"/>
      <c r="P69" s="21"/>
      <c r="Q69" s="14" t="str">
        <f t="shared" si="2"/>
        <v/>
      </c>
      <c r="R69" s="14"/>
    </row>
    <row r="70">
      <c r="A70" s="14"/>
      <c r="B70" s="21"/>
      <c r="C70" s="14"/>
      <c r="D70" s="16"/>
      <c r="E70" s="16"/>
      <c r="F70" s="21"/>
      <c r="G70" s="21"/>
      <c r="H70" s="24"/>
      <c r="I70" s="24"/>
      <c r="J70" s="20"/>
      <c r="K70" s="20"/>
      <c r="L70" s="20"/>
      <c r="M70" s="20"/>
      <c r="N70" s="20" t="str">
        <f t="shared" si="1"/>
        <v>#</v>
      </c>
      <c r="O70" s="20"/>
      <c r="P70" s="21"/>
      <c r="Q70" s="14" t="str">
        <f t="shared" si="2"/>
        <v/>
      </c>
      <c r="R70" s="14"/>
    </row>
    <row r="71">
      <c r="A71" s="14"/>
      <c r="B71" s="21"/>
      <c r="C71" s="14"/>
      <c r="D71" s="16"/>
      <c r="E71" s="16"/>
      <c r="F71" s="21"/>
      <c r="G71" s="21"/>
      <c r="H71" s="24"/>
      <c r="I71" s="24"/>
      <c r="J71" s="20"/>
      <c r="K71" s="20"/>
      <c r="L71" s="20"/>
      <c r="M71" s="20"/>
      <c r="N71" s="20" t="str">
        <f t="shared" si="1"/>
        <v>#</v>
      </c>
      <c r="O71" s="20"/>
      <c r="P71" s="21"/>
      <c r="Q71" s="14" t="str">
        <f t="shared" si="2"/>
        <v/>
      </c>
      <c r="R71" s="14"/>
    </row>
    <row r="72">
      <c r="A72" s="14"/>
      <c r="B72" s="21"/>
      <c r="C72" s="14"/>
      <c r="D72" s="16"/>
      <c r="E72" s="16"/>
      <c r="F72" s="21"/>
      <c r="G72" s="21"/>
      <c r="H72" s="24"/>
      <c r="I72" s="24"/>
      <c r="J72" s="20"/>
      <c r="K72" s="20"/>
      <c r="L72" s="20"/>
      <c r="M72" s="20"/>
      <c r="N72" s="20" t="str">
        <f t="shared" si="1"/>
        <v>#</v>
      </c>
      <c r="O72" s="20"/>
      <c r="P72" s="21"/>
      <c r="Q72" s="14" t="str">
        <f t="shared" si="2"/>
        <v/>
      </c>
      <c r="R72" s="14"/>
    </row>
    <row r="73">
      <c r="A73" s="14"/>
      <c r="B73" s="21"/>
      <c r="C73" s="14"/>
      <c r="D73" s="16"/>
      <c r="E73" s="16"/>
      <c r="F73" s="21"/>
      <c r="G73" s="21"/>
      <c r="H73" s="24"/>
      <c r="I73" s="24"/>
      <c r="J73" s="20"/>
      <c r="K73" s="20"/>
      <c r="L73" s="20"/>
      <c r="M73" s="20"/>
      <c r="N73" s="20" t="str">
        <f t="shared" si="1"/>
        <v>#</v>
      </c>
      <c r="O73" s="20"/>
      <c r="P73" s="21"/>
      <c r="Q73" s="14" t="str">
        <f t="shared" si="2"/>
        <v/>
      </c>
      <c r="R73" s="14"/>
    </row>
    <row r="74">
      <c r="A74" s="14"/>
      <c r="B74" s="21"/>
      <c r="C74" s="14"/>
      <c r="D74" s="16"/>
      <c r="E74" s="16"/>
      <c r="F74" s="21"/>
      <c r="G74" s="21"/>
      <c r="H74" s="24"/>
      <c r="I74" s="24"/>
      <c r="J74" s="20"/>
      <c r="K74" s="20"/>
      <c r="L74" s="20"/>
      <c r="M74" s="20"/>
      <c r="N74" s="20" t="str">
        <f t="shared" si="1"/>
        <v>#</v>
      </c>
      <c r="O74" s="20"/>
      <c r="P74" s="21"/>
      <c r="Q74" s="14" t="str">
        <f t="shared" si="2"/>
        <v/>
      </c>
      <c r="R74" s="14"/>
    </row>
    <row r="75">
      <c r="A75" s="14"/>
      <c r="B75" s="21"/>
      <c r="C75" s="14"/>
      <c r="D75" s="16"/>
      <c r="E75" s="16"/>
      <c r="F75" s="21"/>
      <c r="G75" s="21"/>
      <c r="H75" s="24"/>
      <c r="I75" s="24"/>
      <c r="J75" s="20"/>
      <c r="K75" s="20"/>
      <c r="L75" s="20"/>
      <c r="M75" s="20"/>
      <c r="N75" s="20" t="str">
        <f t="shared" si="1"/>
        <v>#</v>
      </c>
      <c r="O75" s="20"/>
      <c r="P75" s="21"/>
      <c r="Q75" s="14" t="str">
        <f t="shared" si="2"/>
        <v/>
      </c>
      <c r="R75" s="14"/>
    </row>
    <row r="76">
      <c r="A76" s="14"/>
      <c r="B76" s="21"/>
      <c r="C76" s="14"/>
      <c r="D76" s="16"/>
      <c r="E76" s="16"/>
      <c r="F76" s="21"/>
      <c r="G76" s="21"/>
      <c r="H76" s="24"/>
      <c r="I76" s="24"/>
      <c r="J76" s="20"/>
      <c r="K76" s="20"/>
      <c r="L76" s="20"/>
      <c r="M76" s="20"/>
      <c r="N76" s="20" t="str">
        <f t="shared" si="1"/>
        <v>#</v>
      </c>
      <c r="O76" s="20"/>
      <c r="P76" s="21"/>
      <c r="Q76" s="14" t="str">
        <f t="shared" si="2"/>
        <v/>
      </c>
      <c r="R76" s="14"/>
    </row>
    <row r="77">
      <c r="A77" s="14"/>
      <c r="B77" s="21"/>
      <c r="C77" s="14"/>
      <c r="D77" s="16"/>
      <c r="E77" s="16"/>
      <c r="F77" s="21"/>
      <c r="G77" s="21"/>
      <c r="H77" s="24"/>
      <c r="I77" s="24"/>
      <c r="J77" s="20"/>
      <c r="K77" s="20"/>
      <c r="L77" s="20"/>
      <c r="M77" s="20"/>
      <c r="N77" s="20" t="str">
        <f t="shared" si="1"/>
        <v>#</v>
      </c>
      <c r="O77" s="20"/>
      <c r="P77" s="21"/>
      <c r="Q77" s="14" t="str">
        <f t="shared" si="2"/>
        <v/>
      </c>
      <c r="R77" s="14"/>
    </row>
    <row r="78">
      <c r="A78" s="14"/>
      <c r="B78" s="21"/>
      <c r="C78" s="14"/>
      <c r="D78" s="16"/>
      <c r="E78" s="16"/>
      <c r="F78" s="21"/>
      <c r="G78" s="21"/>
      <c r="H78" s="24"/>
      <c r="I78" s="24"/>
      <c r="J78" s="20"/>
      <c r="K78" s="20"/>
      <c r="L78" s="20"/>
      <c r="M78" s="20"/>
      <c r="N78" s="20" t="str">
        <f t="shared" si="1"/>
        <v>#</v>
      </c>
      <c r="O78" s="20"/>
      <c r="P78" s="21"/>
      <c r="Q78" s="14" t="str">
        <f t="shared" si="2"/>
        <v/>
      </c>
      <c r="R78" s="14"/>
    </row>
    <row r="79">
      <c r="A79" s="14"/>
      <c r="B79" s="21"/>
      <c r="C79" s="14"/>
      <c r="D79" s="16"/>
      <c r="E79" s="16"/>
      <c r="F79" s="21"/>
      <c r="G79" s="21"/>
      <c r="H79" s="24"/>
      <c r="I79" s="24"/>
      <c r="J79" s="20"/>
      <c r="K79" s="20"/>
      <c r="L79" s="20"/>
      <c r="M79" s="20"/>
      <c r="N79" s="20" t="str">
        <f t="shared" si="1"/>
        <v>#</v>
      </c>
      <c r="O79" s="20"/>
      <c r="P79" s="21"/>
      <c r="Q79" s="14" t="str">
        <f t="shared" si="2"/>
        <v/>
      </c>
      <c r="R79" s="14"/>
    </row>
    <row r="80">
      <c r="A80" s="14"/>
      <c r="B80" s="21"/>
      <c r="C80" s="14"/>
      <c r="D80" s="16"/>
      <c r="E80" s="16"/>
      <c r="F80" s="21"/>
      <c r="G80" s="21"/>
      <c r="H80" s="24"/>
      <c r="I80" s="24"/>
      <c r="J80" s="20"/>
      <c r="K80" s="20"/>
      <c r="L80" s="20"/>
      <c r="M80" s="20"/>
      <c r="N80" s="20" t="str">
        <f t="shared" si="1"/>
        <v>#</v>
      </c>
      <c r="O80" s="20"/>
      <c r="P80" s="21"/>
      <c r="Q80" s="14" t="str">
        <f t="shared" si="2"/>
        <v/>
      </c>
      <c r="R80" s="14"/>
    </row>
    <row r="81">
      <c r="A81" s="14"/>
      <c r="B81" s="21"/>
      <c r="C81" s="14"/>
      <c r="D81" s="16"/>
      <c r="E81" s="16"/>
      <c r="F81" s="21"/>
      <c r="G81" s="21"/>
      <c r="H81" s="24"/>
      <c r="I81" s="24"/>
      <c r="J81" s="20"/>
      <c r="K81" s="20"/>
      <c r="L81" s="20"/>
      <c r="M81" s="20"/>
      <c r="N81" s="20" t="str">
        <f t="shared" si="1"/>
        <v>#</v>
      </c>
      <c r="O81" s="20"/>
      <c r="P81" s="21"/>
      <c r="Q81" s="14" t="str">
        <f t="shared" si="2"/>
        <v/>
      </c>
      <c r="R81" s="14"/>
    </row>
    <row r="82">
      <c r="A82" s="14"/>
      <c r="B82" s="21"/>
      <c r="C82" s="14"/>
      <c r="D82" s="16"/>
      <c r="E82" s="16"/>
      <c r="F82" s="21"/>
      <c r="G82" s="21"/>
      <c r="H82" s="24"/>
      <c r="I82" s="24"/>
      <c r="J82" s="20"/>
      <c r="K82" s="20"/>
      <c r="L82" s="20"/>
      <c r="M82" s="20"/>
      <c r="N82" s="20" t="str">
        <f t="shared" si="1"/>
        <v>#</v>
      </c>
      <c r="O82" s="20"/>
      <c r="P82" s="21"/>
      <c r="Q82" s="14" t="str">
        <f t="shared" si="2"/>
        <v/>
      </c>
      <c r="R82" s="14"/>
    </row>
    <row r="83">
      <c r="A83" s="14"/>
      <c r="B83" s="21"/>
      <c r="C83" s="14"/>
      <c r="D83" s="16"/>
      <c r="E83" s="16"/>
      <c r="F83" s="21"/>
      <c r="G83" s="21"/>
      <c r="H83" s="24"/>
      <c r="I83" s="24"/>
      <c r="J83" s="20"/>
      <c r="K83" s="20"/>
      <c r="L83" s="20"/>
      <c r="M83" s="20"/>
      <c r="N83" s="20" t="str">
        <f t="shared" si="1"/>
        <v>#</v>
      </c>
      <c r="O83" s="20"/>
      <c r="P83" s="21"/>
      <c r="Q83" s="14" t="str">
        <f t="shared" si="2"/>
        <v/>
      </c>
      <c r="R83" s="14"/>
    </row>
    <row r="84">
      <c r="A84" s="14"/>
      <c r="B84" s="21"/>
      <c r="C84" s="14"/>
      <c r="D84" s="16"/>
      <c r="E84" s="16"/>
      <c r="F84" s="21"/>
      <c r="G84" s="21"/>
      <c r="H84" s="24"/>
      <c r="I84" s="24"/>
      <c r="J84" s="20"/>
      <c r="K84" s="20"/>
      <c r="L84" s="20"/>
      <c r="M84" s="20"/>
      <c r="N84" s="20" t="str">
        <f t="shared" si="1"/>
        <v>#</v>
      </c>
      <c r="O84" s="20"/>
      <c r="P84" s="21"/>
      <c r="Q84" s="14" t="str">
        <f t="shared" si="2"/>
        <v/>
      </c>
      <c r="R84" s="14"/>
    </row>
    <row r="85">
      <c r="A85" s="14"/>
      <c r="B85" s="21"/>
      <c r="C85" s="14"/>
      <c r="D85" s="16"/>
      <c r="E85" s="16"/>
      <c r="F85" s="21"/>
      <c r="G85" s="21"/>
      <c r="H85" s="24"/>
      <c r="I85" s="24"/>
      <c r="J85" s="20"/>
      <c r="K85" s="20"/>
      <c r="L85" s="20"/>
      <c r="M85" s="20"/>
      <c r="N85" s="20" t="str">
        <f t="shared" si="1"/>
        <v>#</v>
      </c>
      <c r="O85" s="20"/>
      <c r="P85" s="21"/>
      <c r="Q85" s="14" t="str">
        <f t="shared" si="2"/>
        <v/>
      </c>
      <c r="R85" s="14"/>
    </row>
    <row r="86">
      <c r="A86" s="14"/>
      <c r="B86" s="21"/>
      <c r="C86" s="14"/>
      <c r="D86" s="16"/>
      <c r="E86" s="16"/>
      <c r="F86" s="21"/>
      <c r="G86" s="21"/>
      <c r="H86" s="24"/>
      <c r="I86" s="24"/>
      <c r="J86" s="20"/>
      <c r="K86" s="20"/>
      <c r="L86" s="20"/>
      <c r="M86" s="20"/>
      <c r="N86" s="20" t="str">
        <f t="shared" si="1"/>
        <v>#</v>
      </c>
      <c r="O86" s="20"/>
      <c r="P86" s="21"/>
      <c r="Q86" s="14" t="str">
        <f t="shared" si="2"/>
        <v/>
      </c>
      <c r="R86" s="14"/>
    </row>
    <row r="87">
      <c r="A87" s="14"/>
      <c r="B87" s="21"/>
      <c r="C87" s="14"/>
      <c r="D87" s="16"/>
      <c r="E87" s="16"/>
      <c r="F87" s="21"/>
      <c r="G87" s="21"/>
      <c r="H87" s="24"/>
      <c r="I87" s="24"/>
      <c r="J87" s="20"/>
      <c r="K87" s="20"/>
      <c r="L87" s="20"/>
      <c r="M87" s="20"/>
      <c r="N87" s="20" t="str">
        <f t="shared" si="1"/>
        <v>#</v>
      </c>
      <c r="O87" s="20"/>
      <c r="P87" s="21"/>
      <c r="Q87" s="14" t="str">
        <f t="shared" si="2"/>
        <v/>
      </c>
      <c r="R87" s="14"/>
    </row>
    <row r="88">
      <c r="A88" s="14"/>
      <c r="B88" s="21"/>
      <c r="C88" s="14"/>
      <c r="D88" s="16"/>
      <c r="E88" s="16"/>
      <c r="F88" s="21"/>
      <c r="G88" s="21"/>
      <c r="H88" s="24"/>
      <c r="I88" s="24"/>
      <c r="J88" s="20"/>
      <c r="K88" s="20"/>
      <c r="L88" s="20"/>
      <c r="M88" s="20"/>
      <c r="N88" s="20" t="str">
        <f t="shared" si="1"/>
        <v>#</v>
      </c>
      <c r="O88" s="20"/>
      <c r="P88" s="21"/>
      <c r="Q88" s="14" t="str">
        <f t="shared" si="2"/>
        <v/>
      </c>
      <c r="R88" s="14"/>
    </row>
    <row r="89">
      <c r="A89" s="14"/>
      <c r="B89" s="21"/>
      <c r="C89" s="14"/>
      <c r="D89" s="16"/>
      <c r="E89" s="16"/>
      <c r="F89" s="21"/>
      <c r="G89" s="21"/>
      <c r="H89" s="24"/>
      <c r="I89" s="24"/>
      <c r="J89" s="20"/>
      <c r="K89" s="20"/>
      <c r="L89" s="20"/>
      <c r="M89" s="20"/>
      <c r="N89" s="20" t="str">
        <f t="shared" si="1"/>
        <v>#</v>
      </c>
      <c r="O89" s="20"/>
      <c r="P89" s="21"/>
      <c r="Q89" s="14" t="str">
        <f t="shared" si="2"/>
        <v/>
      </c>
      <c r="R89" s="14"/>
    </row>
    <row r="90">
      <c r="A90" s="14"/>
      <c r="B90" s="21"/>
      <c r="C90" s="14"/>
      <c r="D90" s="16"/>
      <c r="E90" s="16"/>
      <c r="F90" s="21"/>
      <c r="G90" s="21"/>
      <c r="H90" s="24"/>
      <c r="I90" s="24"/>
      <c r="J90" s="20"/>
      <c r="K90" s="20"/>
      <c r="L90" s="20"/>
      <c r="M90" s="20"/>
      <c r="N90" s="20" t="str">
        <f t="shared" si="1"/>
        <v>#</v>
      </c>
      <c r="O90" s="20"/>
      <c r="P90" s="21"/>
      <c r="Q90" s="14" t="str">
        <f t="shared" si="2"/>
        <v/>
      </c>
      <c r="R90" s="14"/>
    </row>
    <row r="91">
      <c r="A91" s="14"/>
      <c r="B91" s="21"/>
      <c r="C91" s="14"/>
      <c r="D91" s="16"/>
      <c r="E91" s="16"/>
      <c r="F91" s="21"/>
      <c r="G91" s="21"/>
      <c r="H91" s="24"/>
      <c r="I91" s="24"/>
      <c r="J91" s="20"/>
      <c r="K91" s="20"/>
      <c r="L91" s="20"/>
      <c r="M91" s="20"/>
      <c r="N91" s="20" t="str">
        <f t="shared" si="1"/>
        <v>#</v>
      </c>
      <c r="O91" s="20"/>
      <c r="P91" s="21"/>
      <c r="Q91" s="14" t="str">
        <f t="shared" si="2"/>
        <v/>
      </c>
      <c r="R91" s="14"/>
    </row>
    <row r="92">
      <c r="A92" s="14"/>
      <c r="B92" s="21"/>
      <c r="C92" s="14"/>
      <c r="D92" s="16"/>
      <c r="E92" s="16"/>
      <c r="F92" s="21"/>
      <c r="G92" s="21"/>
      <c r="H92" s="24"/>
      <c r="I92" s="24"/>
      <c r="J92" s="20"/>
      <c r="K92" s="20"/>
      <c r="L92" s="20"/>
      <c r="M92" s="20"/>
      <c r="N92" s="20" t="str">
        <f t="shared" si="1"/>
        <v>#</v>
      </c>
      <c r="O92" s="20"/>
      <c r="P92" s="21"/>
      <c r="Q92" s="14" t="str">
        <f t="shared" si="2"/>
        <v/>
      </c>
      <c r="R92" s="14"/>
    </row>
    <row r="93">
      <c r="A93" s="14"/>
      <c r="B93" s="21"/>
      <c r="C93" s="14"/>
      <c r="D93" s="16"/>
      <c r="E93" s="16"/>
      <c r="F93" s="21"/>
      <c r="G93" s="21"/>
      <c r="H93" s="24"/>
      <c r="I93" s="24"/>
      <c r="J93" s="20"/>
      <c r="K93" s="20"/>
      <c r="L93" s="20"/>
      <c r="M93" s="20"/>
      <c r="N93" s="20" t="str">
        <f t="shared" si="1"/>
        <v>#</v>
      </c>
      <c r="O93" s="20"/>
      <c r="P93" s="21"/>
      <c r="Q93" s="14" t="str">
        <f t="shared" si="2"/>
        <v/>
      </c>
      <c r="R93" s="14"/>
    </row>
    <row r="94">
      <c r="A94" s="14"/>
      <c r="B94" s="21"/>
      <c r="C94" s="14"/>
      <c r="D94" s="16"/>
      <c r="E94" s="16"/>
      <c r="F94" s="21"/>
      <c r="G94" s="21"/>
      <c r="H94" s="24"/>
      <c r="I94" s="24"/>
      <c r="J94" s="20"/>
      <c r="K94" s="20"/>
      <c r="L94" s="20"/>
      <c r="M94" s="20"/>
      <c r="N94" s="20" t="str">
        <f t="shared" si="1"/>
        <v>#</v>
      </c>
      <c r="O94" s="20"/>
      <c r="P94" s="21"/>
      <c r="Q94" s="14" t="str">
        <f t="shared" si="2"/>
        <v/>
      </c>
      <c r="R94" s="14"/>
    </row>
    <row r="95">
      <c r="A95" s="14"/>
      <c r="B95" s="21"/>
      <c r="C95" s="14"/>
      <c r="D95" s="16"/>
      <c r="E95" s="16"/>
      <c r="F95" s="21"/>
      <c r="G95" s="21"/>
      <c r="H95" s="24"/>
      <c r="I95" s="24"/>
      <c r="J95" s="20"/>
      <c r="K95" s="20"/>
      <c r="L95" s="20"/>
      <c r="M95" s="20"/>
      <c r="N95" s="20" t="str">
        <f t="shared" si="1"/>
        <v>#</v>
      </c>
      <c r="O95" s="20"/>
      <c r="P95" s="21"/>
      <c r="Q95" s="14" t="str">
        <f t="shared" si="2"/>
        <v/>
      </c>
      <c r="R95" s="14"/>
    </row>
    <row r="96">
      <c r="A96" s="14"/>
      <c r="B96" s="21"/>
      <c r="C96" s="14"/>
      <c r="D96" s="16"/>
      <c r="E96" s="16"/>
      <c r="F96" s="21"/>
      <c r="G96" s="21"/>
      <c r="H96" s="24"/>
      <c r="I96" s="24"/>
      <c r="J96" s="20"/>
      <c r="K96" s="20"/>
      <c r="L96" s="20"/>
      <c r="M96" s="20"/>
      <c r="N96" s="20" t="str">
        <f t="shared" si="1"/>
        <v>#</v>
      </c>
      <c r="O96" s="20"/>
      <c r="P96" s="21"/>
      <c r="Q96" s="14" t="str">
        <f t="shared" si="2"/>
        <v/>
      </c>
      <c r="R96" s="14"/>
    </row>
    <row r="97">
      <c r="A97" s="14"/>
      <c r="B97" s="21"/>
      <c r="C97" s="14"/>
      <c r="D97" s="16"/>
      <c r="E97" s="16"/>
      <c r="F97" s="21"/>
      <c r="G97" s="21"/>
      <c r="H97" s="24"/>
      <c r="I97" s="24"/>
      <c r="J97" s="20"/>
      <c r="K97" s="20"/>
      <c r="L97" s="20"/>
      <c r="M97" s="20"/>
      <c r="N97" s="20" t="str">
        <f t="shared" si="1"/>
        <v>#</v>
      </c>
      <c r="O97" s="20"/>
      <c r="P97" s="21"/>
      <c r="Q97" s="14" t="str">
        <f t="shared" si="2"/>
        <v/>
      </c>
      <c r="R97" s="14"/>
    </row>
    <row r="98">
      <c r="A98" s="14"/>
      <c r="B98" s="21"/>
      <c r="C98" s="14"/>
      <c r="D98" s="16"/>
      <c r="E98" s="16"/>
      <c r="F98" s="21"/>
      <c r="G98" s="21"/>
      <c r="H98" s="24"/>
      <c r="I98" s="24"/>
      <c r="J98" s="20"/>
      <c r="K98" s="20"/>
      <c r="L98" s="20"/>
      <c r="M98" s="20"/>
      <c r="N98" s="20" t="str">
        <f t="shared" si="1"/>
        <v>#</v>
      </c>
      <c r="O98" s="20"/>
      <c r="P98" s="21"/>
      <c r="Q98" s="14" t="str">
        <f t="shared" si="2"/>
        <v/>
      </c>
      <c r="R98" s="14"/>
    </row>
    <row r="99">
      <c r="A99" s="14"/>
      <c r="B99" s="21"/>
      <c r="C99" s="14"/>
      <c r="D99" s="16"/>
      <c r="E99" s="16"/>
      <c r="F99" s="21"/>
      <c r="G99" s="21"/>
      <c r="H99" s="24"/>
      <c r="I99" s="24"/>
      <c r="J99" s="20"/>
      <c r="K99" s="20"/>
      <c r="L99" s="20"/>
      <c r="M99" s="20"/>
      <c r="N99" s="20" t="str">
        <f t="shared" si="1"/>
        <v>#</v>
      </c>
      <c r="O99" s="20"/>
      <c r="P99" s="21"/>
      <c r="Q99" s="14" t="str">
        <f t="shared" si="2"/>
        <v/>
      </c>
      <c r="R99" s="14"/>
    </row>
    <row r="100">
      <c r="A100" s="14"/>
      <c r="B100" s="21"/>
      <c r="C100" s="14"/>
      <c r="D100" s="16"/>
      <c r="E100" s="16"/>
      <c r="F100" s="21"/>
      <c r="G100" s="21"/>
      <c r="H100" s="24"/>
      <c r="I100" s="24"/>
      <c r="J100" s="20"/>
      <c r="K100" s="20"/>
      <c r="L100" s="20"/>
      <c r="M100" s="20"/>
      <c r="N100" s="20" t="str">
        <f t="shared" si="1"/>
        <v>#</v>
      </c>
      <c r="O100" s="20"/>
      <c r="P100" s="21"/>
      <c r="Q100" s="14" t="str">
        <f t="shared" si="2"/>
        <v/>
      </c>
      <c r="R100" s="14"/>
    </row>
    <row r="101">
      <c r="A101" s="14"/>
      <c r="B101" s="21"/>
      <c r="C101" s="14"/>
      <c r="D101" s="16"/>
      <c r="E101" s="16"/>
      <c r="F101" s="21"/>
      <c r="G101" s="21"/>
      <c r="H101" s="24"/>
      <c r="I101" s="24"/>
      <c r="J101" s="20"/>
      <c r="K101" s="20"/>
      <c r="L101" s="20"/>
      <c r="M101" s="20"/>
      <c r="N101" s="20" t="str">
        <f t="shared" si="1"/>
        <v>#</v>
      </c>
      <c r="O101" s="20"/>
      <c r="P101" s="21"/>
      <c r="Q101" s="14" t="str">
        <f t="shared" si="2"/>
        <v/>
      </c>
      <c r="R101" s="14"/>
    </row>
    <row r="102">
      <c r="A102" s="14"/>
      <c r="B102" s="21"/>
      <c r="C102" s="14"/>
      <c r="D102" s="16"/>
      <c r="E102" s="16"/>
      <c r="F102" s="21"/>
      <c r="G102" s="21"/>
      <c r="H102" s="24"/>
      <c r="I102" s="24"/>
      <c r="J102" s="20"/>
      <c r="K102" s="20"/>
      <c r="L102" s="20"/>
      <c r="M102" s="20"/>
      <c r="N102" s="20" t="str">
        <f t="shared" si="1"/>
        <v>#</v>
      </c>
      <c r="O102" s="20"/>
      <c r="P102" s="21"/>
      <c r="Q102" s="14" t="str">
        <f t="shared" si="2"/>
        <v/>
      </c>
      <c r="R102" s="14"/>
    </row>
    <row r="103">
      <c r="A103" s="14"/>
      <c r="B103" s="21"/>
      <c r="C103" s="14"/>
      <c r="D103" s="16"/>
      <c r="E103" s="16"/>
      <c r="F103" s="21"/>
      <c r="G103" s="21"/>
      <c r="H103" s="24"/>
      <c r="I103" s="24"/>
      <c r="J103" s="20"/>
      <c r="K103" s="20"/>
      <c r="L103" s="20"/>
      <c r="M103" s="20"/>
      <c r="N103" s="20" t="str">
        <f t="shared" si="1"/>
        <v>#</v>
      </c>
      <c r="O103" s="20"/>
      <c r="P103" s="21"/>
      <c r="Q103" s="14" t="str">
        <f t="shared" si="2"/>
        <v/>
      </c>
      <c r="R103" s="14"/>
    </row>
    <row r="104">
      <c r="A104" s="14"/>
      <c r="B104" s="21"/>
      <c r="C104" s="14"/>
      <c r="D104" s="16"/>
      <c r="E104" s="16"/>
      <c r="F104" s="21"/>
      <c r="G104" s="21"/>
      <c r="H104" s="24"/>
      <c r="I104" s="24"/>
      <c r="J104" s="20"/>
      <c r="K104" s="20"/>
      <c r="L104" s="20"/>
      <c r="M104" s="20"/>
      <c r="N104" s="20" t="str">
        <f t="shared" si="1"/>
        <v>#</v>
      </c>
      <c r="O104" s="20"/>
      <c r="P104" s="21"/>
      <c r="Q104" s="14" t="str">
        <f t="shared" si="2"/>
        <v/>
      </c>
      <c r="R104" s="14"/>
    </row>
    <row r="105">
      <c r="A105" s="14"/>
      <c r="B105" s="21"/>
      <c r="C105" s="14"/>
      <c r="D105" s="16"/>
      <c r="E105" s="16"/>
      <c r="F105" s="21"/>
      <c r="G105" s="21"/>
      <c r="H105" s="24"/>
      <c r="I105" s="24"/>
      <c r="J105" s="20"/>
      <c r="K105" s="20"/>
      <c r="L105" s="20"/>
      <c r="M105" s="20"/>
      <c r="N105" s="20" t="str">
        <f t="shared" si="1"/>
        <v>#</v>
      </c>
      <c r="O105" s="20"/>
      <c r="P105" s="21"/>
      <c r="Q105" s="14" t="str">
        <f t="shared" si="2"/>
        <v/>
      </c>
      <c r="R105" s="14"/>
    </row>
    <row r="106">
      <c r="A106" s="14"/>
      <c r="B106" s="21"/>
      <c r="C106" s="14"/>
      <c r="D106" s="16"/>
      <c r="E106" s="16"/>
      <c r="F106" s="21"/>
      <c r="G106" s="21"/>
      <c r="H106" s="24"/>
      <c r="I106" s="24"/>
      <c r="J106" s="20"/>
      <c r="K106" s="20"/>
      <c r="L106" s="20"/>
      <c r="M106" s="20"/>
      <c r="N106" s="20" t="str">
        <f t="shared" si="1"/>
        <v>#</v>
      </c>
      <c r="O106" s="20"/>
      <c r="P106" s="21"/>
      <c r="Q106" s="14" t="str">
        <f t="shared" si="2"/>
        <v/>
      </c>
      <c r="R106" s="14"/>
    </row>
    <row r="107">
      <c r="A107" s="14"/>
      <c r="B107" s="21"/>
      <c r="C107" s="14"/>
      <c r="D107" s="16"/>
      <c r="E107" s="16"/>
      <c r="F107" s="21"/>
      <c r="G107" s="21"/>
      <c r="H107" s="24"/>
      <c r="I107" s="24"/>
      <c r="J107" s="20"/>
      <c r="K107" s="20"/>
      <c r="L107" s="20"/>
      <c r="M107" s="20"/>
      <c r="N107" s="20" t="str">
        <f t="shared" si="1"/>
        <v>#</v>
      </c>
      <c r="O107" s="20"/>
      <c r="P107" s="21"/>
      <c r="Q107" s="14" t="str">
        <f t="shared" si="2"/>
        <v/>
      </c>
      <c r="R107" s="14"/>
    </row>
    <row r="108">
      <c r="A108" s="14"/>
      <c r="B108" s="21"/>
      <c r="C108" s="14"/>
      <c r="D108" s="16"/>
      <c r="E108" s="16"/>
      <c r="F108" s="21"/>
      <c r="G108" s="21"/>
      <c r="H108" s="24"/>
      <c r="I108" s="24"/>
      <c r="J108" s="20"/>
      <c r="K108" s="20"/>
      <c r="L108" s="20"/>
      <c r="M108" s="20"/>
      <c r="N108" s="20" t="str">
        <f t="shared" si="1"/>
        <v>#</v>
      </c>
      <c r="O108" s="20"/>
      <c r="P108" s="21"/>
      <c r="Q108" s="14" t="str">
        <f t="shared" si="2"/>
        <v/>
      </c>
      <c r="R108" s="14"/>
    </row>
    <row r="109">
      <c r="A109" s="14"/>
      <c r="B109" s="21"/>
      <c r="C109" s="14"/>
      <c r="D109" s="16"/>
      <c r="E109" s="16"/>
      <c r="F109" s="21"/>
      <c r="G109" s="21"/>
      <c r="H109" s="24"/>
      <c r="I109" s="24"/>
      <c r="J109" s="20"/>
      <c r="K109" s="20"/>
      <c r="L109" s="20"/>
      <c r="M109" s="20"/>
      <c r="N109" s="20" t="str">
        <f t="shared" si="1"/>
        <v>#</v>
      </c>
      <c r="O109" s="20"/>
      <c r="P109" s="21"/>
      <c r="Q109" s="14" t="str">
        <f t="shared" si="2"/>
        <v/>
      </c>
      <c r="R109" s="14"/>
    </row>
    <row r="110">
      <c r="A110" s="14"/>
      <c r="B110" s="21"/>
      <c r="C110" s="14"/>
      <c r="D110" s="16"/>
      <c r="E110" s="16"/>
      <c r="F110" s="21"/>
      <c r="G110" s="21"/>
      <c r="H110" s="24"/>
      <c r="I110" s="24"/>
      <c r="J110" s="20"/>
      <c r="K110" s="20"/>
      <c r="L110" s="20"/>
      <c r="M110" s="20"/>
      <c r="N110" s="20" t="str">
        <f t="shared" si="1"/>
        <v>#</v>
      </c>
      <c r="O110" s="20"/>
      <c r="P110" s="21"/>
      <c r="Q110" s="14" t="str">
        <f t="shared" si="2"/>
        <v/>
      </c>
      <c r="R110" s="14"/>
    </row>
    <row r="111">
      <c r="A111" s="14"/>
      <c r="B111" s="21"/>
      <c r="C111" s="14"/>
      <c r="D111" s="16"/>
      <c r="E111" s="16"/>
      <c r="F111" s="21"/>
      <c r="G111" s="21"/>
      <c r="H111" s="24"/>
      <c r="I111" s="24"/>
      <c r="J111" s="20"/>
      <c r="K111" s="20"/>
      <c r="L111" s="20"/>
      <c r="M111" s="20"/>
      <c r="N111" s="20" t="str">
        <f t="shared" si="1"/>
        <v>#</v>
      </c>
      <c r="O111" s="20"/>
      <c r="P111" s="21"/>
      <c r="Q111" s="14" t="str">
        <f t="shared" si="2"/>
        <v/>
      </c>
      <c r="R111" s="14"/>
    </row>
    <row r="112">
      <c r="A112" s="14"/>
      <c r="B112" s="21"/>
      <c r="C112" s="14"/>
      <c r="D112" s="16"/>
      <c r="E112" s="16"/>
      <c r="F112" s="21"/>
      <c r="G112" s="21"/>
      <c r="H112" s="24"/>
      <c r="I112" s="24"/>
      <c r="J112" s="20"/>
      <c r="K112" s="20"/>
      <c r="L112" s="20"/>
      <c r="M112" s="20"/>
      <c r="N112" s="20" t="str">
        <f t="shared" si="1"/>
        <v>#</v>
      </c>
      <c r="O112" s="20"/>
      <c r="P112" s="21"/>
      <c r="Q112" s="14" t="str">
        <f t="shared" si="2"/>
        <v/>
      </c>
      <c r="R112" s="14"/>
    </row>
    <row r="113">
      <c r="A113" s="14"/>
      <c r="B113" s="21"/>
      <c r="C113" s="14"/>
      <c r="D113" s="16"/>
      <c r="E113" s="16"/>
      <c r="F113" s="21"/>
      <c r="G113" s="21"/>
      <c r="H113" s="24"/>
      <c r="I113" s="24"/>
      <c r="J113" s="20"/>
      <c r="K113" s="20"/>
      <c r="L113" s="20"/>
      <c r="M113" s="20"/>
      <c r="N113" s="20" t="str">
        <f t="shared" si="1"/>
        <v>#</v>
      </c>
      <c r="O113" s="20"/>
      <c r="P113" s="21"/>
      <c r="Q113" s="14" t="str">
        <f t="shared" si="2"/>
        <v/>
      </c>
      <c r="R113" s="14"/>
    </row>
    <row r="114">
      <c r="A114" s="14"/>
      <c r="B114" s="21"/>
      <c r="C114" s="14"/>
      <c r="D114" s="16"/>
      <c r="E114" s="16"/>
      <c r="F114" s="21"/>
      <c r="G114" s="21"/>
      <c r="H114" s="24"/>
      <c r="I114" s="24"/>
      <c r="J114" s="20"/>
      <c r="K114" s="20"/>
      <c r="L114" s="20"/>
      <c r="M114" s="20"/>
      <c r="N114" s="20" t="str">
        <f t="shared" si="1"/>
        <v>#</v>
      </c>
      <c r="O114" s="20"/>
      <c r="P114" s="21"/>
      <c r="Q114" s="14" t="str">
        <f t="shared" si="2"/>
        <v/>
      </c>
      <c r="R114" s="14"/>
    </row>
    <row r="115">
      <c r="A115" s="14"/>
      <c r="B115" s="21"/>
      <c r="C115" s="14"/>
      <c r="D115" s="16"/>
      <c r="E115" s="16"/>
      <c r="F115" s="21"/>
      <c r="G115" s="21"/>
      <c r="H115" s="24"/>
      <c r="I115" s="24"/>
      <c r="J115" s="20"/>
      <c r="K115" s="20"/>
      <c r="L115" s="20"/>
      <c r="M115" s="20"/>
      <c r="N115" s="20" t="str">
        <f t="shared" si="1"/>
        <v>#</v>
      </c>
      <c r="O115" s="20"/>
      <c r="P115" s="21"/>
      <c r="Q115" s="14" t="str">
        <f t="shared" si="2"/>
        <v/>
      </c>
      <c r="R115" s="14"/>
    </row>
    <row r="116">
      <c r="A116" s="14"/>
      <c r="B116" s="21"/>
      <c r="C116" s="14"/>
      <c r="D116" s="16"/>
      <c r="E116" s="16"/>
      <c r="F116" s="21"/>
      <c r="G116" s="21"/>
      <c r="H116" s="24"/>
      <c r="I116" s="24"/>
      <c r="J116" s="20"/>
      <c r="K116" s="20"/>
      <c r="L116" s="20"/>
      <c r="M116" s="20"/>
      <c r="N116" s="20" t="str">
        <f t="shared" si="1"/>
        <v>#</v>
      </c>
      <c r="O116" s="20"/>
      <c r="P116" s="21"/>
      <c r="Q116" s="14" t="str">
        <f t="shared" si="2"/>
        <v/>
      </c>
      <c r="R116" s="14"/>
    </row>
    <row r="117">
      <c r="A117" s="14"/>
      <c r="B117" s="21"/>
      <c r="C117" s="14"/>
      <c r="D117" s="16"/>
      <c r="E117" s="16"/>
      <c r="F117" s="21"/>
      <c r="G117" s="21"/>
      <c r="H117" s="24"/>
      <c r="I117" s="24"/>
      <c r="J117" s="20"/>
      <c r="K117" s="20"/>
      <c r="L117" s="20"/>
      <c r="M117" s="20"/>
      <c r="N117" s="20" t="str">
        <f t="shared" si="1"/>
        <v>#</v>
      </c>
      <c r="O117" s="20"/>
      <c r="P117" s="21"/>
      <c r="Q117" s="14" t="str">
        <f t="shared" si="2"/>
        <v/>
      </c>
      <c r="R117" s="14"/>
    </row>
    <row r="118">
      <c r="A118" s="14"/>
      <c r="B118" s="21"/>
      <c r="C118" s="14"/>
      <c r="D118" s="16"/>
      <c r="E118" s="16"/>
      <c r="F118" s="21"/>
      <c r="G118" s="21"/>
      <c r="H118" s="24"/>
      <c r="I118" s="24"/>
      <c r="J118" s="20"/>
      <c r="K118" s="20"/>
      <c r="L118" s="20"/>
      <c r="M118" s="20"/>
      <c r="N118" s="20" t="str">
        <f t="shared" si="1"/>
        <v>#</v>
      </c>
      <c r="O118" s="20"/>
      <c r="P118" s="21"/>
      <c r="Q118" s="14" t="str">
        <f t="shared" si="2"/>
        <v/>
      </c>
      <c r="R118" s="14"/>
    </row>
    <row r="119">
      <c r="A119" s="14"/>
      <c r="B119" s="21"/>
      <c r="C119" s="14"/>
      <c r="D119" s="16"/>
      <c r="E119" s="16"/>
      <c r="F119" s="21"/>
      <c r="G119" s="21"/>
      <c r="H119" s="24"/>
      <c r="I119" s="24"/>
      <c r="J119" s="20"/>
      <c r="K119" s="20"/>
      <c r="L119" s="20"/>
      <c r="M119" s="20"/>
      <c r="N119" s="20" t="str">
        <f t="shared" si="1"/>
        <v>#</v>
      </c>
      <c r="O119" s="20"/>
      <c r="P119" s="21"/>
      <c r="Q119" s="14" t="str">
        <f t="shared" si="2"/>
        <v/>
      </c>
      <c r="R119" s="14"/>
    </row>
    <row r="120">
      <c r="A120" s="14"/>
      <c r="B120" s="21"/>
      <c r="C120" s="14"/>
      <c r="D120" s="16"/>
      <c r="E120" s="16"/>
      <c r="F120" s="21"/>
      <c r="G120" s="21"/>
      <c r="H120" s="24"/>
      <c r="I120" s="24"/>
      <c r="J120" s="20"/>
      <c r="K120" s="20"/>
      <c r="L120" s="20"/>
      <c r="M120" s="20"/>
      <c r="N120" s="20" t="str">
        <f t="shared" si="1"/>
        <v>#</v>
      </c>
      <c r="O120" s="20"/>
      <c r="P120" s="21"/>
      <c r="Q120" s="14" t="str">
        <f t="shared" si="2"/>
        <v/>
      </c>
      <c r="R120" s="14"/>
    </row>
    <row r="121">
      <c r="A121" s="14"/>
      <c r="B121" s="21"/>
      <c r="C121" s="14"/>
      <c r="D121" s="16"/>
      <c r="E121" s="16"/>
      <c r="F121" s="21"/>
      <c r="G121" s="21"/>
      <c r="H121" s="24"/>
      <c r="I121" s="24"/>
      <c r="J121" s="20"/>
      <c r="K121" s="20"/>
      <c r="L121" s="20"/>
      <c r="M121" s="20"/>
      <c r="N121" s="20" t="str">
        <f t="shared" si="1"/>
        <v>#</v>
      </c>
      <c r="O121" s="20"/>
      <c r="P121" s="21"/>
      <c r="Q121" s="14" t="str">
        <f t="shared" si="2"/>
        <v/>
      </c>
      <c r="R121" s="14"/>
    </row>
    <row r="122">
      <c r="A122" s="14"/>
      <c r="B122" s="21"/>
      <c r="C122" s="14"/>
      <c r="D122" s="16"/>
      <c r="E122" s="16"/>
      <c r="F122" s="21"/>
      <c r="G122" s="21"/>
      <c r="H122" s="24"/>
      <c r="I122" s="24"/>
      <c r="J122" s="20"/>
      <c r="K122" s="20"/>
      <c r="L122" s="20"/>
      <c r="M122" s="20"/>
      <c r="N122" s="20" t="str">
        <f t="shared" si="1"/>
        <v>#</v>
      </c>
      <c r="O122" s="20"/>
      <c r="P122" s="21"/>
      <c r="Q122" s="14" t="str">
        <f t="shared" si="2"/>
        <v/>
      </c>
      <c r="R122" s="14"/>
    </row>
    <row r="123">
      <c r="A123" s="14"/>
      <c r="B123" s="21"/>
      <c r="C123" s="14"/>
      <c r="D123" s="16"/>
      <c r="E123" s="16"/>
      <c r="F123" s="21"/>
      <c r="G123" s="21"/>
      <c r="H123" s="24"/>
      <c r="I123" s="24"/>
      <c r="J123" s="20"/>
      <c r="K123" s="20"/>
      <c r="L123" s="20"/>
      <c r="M123" s="20"/>
      <c r="N123" s="20" t="str">
        <f t="shared" si="1"/>
        <v>#</v>
      </c>
      <c r="O123" s="20"/>
      <c r="P123" s="21"/>
      <c r="Q123" s="14" t="str">
        <f t="shared" si="2"/>
        <v/>
      </c>
      <c r="R123" s="14"/>
    </row>
    <row r="124">
      <c r="A124" s="14"/>
      <c r="B124" s="21"/>
      <c r="C124" s="14"/>
      <c r="D124" s="16"/>
      <c r="E124" s="16"/>
      <c r="F124" s="21"/>
      <c r="G124" s="21"/>
      <c r="H124" s="24"/>
      <c r="I124" s="24"/>
      <c r="J124" s="20"/>
      <c r="K124" s="20"/>
      <c r="L124" s="20"/>
      <c r="M124" s="20"/>
      <c r="N124" s="20" t="str">
        <f t="shared" si="1"/>
        <v>#</v>
      </c>
      <c r="O124" s="20"/>
      <c r="P124" s="21"/>
      <c r="Q124" s="14" t="str">
        <f t="shared" si="2"/>
        <v/>
      </c>
      <c r="R124" s="14"/>
    </row>
    <row r="125">
      <c r="A125" s="14"/>
      <c r="B125" s="21"/>
      <c r="C125" s="14"/>
      <c r="D125" s="16"/>
      <c r="E125" s="16"/>
      <c r="F125" s="21"/>
      <c r="G125" s="21"/>
      <c r="H125" s="24"/>
      <c r="I125" s="24"/>
      <c r="J125" s="20"/>
      <c r="K125" s="20"/>
      <c r="L125" s="20"/>
      <c r="M125" s="20"/>
      <c r="N125" s="20" t="str">
        <f t="shared" si="1"/>
        <v>#</v>
      </c>
      <c r="O125" s="20"/>
      <c r="P125" s="21"/>
      <c r="Q125" s="14" t="str">
        <f t="shared" si="2"/>
        <v/>
      </c>
      <c r="R125" s="14"/>
    </row>
    <row r="126">
      <c r="A126" s="14"/>
      <c r="B126" s="21"/>
      <c r="C126" s="14"/>
      <c r="D126" s="16"/>
      <c r="E126" s="16"/>
      <c r="F126" s="21"/>
      <c r="G126" s="21"/>
      <c r="H126" s="24"/>
      <c r="I126" s="24"/>
      <c r="J126" s="20"/>
      <c r="K126" s="20"/>
      <c r="L126" s="20"/>
      <c r="M126" s="20"/>
      <c r="N126" s="20" t="str">
        <f t="shared" si="1"/>
        <v>#</v>
      </c>
      <c r="O126" s="20"/>
      <c r="P126" s="21"/>
      <c r="Q126" s="14" t="str">
        <f t="shared" si="2"/>
        <v/>
      </c>
      <c r="R126" s="14"/>
    </row>
    <row r="127">
      <c r="A127" s="14"/>
      <c r="B127" s="21"/>
      <c r="C127" s="14"/>
      <c r="D127" s="16"/>
      <c r="E127" s="16"/>
      <c r="F127" s="21"/>
      <c r="G127" s="21"/>
      <c r="H127" s="24"/>
      <c r="I127" s="24"/>
      <c r="J127" s="20"/>
      <c r="K127" s="20"/>
      <c r="L127" s="20"/>
      <c r="M127" s="20"/>
      <c r="N127" s="20" t="str">
        <f t="shared" si="1"/>
        <v>#</v>
      </c>
      <c r="O127" s="20"/>
      <c r="P127" s="21"/>
      <c r="Q127" s="14" t="str">
        <f t="shared" si="2"/>
        <v/>
      </c>
      <c r="R127" s="14"/>
    </row>
    <row r="128">
      <c r="A128" s="14"/>
      <c r="B128" s="21"/>
      <c r="C128" s="14"/>
      <c r="D128" s="16"/>
      <c r="E128" s="16"/>
      <c r="F128" s="21"/>
      <c r="G128" s="21"/>
      <c r="H128" s="24"/>
      <c r="I128" s="24"/>
      <c r="J128" s="20"/>
      <c r="K128" s="20"/>
      <c r="L128" s="20"/>
      <c r="M128" s="20"/>
      <c r="N128" s="20" t="str">
        <f t="shared" si="1"/>
        <v>#</v>
      </c>
      <c r="O128" s="20"/>
      <c r="P128" s="21"/>
      <c r="Q128" s="14" t="str">
        <f t="shared" si="2"/>
        <v/>
      </c>
      <c r="R128" s="14"/>
    </row>
    <row r="129">
      <c r="A129" s="14"/>
      <c r="B129" s="21"/>
      <c r="C129" s="14"/>
      <c r="D129" s="16"/>
      <c r="E129" s="16"/>
      <c r="F129" s="21"/>
      <c r="G129" s="21"/>
      <c r="H129" s="24"/>
      <c r="I129" s="24"/>
      <c r="J129" s="20"/>
      <c r="K129" s="20"/>
      <c r="L129" s="20"/>
      <c r="M129" s="20"/>
      <c r="N129" s="20" t="str">
        <f t="shared" si="1"/>
        <v>#</v>
      </c>
      <c r="O129" s="20"/>
      <c r="P129" s="21"/>
      <c r="Q129" s="14" t="str">
        <f t="shared" si="2"/>
        <v/>
      </c>
      <c r="R129" s="14"/>
    </row>
    <row r="130">
      <c r="A130" s="14"/>
      <c r="B130" s="21"/>
      <c r="C130" s="14"/>
      <c r="D130" s="16"/>
      <c r="E130" s="16"/>
      <c r="F130" s="21"/>
      <c r="G130" s="21"/>
      <c r="H130" s="24"/>
      <c r="I130" s="24"/>
      <c r="J130" s="20"/>
      <c r="K130" s="20"/>
      <c r="L130" s="20"/>
      <c r="M130" s="20"/>
      <c r="N130" s="20" t="str">
        <f t="shared" si="1"/>
        <v>#</v>
      </c>
      <c r="O130" s="20"/>
      <c r="P130" s="21"/>
      <c r="Q130" s="14" t="str">
        <f t="shared" si="2"/>
        <v/>
      </c>
      <c r="R130" s="14"/>
    </row>
    <row r="131">
      <c r="A131" s="14"/>
      <c r="B131" s="21"/>
      <c r="C131" s="14"/>
      <c r="D131" s="16"/>
      <c r="E131" s="16"/>
      <c r="F131" s="21"/>
      <c r="G131" s="21"/>
      <c r="H131" s="24"/>
      <c r="I131" s="24"/>
      <c r="J131" s="20"/>
      <c r="K131" s="20"/>
      <c r="L131" s="20"/>
      <c r="M131" s="20"/>
      <c r="N131" s="20" t="str">
        <f t="shared" si="1"/>
        <v>#</v>
      </c>
      <c r="O131" s="20"/>
      <c r="P131" s="21"/>
      <c r="Q131" s="14" t="str">
        <f t="shared" si="2"/>
        <v/>
      </c>
      <c r="R131" s="14"/>
    </row>
    <row r="132">
      <c r="A132" s="14"/>
      <c r="B132" s="21"/>
      <c r="C132" s="14"/>
      <c r="D132" s="16"/>
      <c r="E132" s="16"/>
      <c r="F132" s="21"/>
      <c r="G132" s="21"/>
      <c r="H132" s="24"/>
      <c r="I132" s="24"/>
      <c r="J132" s="20"/>
      <c r="K132" s="20"/>
      <c r="L132" s="20"/>
      <c r="M132" s="20"/>
      <c r="N132" s="20" t="str">
        <f t="shared" si="1"/>
        <v>#</v>
      </c>
      <c r="O132" s="20"/>
      <c r="P132" s="21"/>
      <c r="Q132" s="14" t="str">
        <f t="shared" si="2"/>
        <v/>
      </c>
      <c r="R132" s="14"/>
    </row>
    <row r="133">
      <c r="A133" s="14"/>
      <c r="B133" s="21"/>
      <c r="C133" s="14"/>
      <c r="D133" s="16"/>
      <c r="E133" s="16"/>
      <c r="F133" s="21"/>
      <c r="G133" s="21"/>
      <c r="H133" s="24"/>
      <c r="I133" s="24"/>
      <c r="J133" s="20"/>
      <c r="K133" s="20"/>
      <c r="L133" s="20"/>
      <c r="M133" s="20"/>
      <c r="N133" s="20" t="str">
        <f t="shared" si="1"/>
        <v>#</v>
      </c>
      <c r="O133" s="20"/>
      <c r="P133" s="21"/>
      <c r="Q133" s="14" t="str">
        <f t="shared" si="2"/>
        <v/>
      </c>
      <c r="R133" s="14"/>
    </row>
    <row r="134">
      <c r="A134" s="14"/>
      <c r="B134" s="21"/>
      <c r="C134" s="14"/>
      <c r="D134" s="16"/>
      <c r="E134" s="16"/>
      <c r="F134" s="21"/>
      <c r="G134" s="21"/>
      <c r="H134" s="24"/>
      <c r="I134" s="24"/>
      <c r="J134" s="20"/>
      <c r="K134" s="20"/>
      <c r="L134" s="20"/>
      <c r="M134" s="20"/>
      <c r="N134" s="20" t="str">
        <f t="shared" si="1"/>
        <v>#</v>
      </c>
      <c r="O134" s="20"/>
      <c r="P134" s="21"/>
      <c r="Q134" s="14" t="str">
        <f t="shared" si="2"/>
        <v/>
      </c>
      <c r="R134" s="14"/>
    </row>
    <row r="135">
      <c r="A135" s="14"/>
      <c r="B135" s="21"/>
      <c r="C135" s="14"/>
      <c r="D135" s="16"/>
      <c r="E135" s="16"/>
      <c r="F135" s="21"/>
      <c r="G135" s="21"/>
      <c r="H135" s="24"/>
      <c r="I135" s="24"/>
      <c r="J135" s="20"/>
      <c r="K135" s="20"/>
      <c r="L135" s="20"/>
      <c r="M135" s="20"/>
      <c r="N135" s="20" t="str">
        <f t="shared" si="1"/>
        <v>#</v>
      </c>
      <c r="O135" s="20"/>
      <c r="P135" s="21"/>
      <c r="Q135" s="14" t="str">
        <f t="shared" si="2"/>
        <v/>
      </c>
      <c r="R135" s="14"/>
    </row>
    <row r="136">
      <c r="A136" s="14"/>
      <c r="B136" s="21"/>
      <c r="C136" s="14"/>
      <c r="D136" s="16"/>
      <c r="E136" s="16"/>
      <c r="F136" s="21"/>
      <c r="G136" s="21"/>
      <c r="H136" s="24"/>
      <c r="I136" s="24"/>
      <c r="J136" s="20"/>
      <c r="K136" s="20"/>
      <c r="L136" s="20"/>
      <c r="M136" s="20"/>
      <c r="N136" s="20" t="str">
        <f t="shared" si="1"/>
        <v>#</v>
      </c>
      <c r="O136" s="20"/>
      <c r="P136" s="21"/>
      <c r="Q136" s="14" t="str">
        <f t="shared" si="2"/>
        <v/>
      </c>
      <c r="R136" s="14"/>
    </row>
    <row r="137">
      <c r="A137" s="14"/>
      <c r="B137" s="21"/>
      <c r="C137" s="14"/>
      <c r="D137" s="16"/>
      <c r="E137" s="16"/>
      <c r="F137" s="21"/>
      <c r="G137" s="21"/>
      <c r="H137" s="24"/>
      <c r="I137" s="24"/>
      <c r="J137" s="20"/>
      <c r="K137" s="20"/>
      <c r="L137" s="20"/>
      <c r="M137" s="20"/>
      <c r="N137" s="20" t="str">
        <f t="shared" si="1"/>
        <v>#</v>
      </c>
      <c r="O137" s="20"/>
      <c r="P137" s="21"/>
      <c r="Q137" s="14" t="str">
        <f t="shared" si="2"/>
        <v/>
      </c>
      <c r="R137" s="14"/>
    </row>
    <row r="138">
      <c r="A138" s="14"/>
      <c r="B138" s="21"/>
      <c r="C138" s="14"/>
      <c r="D138" s="16"/>
      <c r="E138" s="16"/>
      <c r="F138" s="21"/>
      <c r="G138" s="21"/>
      <c r="H138" s="24"/>
      <c r="I138" s="24"/>
      <c r="J138" s="20"/>
      <c r="K138" s="20"/>
      <c r="L138" s="20"/>
      <c r="M138" s="20"/>
      <c r="N138" s="20" t="str">
        <f t="shared" si="1"/>
        <v>#</v>
      </c>
      <c r="O138" s="20"/>
      <c r="P138" s="21"/>
      <c r="Q138" s="14" t="str">
        <f t="shared" si="2"/>
        <v/>
      </c>
      <c r="R138" s="14"/>
    </row>
    <row r="139">
      <c r="A139" s="14"/>
      <c r="B139" s="21"/>
      <c r="C139" s="14"/>
      <c r="D139" s="16"/>
      <c r="E139" s="16"/>
      <c r="F139" s="21"/>
      <c r="G139" s="21"/>
      <c r="H139" s="24"/>
      <c r="I139" s="24"/>
      <c r="J139" s="20"/>
      <c r="K139" s="20"/>
      <c r="L139" s="20"/>
      <c r="M139" s="20"/>
      <c r="N139" s="20" t="str">
        <f t="shared" si="1"/>
        <v>#</v>
      </c>
      <c r="O139" s="20"/>
      <c r="P139" s="21"/>
      <c r="Q139" s="14" t="str">
        <f t="shared" si="2"/>
        <v/>
      </c>
      <c r="R139" s="14"/>
    </row>
    <row r="140">
      <c r="A140" s="14"/>
      <c r="B140" s="21"/>
      <c r="C140" s="14"/>
      <c r="D140" s="16"/>
      <c r="E140" s="16"/>
      <c r="F140" s="21"/>
      <c r="G140" s="21"/>
      <c r="H140" s="24"/>
      <c r="I140" s="24"/>
      <c r="J140" s="20"/>
      <c r="K140" s="20"/>
      <c r="L140" s="20"/>
      <c r="M140" s="20"/>
      <c r="N140" s="20" t="str">
        <f t="shared" si="1"/>
        <v>#</v>
      </c>
      <c r="O140" s="20"/>
      <c r="P140" s="21"/>
      <c r="Q140" s="14" t="str">
        <f t="shared" si="2"/>
        <v/>
      </c>
      <c r="R140" s="14"/>
    </row>
    <row r="141">
      <c r="A141" s="14"/>
      <c r="B141" s="21"/>
      <c r="C141" s="14"/>
      <c r="D141" s="16"/>
      <c r="E141" s="16"/>
      <c r="F141" s="21"/>
      <c r="G141" s="21"/>
      <c r="H141" s="24"/>
      <c r="I141" s="24"/>
      <c r="J141" s="20"/>
      <c r="K141" s="20"/>
      <c r="L141" s="20"/>
      <c r="M141" s="20"/>
      <c r="N141" s="20" t="str">
        <f t="shared" si="1"/>
        <v>#</v>
      </c>
      <c r="O141" s="20"/>
      <c r="P141" s="21"/>
      <c r="Q141" s="14" t="str">
        <f t="shared" si="2"/>
        <v/>
      </c>
      <c r="R141" s="14"/>
    </row>
    <row r="142">
      <c r="A142" s="14"/>
      <c r="B142" s="21"/>
      <c r="C142" s="14"/>
      <c r="D142" s="16"/>
      <c r="E142" s="16"/>
      <c r="F142" s="21"/>
      <c r="G142" s="21"/>
      <c r="H142" s="24"/>
      <c r="I142" s="24"/>
      <c r="J142" s="20"/>
      <c r="K142" s="20"/>
      <c r="L142" s="20"/>
      <c r="M142" s="20"/>
      <c r="N142" s="20" t="str">
        <f t="shared" si="1"/>
        <v>#</v>
      </c>
      <c r="O142" s="20"/>
      <c r="P142" s="21"/>
      <c r="Q142" s="14" t="str">
        <f t="shared" si="2"/>
        <v/>
      </c>
      <c r="R142" s="14"/>
    </row>
    <row r="143">
      <c r="A143" s="14"/>
      <c r="B143" s="21"/>
      <c r="C143" s="14"/>
      <c r="D143" s="16"/>
      <c r="E143" s="16"/>
      <c r="F143" s="21"/>
      <c r="G143" s="21"/>
      <c r="H143" s="24"/>
      <c r="I143" s="24"/>
      <c r="J143" s="20"/>
      <c r="K143" s="20"/>
      <c r="L143" s="20"/>
      <c r="M143" s="20"/>
      <c r="N143" s="20" t="str">
        <f t="shared" si="1"/>
        <v>#</v>
      </c>
      <c r="O143" s="20"/>
      <c r="P143" s="21"/>
      <c r="Q143" s="14" t="str">
        <f t="shared" si="2"/>
        <v/>
      </c>
      <c r="R143" s="14"/>
    </row>
    <row r="144">
      <c r="A144" s="14"/>
      <c r="B144" s="21"/>
      <c r="C144" s="14"/>
      <c r="D144" s="16"/>
      <c r="E144" s="16"/>
      <c r="F144" s="21"/>
      <c r="G144" s="21"/>
      <c r="H144" s="24"/>
      <c r="I144" s="24"/>
      <c r="J144" s="20"/>
      <c r="K144" s="20"/>
      <c r="L144" s="20"/>
      <c r="M144" s="20"/>
      <c r="N144" s="20" t="str">
        <f t="shared" si="1"/>
        <v>#</v>
      </c>
      <c r="O144" s="20"/>
      <c r="P144" s="21"/>
      <c r="Q144" s="14" t="str">
        <f t="shared" si="2"/>
        <v/>
      </c>
      <c r="R144" s="14"/>
    </row>
    <row r="145">
      <c r="A145" s="14"/>
      <c r="B145" s="21"/>
      <c r="C145" s="14"/>
      <c r="D145" s="16"/>
      <c r="E145" s="16"/>
      <c r="F145" s="21"/>
      <c r="G145" s="21"/>
      <c r="H145" s="24"/>
      <c r="I145" s="24"/>
      <c r="J145" s="20"/>
      <c r="K145" s="20"/>
      <c r="L145" s="20"/>
      <c r="M145" s="20"/>
      <c r="N145" s="20" t="str">
        <f t="shared" si="1"/>
        <v>#</v>
      </c>
      <c r="O145" s="20"/>
      <c r="P145" s="21"/>
      <c r="Q145" s="14" t="str">
        <f t="shared" si="2"/>
        <v/>
      </c>
      <c r="R145" s="14"/>
    </row>
    <row r="146">
      <c r="A146" s="14"/>
      <c r="B146" s="21"/>
      <c r="C146" s="14"/>
      <c r="D146" s="16"/>
      <c r="E146" s="16"/>
      <c r="F146" s="21"/>
      <c r="G146" s="21"/>
      <c r="H146" s="24"/>
      <c r="I146" s="24"/>
      <c r="J146" s="20"/>
      <c r="K146" s="20"/>
      <c r="L146" s="20"/>
      <c r="M146" s="20"/>
      <c r="N146" s="20" t="str">
        <f t="shared" si="1"/>
        <v>#</v>
      </c>
      <c r="O146" s="20"/>
      <c r="P146" s="21"/>
      <c r="Q146" s="14" t="str">
        <f t="shared" si="2"/>
        <v/>
      </c>
      <c r="R146" s="14"/>
    </row>
    <row r="147">
      <c r="A147" s="14"/>
      <c r="B147" s="21"/>
      <c r="C147" s="14"/>
      <c r="D147" s="16"/>
      <c r="E147" s="16"/>
      <c r="F147" s="21"/>
      <c r="G147" s="21"/>
      <c r="H147" s="24"/>
      <c r="I147" s="24"/>
      <c r="J147" s="20"/>
      <c r="K147" s="20"/>
      <c r="L147" s="20"/>
      <c r="M147" s="20"/>
      <c r="N147" s="20" t="str">
        <f t="shared" si="1"/>
        <v>#</v>
      </c>
      <c r="O147" s="20"/>
      <c r="P147" s="21"/>
      <c r="Q147" s="14" t="str">
        <f t="shared" si="2"/>
        <v/>
      </c>
      <c r="R147" s="14"/>
    </row>
    <row r="148">
      <c r="A148" s="14"/>
      <c r="B148" s="21"/>
      <c r="C148" s="14"/>
      <c r="D148" s="16"/>
      <c r="E148" s="16"/>
      <c r="F148" s="21"/>
      <c r="G148" s="21"/>
      <c r="H148" s="24"/>
      <c r="I148" s="24"/>
      <c r="J148" s="20"/>
      <c r="K148" s="20"/>
      <c r="L148" s="20"/>
      <c r="M148" s="20"/>
      <c r="N148" s="20" t="str">
        <f t="shared" si="1"/>
        <v>#</v>
      </c>
      <c r="O148" s="20"/>
      <c r="P148" s="21"/>
      <c r="Q148" s="14" t="str">
        <f t="shared" si="2"/>
        <v/>
      </c>
      <c r="R148" s="14"/>
    </row>
    <row r="149">
      <c r="A149" s="14"/>
      <c r="B149" s="21"/>
      <c r="C149" s="14"/>
      <c r="D149" s="16"/>
      <c r="E149" s="16"/>
      <c r="F149" s="21"/>
      <c r="G149" s="21"/>
      <c r="H149" s="24"/>
      <c r="I149" s="24"/>
      <c r="J149" s="20"/>
      <c r="K149" s="20"/>
      <c r="L149" s="20"/>
      <c r="M149" s="20"/>
      <c r="N149" s="20" t="str">
        <f t="shared" si="1"/>
        <v>#</v>
      </c>
      <c r="O149" s="20"/>
      <c r="P149" s="21"/>
      <c r="Q149" s="14" t="str">
        <f t="shared" si="2"/>
        <v/>
      </c>
      <c r="R149" s="14"/>
    </row>
    <row r="150">
      <c r="A150" s="14"/>
      <c r="B150" s="21"/>
      <c r="C150" s="14"/>
      <c r="D150" s="16"/>
      <c r="E150" s="16"/>
      <c r="F150" s="21"/>
      <c r="G150" s="21"/>
      <c r="H150" s="24"/>
      <c r="I150" s="24"/>
      <c r="J150" s="20"/>
      <c r="K150" s="20"/>
      <c r="L150" s="20"/>
      <c r="M150" s="20"/>
      <c r="N150" s="20" t="str">
        <f t="shared" si="1"/>
        <v>#</v>
      </c>
      <c r="O150" s="20"/>
      <c r="P150" s="21"/>
      <c r="Q150" s="14" t="str">
        <f t="shared" si="2"/>
        <v/>
      </c>
      <c r="R150" s="14"/>
    </row>
    <row r="151">
      <c r="A151" s="14"/>
      <c r="B151" s="21"/>
      <c r="C151" s="14"/>
      <c r="D151" s="16"/>
      <c r="E151" s="16"/>
      <c r="F151" s="21"/>
      <c r="G151" s="21"/>
      <c r="H151" s="24"/>
      <c r="I151" s="24"/>
      <c r="J151" s="20"/>
      <c r="K151" s="20"/>
      <c r="L151" s="20"/>
      <c r="M151" s="20"/>
      <c r="N151" s="20" t="str">
        <f t="shared" si="1"/>
        <v>#</v>
      </c>
      <c r="O151" s="20"/>
      <c r="P151" s="21"/>
      <c r="Q151" s="14" t="str">
        <f t="shared" si="2"/>
        <v/>
      </c>
      <c r="R151" s="14"/>
    </row>
    <row r="152">
      <c r="A152" s="14"/>
      <c r="B152" s="21"/>
      <c r="C152" s="14"/>
      <c r="D152" s="16"/>
      <c r="E152" s="16"/>
      <c r="F152" s="21"/>
      <c r="G152" s="21"/>
      <c r="H152" s="24"/>
      <c r="I152" s="24"/>
      <c r="J152" s="20"/>
      <c r="K152" s="20"/>
      <c r="L152" s="20"/>
      <c r="M152" s="20"/>
      <c r="N152" s="20" t="str">
        <f t="shared" si="1"/>
        <v>#</v>
      </c>
      <c r="O152" s="20"/>
      <c r="P152" s="21"/>
      <c r="Q152" s="14" t="str">
        <f t="shared" si="2"/>
        <v/>
      </c>
      <c r="R152" s="14"/>
    </row>
    <row r="153">
      <c r="A153" s="14"/>
      <c r="B153" s="21"/>
      <c r="C153" s="14"/>
      <c r="D153" s="16"/>
      <c r="E153" s="16"/>
      <c r="F153" s="21"/>
      <c r="G153" s="21"/>
      <c r="H153" s="24"/>
      <c r="I153" s="24"/>
      <c r="J153" s="20"/>
      <c r="K153" s="20"/>
      <c r="L153" s="20"/>
      <c r="M153" s="20"/>
      <c r="N153" s="20" t="str">
        <f t="shared" si="1"/>
        <v>#</v>
      </c>
      <c r="O153" s="20"/>
      <c r="P153" s="21"/>
      <c r="Q153" s="14" t="str">
        <f t="shared" si="2"/>
        <v/>
      </c>
      <c r="R153" s="14"/>
    </row>
    <row r="154">
      <c r="A154" s="14"/>
      <c r="B154" s="21"/>
      <c r="C154" s="14"/>
      <c r="D154" s="16"/>
      <c r="E154" s="16"/>
      <c r="F154" s="21"/>
      <c r="G154" s="21"/>
      <c r="H154" s="24"/>
      <c r="I154" s="24"/>
      <c r="J154" s="20"/>
      <c r="K154" s="20"/>
      <c r="L154" s="20"/>
      <c r="M154" s="20"/>
      <c r="N154" s="20" t="str">
        <f t="shared" si="1"/>
        <v>#</v>
      </c>
      <c r="O154" s="20"/>
      <c r="P154" s="21"/>
      <c r="Q154" s="14" t="str">
        <f t="shared" si="2"/>
        <v/>
      </c>
      <c r="R154" s="14"/>
    </row>
    <row r="155">
      <c r="A155" s="14"/>
      <c r="B155" s="21"/>
      <c r="C155" s="14"/>
      <c r="D155" s="16"/>
      <c r="E155" s="16"/>
      <c r="F155" s="21"/>
      <c r="G155" s="21"/>
      <c r="H155" s="24"/>
      <c r="I155" s="24"/>
      <c r="J155" s="20"/>
      <c r="K155" s="20"/>
      <c r="L155" s="20"/>
      <c r="M155" s="20"/>
      <c r="N155" s="20" t="str">
        <f t="shared" si="1"/>
        <v>#</v>
      </c>
      <c r="O155" s="20"/>
      <c r="P155" s="21"/>
      <c r="Q155" s="14" t="str">
        <f t="shared" si="2"/>
        <v/>
      </c>
      <c r="R155" s="14"/>
    </row>
    <row r="156">
      <c r="A156" s="14"/>
      <c r="B156" s="21"/>
      <c r="C156" s="14"/>
      <c r="D156" s="16"/>
      <c r="E156" s="16"/>
      <c r="F156" s="21"/>
      <c r="G156" s="21"/>
      <c r="H156" s="24"/>
      <c r="I156" s="24"/>
      <c r="J156" s="20"/>
      <c r="K156" s="20"/>
      <c r="L156" s="20"/>
      <c r="M156" s="20"/>
      <c r="N156" s="20" t="str">
        <f t="shared" si="1"/>
        <v>#</v>
      </c>
      <c r="O156" s="20"/>
      <c r="P156" s="21"/>
      <c r="Q156" s="14" t="str">
        <f t="shared" si="2"/>
        <v/>
      </c>
      <c r="R156" s="14"/>
    </row>
    <row r="157">
      <c r="A157" s="14"/>
      <c r="B157" s="21"/>
      <c r="C157" s="14"/>
      <c r="D157" s="16"/>
      <c r="E157" s="16"/>
      <c r="F157" s="21"/>
      <c r="G157" s="21"/>
      <c r="H157" s="24"/>
      <c r="I157" s="24"/>
      <c r="J157" s="20"/>
      <c r="K157" s="20"/>
      <c r="L157" s="20"/>
      <c r="M157" s="20"/>
      <c r="N157" s="20" t="str">
        <f t="shared" si="1"/>
        <v>#</v>
      </c>
      <c r="O157" s="20"/>
      <c r="P157" s="21"/>
      <c r="Q157" s="14" t="str">
        <f t="shared" si="2"/>
        <v/>
      </c>
      <c r="R157" s="14"/>
    </row>
    <row r="158">
      <c r="A158" s="14"/>
      <c r="B158" s="21"/>
      <c r="C158" s="14"/>
      <c r="D158" s="16"/>
      <c r="E158" s="16"/>
      <c r="F158" s="21"/>
      <c r="G158" s="21"/>
      <c r="H158" s="24"/>
      <c r="I158" s="24"/>
      <c r="J158" s="20"/>
      <c r="K158" s="20"/>
      <c r="L158" s="20"/>
      <c r="M158" s="20"/>
      <c r="N158" s="20" t="str">
        <f t="shared" si="1"/>
        <v>#</v>
      </c>
      <c r="O158" s="20"/>
      <c r="P158" s="21"/>
      <c r="Q158" s="14" t="str">
        <f t="shared" si="2"/>
        <v/>
      </c>
      <c r="R158" s="14"/>
    </row>
    <row r="159">
      <c r="A159" s="14"/>
      <c r="B159" s="21"/>
      <c r="C159" s="14"/>
      <c r="D159" s="16"/>
      <c r="E159" s="16"/>
      <c r="F159" s="21"/>
      <c r="G159" s="21"/>
      <c r="H159" s="24"/>
      <c r="I159" s="24"/>
      <c r="J159" s="20"/>
      <c r="K159" s="20"/>
      <c r="L159" s="20"/>
      <c r="M159" s="20"/>
      <c r="N159" s="20" t="str">
        <f t="shared" si="1"/>
        <v>#</v>
      </c>
      <c r="O159" s="20"/>
      <c r="P159" s="21"/>
      <c r="Q159" s="14" t="str">
        <f t="shared" si="2"/>
        <v/>
      </c>
      <c r="R159" s="14"/>
    </row>
    <row r="160">
      <c r="A160" s="14"/>
      <c r="B160" s="21"/>
      <c r="C160" s="14"/>
      <c r="D160" s="16"/>
      <c r="E160" s="16"/>
      <c r="F160" s="21"/>
      <c r="G160" s="21"/>
      <c r="H160" s="24"/>
      <c r="I160" s="24"/>
      <c r="J160" s="20"/>
      <c r="K160" s="20"/>
      <c r="L160" s="20"/>
      <c r="M160" s="20"/>
      <c r="N160" s="20" t="str">
        <f t="shared" si="1"/>
        <v>#</v>
      </c>
      <c r="O160" s="20"/>
      <c r="P160" s="21"/>
      <c r="Q160" s="14" t="str">
        <f t="shared" si="2"/>
        <v/>
      </c>
      <c r="R160" s="14"/>
    </row>
    <row r="161">
      <c r="A161" s="14"/>
      <c r="B161" s="21"/>
      <c r="C161" s="14"/>
      <c r="D161" s="16"/>
      <c r="E161" s="16"/>
      <c r="F161" s="21"/>
      <c r="G161" s="21"/>
      <c r="H161" s="24"/>
      <c r="I161" s="24"/>
      <c r="J161" s="20"/>
      <c r="K161" s="20"/>
      <c r="L161" s="20"/>
      <c r="M161" s="20"/>
      <c r="N161" s="20" t="str">
        <f t="shared" si="1"/>
        <v>#</v>
      </c>
      <c r="O161" s="20"/>
      <c r="P161" s="21"/>
      <c r="Q161" s="14" t="str">
        <f t="shared" si="2"/>
        <v/>
      </c>
      <c r="R161" s="14"/>
    </row>
    <row r="162">
      <c r="A162" s="14"/>
      <c r="B162" s="21"/>
      <c r="C162" s="14"/>
      <c r="D162" s="16"/>
      <c r="E162" s="16"/>
      <c r="F162" s="21"/>
      <c r="G162" s="21"/>
      <c r="H162" s="24"/>
      <c r="I162" s="24"/>
      <c r="J162" s="20"/>
      <c r="K162" s="20"/>
      <c r="L162" s="20"/>
      <c r="M162" s="20"/>
      <c r="N162" s="20" t="str">
        <f t="shared" si="1"/>
        <v>#</v>
      </c>
      <c r="O162" s="20"/>
      <c r="P162" s="21"/>
      <c r="Q162" s="14" t="str">
        <f t="shared" si="2"/>
        <v/>
      </c>
      <c r="R162" s="14"/>
    </row>
    <row r="163">
      <c r="A163" s="14"/>
      <c r="B163" s="21"/>
      <c r="C163" s="14"/>
      <c r="D163" s="16"/>
      <c r="E163" s="16"/>
      <c r="F163" s="21"/>
      <c r="G163" s="21"/>
      <c r="H163" s="24"/>
      <c r="I163" s="24"/>
      <c r="J163" s="20"/>
      <c r="K163" s="20"/>
      <c r="L163" s="20"/>
      <c r="M163" s="20"/>
      <c r="N163" s="20" t="str">
        <f t="shared" si="1"/>
        <v>#</v>
      </c>
      <c r="O163" s="20"/>
      <c r="P163" s="21"/>
      <c r="Q163" s="14" t="str">
        <f t="shared" si="2"/>
        <v/>
      </c>
      <c r="R163" s="14"/>
    </row>
    <row r="164">
      <c r="A164" s="14"/>
      <c r="B164" s="21"/>
      <c r="C164" s="14"/>
      <c r="D164" s="16"/>
      <c r="E164" s="16"/>
      <c r="F164" s="21"/>
      <c r="G164" s="21"/>
      <c r="H164" s="24"/>
      <c r="I164" s="24"/>
      <c r="J164" s="20"/>
      <c r="K164" s="20"/>
      <c r="L164" s="20"/>
      <c r="M164" s="20"/>
      <c r="N164" s="20" t="str">
        <f t="shared" si="1"/>
        <v>#</v>
      </c>
      <c r="O164" s="20"/>
      <c r="P164" s="21"/>
      <c r="Q164" s="14" t="str">
        <f t="shared" si="2"/>
        <v/>
      </c>
      <c r="R164" s="14"/>
    </row>
    <row r="165">
      <c r="A165" s="14"/>
      <c r="B165" s="21"/>
      <c r="C165" s="14"/>
      <c r="D165" s="16"/>
      <c r="E165" s="16"/>
      <c r="F165" s="21"/>
      <c r="G165" s="21"/>
      <c r="H165" s="24"/>
      <c r="I165" s="24"/>
      <c r="J165" s="20"/>
      <c r="K165" s="20"/>
      <c r="L165" s="20"/>
      <c r="M165" s="20"/>
      <c r="N165" s="20" t="str">
        <f t="shared" si="1"/>
        <v>#</v>
      </c>
      <c r="O165" s="20"/>
      <c r="P165" s="21"/>
      <c r="Q165" s="14" t="str">
        <f t="shared" si="2"/>
        <v/>
      </c>
      <c r="R165" s="14"/>
    </row>
    <row r="166">
      <c r="A166" s="14"/>
      <c r="B166" s="21"/>
      <c r="C166" s="14"/>
      <c r="D166" s="16"/>
      <c r="E166" s="16"/>
      <c r="F166" s="21"/>
      <c r="G166" s="21"/>
      <c r="H166" s="24"/>
      <c r="I166" s="24"/>
      <c r="J166" s="20"/>
      <c r="K166" s="20"/>
      <c r="L166" s="20"/>
      <c r="M166" s="20"/>
      <c r="N166" s="20" t="str">
        <f t="shared" si="1"/>
        <v>#</v>
      </c>
      <c r="O166" s="20"/>
      <c r="P166" s="21"/>
      <c r="Q166" s="14" t="str">
        <f t="shared" si="2"/>
        <v/>
      </c>
      <c r="R166" s="14"/>
    </row>
    <row r="167">
      <c r="A167" s="14"/>
      <c r="B167" s="21"/>
      <c r="C167" s="14"/>
      <c r="D167" s="16"/>
      <c r="E167" s="16"/>
      <c r="F167" s="21"/>
      <c r="G167" s="21"/>
      <c r="H167" s="24"/>
      <c r="I167" s="24"/>
      <c r="J167" s="20"/>
      <c r="K167" s="20"/>
      <c r="L167" s="20"/>
      <c r="M167" s="20"/>
      <c r="N167" s="20" t="str">
        <f t="shared" si="1"/>
        <v>#</v>
      </c>
      <c r="O167" s="20"/>
      <c r="P167" s="21"/>
      <c r="Q167" s="14" t="str">
        <f t="shared" si="2"/>
        <v/>
      </c>
      <c r="R167" s="14"/>
    </row>
    <row r="168">
      <c r="A168" s="14"/>
      <c r="B168" s="21"/>
      <c r="C168" s="14"/>
      <c r="D168" s="16"/>
      <c r="E168" s="16"/>
      <c r="F168" s="21"/>
      <c r="G168" s="21"/>
      <c r="H168" s="24"/>
      <c r="I168" s="24"/>
      <c r="J168" s="20"/>
      <c r="K168" s="20"/>
      <c r="L168" s="20"/>
      <c r="M168" s="20"/>
      <c r="N168" s="20" t="str">
        <f t="shared" si="1"/>
        <v>#</v>
      </c>
      <c r="O168" s="20"/>
      <c r="P168" s="21"/>
      <c r="Q168" s="14" t="str">
        <f t="shared" si="2"/>
        <v/>
      </c>
      <c r="R168" s="14"/>
    </row>
    <row r="169">
      <c r="A169" s="14"/>
      <c r="B169" s="21"/>
      <c r="C169" s="14"/>
      <c r="D169" s="16"/>
      <c r="E169" s="16"/>
      <c r="F169" s="21"/>
      <c r="G169" s="21"/>
      <c r="H169" s="24"/>
      <c r="I169" s="24"/>
      <c r="J169" s="20"/>
      <c r="K169" s="20"/>
      <c r="L169" s="20"/>
      <c r="M169" s="20"/>
      <c r="N169" s="20" t="str">
        <f t="shared" si="1"/>
        <v>#</v>
      </c>
      <c r="O169" s="20"/>
      <c r="P169" s="21"/>
      <c r="Q169" s="14" t="str">
        <f t="shared" si="2"/>
        <v/>
      </c>
      <c r="R169" s="14"/>
    </row>
    <row r="170">
      <c r="A170" s="14"/>
      <c r="B170" s="21"/>
      <c r="C170" s="14"/>
      <c r="D170" s="16"/>
      <c r="E170" s="16"/>
      <c r="F170" s="21"/>
      <c r="G170" s="21"/>
      <c r="H170" s="24"/>
      <c r="I170" s="24"/>
      <c r="J170" s="20"/>
      <c r="K170" s="20"/>
      <c r="L170" s="20"/>
      <c r="M170" s="20"/>
      <c r="N170" s="20" t="str">
        <f t="shared" si="1"/>
        <v>#</v>
      </c>
      <c r="O170" s="20"/>
      <c r="P170" s="21"/>
      <c r="Q170" s="14" t="str">
        <f t="shared" si="2"/>
        <v/>
      </c>
      <c r="R170" s="14"/>
    </row>
    <row r="171">
      <c r="A171" s="14"/>
      <c r="B171" s="21"/>
      <c r="C171" s="14"/>
      <c r="D171" s="16"/>
      <c r="E171" s="16"/>
      <c r="F171" s="21"/>
      <c r="G171" s="21"/>
      <c r="H171" s="24"/>
      <c r="I171" s="24"/>
      <c r="J171" s="20"/>
      <c r="K171" s="20"/>
      <c r="L171" s="20"/>
      <c r="M171" s="20"/>
      <c r="N171" s="20" t="str">
        <f t="shared" si="1"/>
        <v>#</v>
      </c>
      <c r="O171" s="20"/>
      <c r="P171" s="21"/>
      <c r="Q171" s="14" t="str">
        <f t="shared" si="2"/>
        <v/>
      </c>
      <c r="R171" s="14"/>
    </row>
    <row r="172">
      <c r="A172" s="14"/>
      <c r="B172" s="21"/>
      <c r="C172" s="14"/>
      <c r="D172" s="16"/>
      <c r="E172" s="16"/>
      <c r="F172" s="21"/>
      <c r="G172" s="21"/>
      <c r="H172" s="24"/>
      <c r="I172" s="24"/>
      <c r="J172" s="20"/>
      <c r="K172" s="20"/>
      <c r="L172" s="20"/>
      <c r="M172" s="20"/>
      <c r="N172" s="20" t="str">
        <f t="shared" si="1"/>
        <v>#</v>
      </c>
      <c r="O172" s="20"/>
      <c r="P172" s="21"/>
      <c r="Q172" s="14" t="str">
        <f t="shared" si="2"/>
        <v/>
      </c>
      <c r="R172" s="14"/>
    </row>
    <row r="173">
      <c r="A173" s="14"/>
      <c r="B173" s="21"/>
      <c r="C173" s="14"/>
      <c r="D173" s="16"/>
      <c r="E173" s="16"/>
      <c r="F173" s="21"/>
      <c r="G173" s="21"/>
      <c r="H173" s="24"/>
      <c r="I173" s="24"/>
      <c r="J173" s="20"/>
      <c r="K173" s="20"/>
      <c r="L173" s="20"/>
      <c r="M173" s="20"/>
      <c r="N173" s="20" t="str">
        <f t="shared" si="1"/>
        <v>#</v>
      </c>
      <c r="O173" s="20"/>
      <c r="P173" s="21"/>
      <c r="Q173" s="14" t="str">
        <f t="shared" si="2"/>
        <v/>
      </c>
      <c r="R173" s="14"/>
    </row>
    <row r="174">
      <c r="A174" s="14"/>
      <c r="B174" s="21"/>
      <c r="C174" s="14"/>
      <c r="D174" s="16"/>
      <c r="E174" s="16"/>
      <c r="F174" s="21"/>
      <c r="G174" s="21"/>
      <c r="H174" s="24"/>
      <c r="I174" s="24"/>
      <c r="J174" s="20"/>
      <c r="K174" s="20"/>
      <c r="L174" s="20"/>
      <c r="M174" s="20"/>
      <c r="N174" s="20" t="str">
        <f t="shared" si="1"/>
        <v>#</v>
      </c>
      <c r="O174" s="20"/>
      <c r="P174" s="21"/>
      <c r="Q174" s="14" t="str">
        <f t="shared" si="2"/>
        <v/>
      </c>
      <c r="R174" s="14"/>
    </row>
    <row r="175">
      <c r="A175" s="14"/>
      <c r="B175" s="21"/>
      <c r="C175" s="14"/>
      <c r="D175" s="16"/>
      <c r="E175" s="16"/>
      <c r="F175" s="21"/>
      <c r="G175" s="21"/>
      <c r="H175" s="24"/>
      <c r="I175" s="24"/>
      <c r="J175" s="20"/>
      <c r="K175" s="20"/>
      <c r="L175" s="20"/>
      <c r="M175" s="20"/>
      <c r="N175" s="20" t="str">
        <f t="shared" si="1"/>
        <v>#</v>
      </c>
      <c r="O175" s="20"/>
      <c r="P175" s="21"/>
      <c r="Q175" s="14" t="str">
        <f t="shared" si="2"/>
        <v/>
      </c>
      <c r="R175" s="14"/>
    </row>
    <row r="176">
      <c r="A176" s="14"/>
      <c r="B176" s="21"/>
      <c r="C176" s="14"/>
      <c r="D176" s="16"/>
      <c r="E176" s="16"/>
      <c r="F176" s="21"/>
      <c r="G176" s="21"/>
      <c r="H176" s="24"/>
      <c r="I176" s="24"/>
      <c r="J176" s="20"/>
      <c r="K176" s="20"/>
      <c r="L176" s="20"/>
      <c r="M176" s="20"/>
      <c r="N176" s="20" t="str">
        <f t="shared" si="1"/>
        <v>#</v>
      </c>
      <c r="O176" s="20"/>
      <c r="P176" s="21"/>
      <c r="Q176" s="14" t="str">
        <f t="shared" si="2"/>
        <v/>
      </c>
      <c r="R176" s="14"/>
    </row>
    <row r="177">
      <c r="A177" s="14"/>
      <c r="B177" s="21"/>
      <c r="C177" s="14"/>
      <c r="D177" s="16"/>
      <c r="E177" s="16"/>
      <c r="F177" s="21"/>
      <c r="G177" s="21"/>
      <c r="H177" s="24"/>
      <c r="I177" s="24"/>
      <c r="J177" s="20"/>
      <c r="K177" s="20"/>
      <c r="L177" s="20"/>
      <c r="M177" s="20"/>
      <c r="N177" s="20" t="str">
        <f t="shared" si="1"/>
        <v>#</v>
      </c>
      <c r="O177" s="20"/>
      <c r="P177" s="21"/>
      <c r="Q177" s="14" t="str">
        <f t="shared" si="2"/>
        <v/>
      </c>
      <c r="R177" s="14"/>
    </row>
    <row r="178">
      <c r="A178" s="14"/>
      <c r="B178" s="21"/>
      <c r="C178" s="14"/>
      <c r="D178" s="16"/>
      <c r="E178" s="16"/>
      <c r="F178" s="21"/>
      <c r="G178" s="21"/>
      <c r="H178" s="24"/>
      <c r="I178" s="24"/>
      <c r="J178" s="20"/>
      <c r="K178" s="20"/>
      <c r="L178" s="20"/>
      <c r="M178" s="20"/>
      <c r="N178" s="20" t="str">
        <f t="shared" si="1"/>
        <v>#</v>
      </c>
      <c r="O178" s="20"/>
      <c r="P178" s="21"/>
      <c r="Q178" s="14" t="str">
        <f t="shared" si="2"/>
        <v/>
      </c>
      <c r="R178" s="14"/>
    </row>
    <row r="179">
      <c r="A179" s="14"/>
      <c r="B179" s="21"/>
      <c r="C179" s="14"/>
      <c r="D179" s="16"/>
      <c r="E179" s="16"/>
      <c r="F179" s="21"/>
      <c r="G179" s="21"/>
      <c r="H179" s="24"/>
      <c r="I179" s="24"/>
      <c r="J179" s="20"/>
      <c r="K179" s="20"/>
      <c r="L179" s="20"/>
      <c r="M179" s="20"/>
      <c r="N179" s="20" t="str">
        <f t="shared" si="1"/>
        <v>#</v>
      </c>
      <c r="O179" s="20"/>
      <c r="P179" s="21"/>
      <c r="Q179" s="14" t="str">
        <f t="shared" si="2"/>
        <v/>
      </c>
      <c r="R179" s="14"/>
    </row>
    <row r="180">
      <c r="A180" s="14"/>
      <c r="B180" s="21"/>
      <c r="C180" s="14"/>
      <c r="D180" s="16"/>
      <c r="E180" s="16"/>
      <c r="F180" s="21"/>
      <c r="G180" s="21"/>
      <c r="H180" s="24"/>
      <c r="I180" s="24"/>
      <c r="J180" s="20"/>
      <c r="K180" s="20"/>
      <c r="L180" s="20"/>
      <c r="M180" s="20"/>
      <c r="N180" s="20" t="str">
        <f t="shared" si="1"/>
        <v>#</v>
      </c>
      <c r="O180" s="20"/>
      <c r="P180" s="21"/>
      <c r="Q180" s="14" t="str">
        <f t="shared" si="2"/>
        <v/>
      </c>
      <c r="R180" s="14"/>
    </row>
    <row r="181">
      <c r="A181" s="14"/>
      <c r="B181" s="21"/>
      <c r="C181" s="14"/>
      <c r="D181" s="16"/>
      <c r="E181" s="16"/>
      <c r="F181" s="21"/>
      <c r="G181" s="21"/>
      <c r="H181" s="24"/>
      <c r="I181" s="24"/>
      <c r="J181" s="20"/>
      <c r="K181" s="20"/>
      <c r="L181" s="20"/>
      <c r="M181" s="20"/>
      <c r="N181" s="20" t="str">
        <f t="shared" si="1"/>
        <v>#</v>
      </c>
      <c r="O181" s="20"/>
      <c r="P181" s="21"/>
      <c r="Q181" s="14" t="str">
        <f t="shared" si="2"/>
        <v/>
      </c>
      <c r="R181" s="14"/>
    </row>
    <row r="182">
      <c r="A182" s="14"/>
      <c r="B182" s="21"/>
      <c r="C182" s="14"/>
      <c r="D182" s="16"/>
      <c r="E182" s="16"/>
      <c r="F182" s="21"/>
      <c r="G182" s="21"/>
      <c r="H182" s="24"/>
      <c r="I182" s="24"/>
      <c r="J182" s="20"/>
      <c r="K182" s="20"/>
      <c r="L182" s="20"/>
      <c r="M182" s="20"/>
      <c r="N182" s="20" t="str">
        <f t="shared" si="1"/>
        <v>#</v>
      </c>
      <c r="O182" s="20"/>
      <c r="P182" s="21"/>
      <c r="Q182" s="14" t="str">
        <f t="shared" si="2"/>
        <v/>
      </c>
      <c r="R182" s="14"/>
    </row>
    <row r="183">
      <c r="A183" s="14"/>
      <c r="B183" s="21"/>
      <c r="C183" s="14"/>
      <c r="D183" s="16"/>
      <c r="E183" s="16"/>
      <c r="F183" s="21"/>
      <c r="G183" s="21"/>
      <c r="H183" s="24"/>
      <c r="I183" s="24"/>
      <c r="J183" s="20"/>
      <c r="K183" s="20"/>
      <c r="L183" s="20"/>
      <c r="M183" s="20"/>
      <c r="N183" s="20" t="str">
        <f t="shared" si="1"/>
        <v>#</v>
      </c>
      <c r="O183" s="20"/>
      <c r="P183" s="21"/>
      <c r="Q183" s="14" t="str">
        <f t="shared" si="2"/>
        <v/>
      </c>
      <c r="R183" s="14"/>
    </row>
    <row r="184">
      <c r="A184" s="14"/>
      <c r="B184" s="21"/>
      <c r="C184" s="14"/>
      <c r="D184" s="16"/>
      <c r="E184" s="16"/>
      <c r="F184" s="21"/>
      <c r="G184" s="21"/>
      <c r="H184" s="24"/>
      <c r="I184" s="24"/>
      <c r="J184" s="20"/>
      <c r="K184" s="20"/>
      <c r="L184" s="20"/>
      <c r="M184" s="20"/>
      <c r="N184" s="20" t="str">
        <f t="shared" si="1"/>
        <v>#</v>
      </c>
      <c r="O184" s="20"/>
      <c r="P184" s="21"/>
      <c r="Q184" s="14" t="str">
        <f t="shared" si="2"/>
        <v/>
      </c>
      <c r="R184" s="14"/>
    </row>
    <row r="185">
      <c r="A185" s="14"/>
      <c r="B185" s="21"/>
      <c r="C185" s="14"/>
      <c r="D185" s="16"/>
      <c r="E185" s="16"/>
      <c r="F185" s="21"/>
      <c r="G185" s="21"/>
      <c r="H185" s="24"/>
      <c r="I185" s="24"/>
      <c r="J185" s="20"/>
      <c r="K185" s="20"/>
      <c r="L185" s="20"/>
      <c r="M185" s="20"/>
      <c r="N185" s="20" t="str">
        <f t="shared" si="1"/>
        <v>#</v>
      </c>
      <c r="O185" s="20"/>
      <c r="P185" s="21"/>
      <c r="Q185" s="14" t="str">
        <f t="shared" si="2"/>
        <v/>
      </c>
      <c r="R185" s="14"/>
    </row>
    <row r="186">
      <c r="A186" s="14"/>
      <c r="B186" s="21"/>
      <c r="C186" s="14"/>
      <c r="D186" s="16"/>
      <c r="E186" s="16"/>
      <c r="F186" s="21"/>
      <c r="G186" s="21"/>
      <c r="H186" s="24"/>
      <c r="I186" s="24"/>
      <c r="J186" s="20"/>
      <c r="K186" s="20"/>
      <c r="L186" s="20"/>
      <c r="M186" s="20"/>
      <c r="N186" s="20" t="str">
        <f t="shared" si="1"/>
        <v>#</v>
      </c>
      <c r="O186" s="20"/>
      <c r="P186" s="21"/>
      <c r="Q186" s="14" t="str">
        <f t="shared" si="2"/>
        <v/>
      </c>
      <c r="R186" s="14"/>
    </row>
    <row r="187">
      <c r="A187" s="14"/>
      <c r="B187" s="21"/>
      <c r="C187" s="14"/>
      <c r="D187" s="16"/>
      <c r="E187" s="16"/>
      <c r="F187" s="21"/>
      <c r="G187" s="21"/>
      <c r="H187" s="24"/>
      <c r="I187" s="24"/>
      <c r="J187" s="20"/>
      <c r="K187" s="20"/>
      <c r="L187" s="20"/>
      <c r="M187" s="20"/>
      <c r="N187" s="20" t="str">
        <f t="shared" si="1"/>
        <v>#</v>
      </c>
      <c r="O187" s="20"/>
      <c r="P187" s="21"/>
      <c r="Q187" s="14" t="str">
        <f t="shared" si="2"/>
        <v/>
      </c>
      <c r="R187" s="14"/>
    </row>
    <row r="188">
      <c r="A188" s="14"/>
      <c r="B188" s="21"/>
      <c r="C188" s="14"/>
      <c r="D188" s="16"/>
      <c r="E188" s="16"/>
      <c r="F188" s="21"/>
      <c r="G188" s="21"/>
      <c r="H188" s="24"/>
      <c r="I188" s="24"/>
      <c r="J188" s="20"/>
      <c r="K188" s="20"/>
      <c r="L188" s="20"/>
      <c r="M188" s="20"/>
      <c r="N188" s="20" t="str">
        <f t="shared" si="1"/>
        <v>#</v>
      </c>
      <c r="O188" s="20"/>
      <c r="P188" s="21"/>
      <c r="Q188" s="14" t="str">
        <f t="shared" si="2"/>
        <v/>
      </c>
      <c r="R188" s="14"/>
    </row>
    <row r="189">
      <c r="A189" s="14"/>
      <c r="B189" s="21"/>
      <c r="C189" s="14"/>
      <c r="D189" s="16"/>
      <c r="E189" s="16"/>
      <c r="F189" s="21"/>
      <c r="G189" s="21"/>
      <c r="H189" s="24"/>
      <c r="I189" s="24"/>
      <c r="J189" s="20"/>
      <c r="K189" s="20"/>
      <c r="L189" s="20"/>
      <c r="M189" s="20"/>
      <c r="N189" s="20" t="str">
        <f t="shared" si="1"/>
        <v>#</v>
      </c>
      <c r="O189" s="20"/>
      <c r="P189" s="21"/>
      <c r="Q189" s="14" t="str">
        <f t="shared" si="2"/>
        <v/>
      </c>
      <c r="R189" s="14"/>
    </row>
    <row r="190">
      <c r="A190" s="14"/>
      <c r="B190" s="21"/>
      <c r="C190" s="14"/>
      <c r="D190" s="16"/>
      <c r="E190" s="16"/>
      <c r="F190" s="21"/>
      <c r="G190" s="21"/>
      <c r="H190" s="24"/>
      <c r="I190" s="24"/>
      <c r="J190" s="20"/>
      <c r="K190" s="20"/>
      <c r="L190" s="20"/>
      <c r="M190" s="20"/>
      <c r="N190" s="20" t="str">
        <f t="shared" si="1"/>
        <v>#</v>
      </c>
      <c r="O190" s="20"/>
      <c r="P190" s="21"/>
      <c r="Q190" s="14" t="str">
        <f t="shared" si="2"/>
        <v/>
      </c>
      <c r="R190" s="14"/>
    </row>
    <row r="191">
      <c r="A191" s="14"/>
      <c r="B191" s="21"/>
      <c r="C191" s="14"/>
      <c r="D191" s="16"/>
      <c r="E191" s="16"/>
      <c r="F191" s="21"/>
      <c r="G191" s="21"/>
      <c r="H191" s="24"/>
      <c r="I191" s="24"/>
      <c r="J191" s="20"/>
      <c r="K191" s="20"/>
      <c r="L191" s="20"/>
      <c r="M191" s="20"/>
      <c r="N191" s="20" t="str">
        <f t="shared" si="1"/>
        <v>#</v>
      </c>
      <c r="O191" s="20"/>
      <c r="P191" s="21"/>
      <c r="Q191" s="14" t="str">
        <f t="shared" si="2"/>
        <v/>
      </c>
      <c r="R191" s="14"/>
    </row>
    <row r="192">
      <c r="A192" s="14"/>
      <c r="B192" s="21"/>
      <c r="C192" s="14"/>
      <c r="D192" s="16"/>
      <c r="E192" s="16"/>
      <c r="F192" s="21"/>
      <c r="G192" s="21"/>
      <c r="H192" s="24"/>
      <c r="I192" s="24"/>
      <c r="J192" s="20"/>
      <c r="K192" s="20"/>
      <c r="L192" s="20"/>
      <c r="M192" s="20"/>
      <c r="N192" s="20" t="str">
        <f t="shared" si="1"/>
        <v>#</v>
      </c>
      <c r="O192" s="20"/>
      <c r="P192" s="21"/>
      <c r="Q192" s="14" t="str">
        <f t="shared" si="2"/>
        <v/>
      </c>
      <c r="R192" s="14"/>
    </row>
    <row r="193">
      <c r="A193" s="14"/>
      <c r="B193" s="21"/>
      <c r="C193" s="14"/>
      <c r="D193" s="16"/>
      <c r="E193" s="16"/>
      <c r="F193" s="21"/>
      <c r="G193" s="21"/>
      <c r="H193" s="24"/>
      <c r="I193" s="24"/>
      <c r="J193" s="20"/>
      <c r="K193" s="20"/>
      <c r="L193" s="20"/>
      <c r="M193" s="20"/>
      <c r="N193" s="20" t="str">
        <f t="shared" si="1"/>
        <v>#</v>
      </c>
      <c r="O193" s="20"/>
      <c r="P193" s="21"/>
      <c r="Q193" s="14" t="str">
        <f t="shared" si="2"/>
        <v/>
      </c>
      <c r="R193" s="14"/>
    </row>
    <row r="194">
      <c r="A194" s="14"/>
      <c r="B194" s="21"/>
      <c r="C194" s="14"/>
      <c r="D194" s="16"/>
      <c r="E194" s="16"/>
      <c r="F194" s="21"/>
      <c r="G194" s="21"/>
      <c r="H194" s="24"/>
      <c r="I194" s="24"/>
      <c r="J194" s="20"/>
      <c r="K194" s="20"/>
      <c r="L194" s="20"/>
      <c r="M194" s="20"/>
      <c r="N194" s="20" t="str">
        <f t="shared" si="1"/>
        <v>#</v>
      </c>
      <c r="O194" s="20"/>
      <c r="P194" s="21"/>
      <c r="Q194" s="14" t="str">
        <f t="shared" si="2"/>
        <v/>
      </c>
      <c r="R194" s="14"/>
    </row>
    <row r="195">
      <c r="A195" s="14"/>
      <c r="B195" s="21"/>
      <c r="C195" s="14"/>
      <c r="D195" s="16"/>
      <c r="E195" s="16"/>
      <c r="F195" s="21"/>
      <c r="G195" s="21"/>
      <c r="H195" s="24"/>
      <c r="I195" s="24"/>
      <c r="J195" s="20"/>
      <c r="K195" s="20"/>
      <c r="L195" s="20"/>
      <c r="M195" s="20"/>
      <c r="N195" s="20" t="str">
        <f t="shared" si="1"/>
        <v>#</v>
      </c>
      <c r="O195" s="20"/>
      <c r="P195" s="21"/>
      <c r="Q195" s="14" t="str">
        <f t="shared" si="2"/>
        <v/>
      </c>
      <c r="R195" s="14"/>
    </row>
    <row r="196">
      <c r="A196" s="14"/>
      <c r="B196" s="21"/>
      <c r="C196" s="14"/>
      <c r="D196" s="16"/>
      <c r="E196" s="16"/>
      <c r="F196" s="21"/>
      <c r="G196" s="21"/>
      <c r="H196" s="24"/>
      <c r="I196" s="24"/>
      <c r="J196" s="20"/>
      <c r="K196" s="20"/>
      <c r="L196" s="20"/>
      <c r="M196" s="20"/>
      <c r="N196" s="20" t="str">
        <f t="shared" si="1"/>
        <v>#</v>
      </c>
      <c r="O196" s="20"/>
      <c r="P196" s="21"/>
      <c r="Q196" s="14" t="str">
        <f t="shared" si="2"/>
        <v/>
      </c>
      <c r="R196" s="14"/>
    </row>
    <row r="197">
      <c r="A197" s="14"/>
      <c r="B197" s="21"/>
      <c r="C197" s="14"/>
      <c r="D197" s="16"/>
      <c r="E197" s="16"/>
      <c r="F197" s="21"/>
      <c r="G197" s="21"/>
      <c r="H197" s="24"/>
      <c r="I197" s="24"/>
      <c r="J197" s="20"/>
      <c r="K197" s="20"/>
      <c r="L197" s="20"/>
      <c r="M197" s="20"/>
      <c r="N197" s="20" t="str">
        <f t="shared" si="1"/>
        <v>#</v>
      </c>
      <c r="O197" s="20"/>
      <c r="P197" s="21"/>
      <c r="Q197" s="14" t="str">
        <f t="shared" si="2"/>
        <v/>
      </c>
      <c r="R197" s="14"/>
    </row>
    <row r="198">
      <c r="A198" s="14"/>
      <c r="B198" s="21"/>
      <c r="C198" s="14"/>
      <c r="D198" s="16"/>
      <c r="E198" s="16"/>
      <c r="F198" s="21"/>
      <c r="G198" s="21"/>
      <c r="H198" s="24"/>
      <c r="I198" s="24"/>
      <c r="J198" s="20"/>
      <c r="K198" s="20"/>
      <c r="L198" s="20"/>
      <c r="M198" s="20"/>
      <c r="N198" s="20" t="str">
        <f t="shared" si="1"/>
        <v>#</v>
      </c>
      <c r="O198" s="20"/>
      <c r="P198" s="21"/>
      <c r="Q198" s="14" t="str">
        <f t="shared" si="2"/>
        <v/>
      </c>
      <c r="R198" s="14"/>
    </row>
    <row r="199">
      <c r="A199" s="14"/>
      <c r="B199" s="21"/>
      <c r="C199" s="14"/>
      <c r="D199" s="16"/>
      <c r="E199" s="16"/>
      <c r="F199" s="21"/>
      <c r="G199" s="21"/>
      <c r="H199" s="24"/>
      <c r="I199" s="24"/>
      <c r="J199" s="20"/>
      <c r="K199" s="20"/>
      <c r="L199" s="20"/>
      <c r="M199" s="20"/>
      <c r="N199" s="20" t="str">
        <f t="shared" si="1"/>
        <v>#</v>
      </c>
      <c r="O199" s="20"/>
      <c r="P199" s="21"/>
      <c r="Q199" s="14" t="str">
        <f t="shared" si="2"/>
        <v/>
      </c>
      <c r="R199" s="14"/>
    </row>
    <row r="200">
      <c r="A200" s="14"/>
      <c r="B200" s="21"/>
      <c r="C200" s="14"/>
      <c r="D200" s="16"/>
      <c r="E200" s="16"/>
      <c r="F200" s="21"/>
      <c r="G200" s="21"/>
      <c r="H200" s="24"/>
      <c r="I200" s="24"/>
      <c r="J200" s="20"/>
      <c r="K200" s="20"/>
      <c r="L200" s="20"/>
      <c r="M200" s="20"/>
      <c r="N200" s="20" t="str">
        <f t="shared" si="1"/>
        <v>#</v>
      </c>
      <c r="O200" s="20"/>
      <c r="P200" s="21"/>
      <c r="Q200" s="14" t="str">
        <f t="shared" si="2"/>
        <v/>
      </c>
      <c r="R200" s="14"/>
    </row>
    <row r="201">
      <c r="A201" s="14"/>
      <c r="B201" s="21"/>
      <c r="C201" s="14"/>
      <c r="D201" s="16"/>
      <c r="E201" s="16"/>
      <c r="F201" s="21"/>
      <c r="G201" s="21"/>
      <c r="H201" s="24"/>
      <c r="I201" s="24"/>
      <c r="J201" s="20"/>
      <c r="K201" s="20"/>
      <c r="L201" s="20"/>
      <c r="M201" s="20"/>
      <c r="N201" s="20" t="str">
        <f t="shared" si="1"/>
        <v>#</v>
      </c>
      <c r="O201" s="20"/>
      <c r="P201" s="21"/>
      <c r="Q201" s="14" t="str">
        <f t="shared" si="2"/>
        <v/>
      </c>
      <c r="R201" s="14"/>
    </row>
    <row r="202">
      <c r="A202" s="14"/>
      <c r="B202" s="21"/>
      <c r="C202" s="14"/>
      <c r="D202" s="16"/>
      <c r="E202" s="16"/>
      <c r="F202" s="21"/>
      <c r="G202" s="21"/>
      <c r="H202" s="24"/>
      <c r="I202" s="24"/>
      <c r="J202" s="20"/>
      <c r="K202" s="20"/>
      <c r="L202" s="20"/>
      <c r="M202" s="20"/>
      <c r="N202" s="20" t="str">
        <f t="shared" si="1"/>
        <v>#</v>
      </c>
      <c r="O202" s="20"/>
      <c r="P202" s="21"/>
      <c r="Q202" s="14" t="str">
        <f t="shared" si="2"/>
        <v/>
      </c>
      <c r="R202" s="14"/>
    </row>
    <row r="203">
      <c r="A203" s="14"/>
      <c r="B203" s="21"/>
      <c r="C203" s="14"/>
      <c r="D203" s="16"/>
      <c r="E203" s="16"/>
      <c r="F203" s="21"/>
      <c r="G203" s="21"/>
      <c r="H203" s="24"/>
      <c r="I203" s="24"/>
      <c r="J203" s="20"/>
      <c r="K203" s="20"/>
      <c r="L203" s="20"/>
      <c r="M203" s="20"/>
      <c r="N203" s="20" t="str">
        <f t="shared" si="1"/>
        <v>#</v>
      </c>
      <c r="O203" s="20"/>
      <c r="P203" s="21"/>
      <c r="Q203" s="14" t="str">
        <f t="shared" si="2"/>
        <v/>
      </c>
      <c r="R203" s="14"/>
    </row>
    <row r="204">
      <c r="A204" s="14"/>
      <c r="B204" s="21"/>
      <c r="C204" s="14"/>
      <c r="D204" s="16"/>
      <c r="E204" s="16"/>
      <c r="F204" s="21"/>
      <c r="G204" s="21"/>
      <c r="H204" s="24"/>
      <c r="I204" s="24"/>
      <c r="J204" s="20"/>
      <c r="K204" s="20"/>
      <c r="L204" s="20"/>
      <c r="M204" s="20"/>
      <c r="N204" s="20" t="str">
        <f t="shared" si="1"/>
        <v>#</v>
      </c>
      <c r="O204" s="20"/>
      <c r="P204" s="21"/>
      <c r="Q204" s="14" t="str">
        <f t="shared" si="2"/>
        <v/>
      </c>
      <c r="R204" s="14"/>
    </row>
    <row r="205">
      <c r="A205" s="14"/>
      <c r="B205" s="21"/>
      <c r="C205" s="14"/>
      <c r="D205" s="16"/>
      <c r="E205" s="16"/>
      <c r="F205" s="21"/>
      <c r="G205" s="21"/>
      <c r="H205" s="24"/>
      <c r="I205" s="24"/>
      <c r="J205" s="20"/>
      <c r="K205" s="20"/>
      <c r="L205" s="20"/>
      <c r="M205" s="20"/>
      <c r="N205" s="20" t="str">
        <f t="shared" si="1"/>
        <v>#</v>
      </c>
      <c r="O205" s="20"/>
      <c r="P205" s="21"/>
      <c r="Q205" s="14" t="str">
        <f t="shared" si="2"/>
        <v/>
      </c>
      <c r="R205" s="14"/>
    </row>
    <row r="206">
      <c r="A206" s="14"/>
      <c r="B206" s="21"/>
      <c r="C206" s="14"/>
      <c r="D206" s="16"/>
      <c r="E206" s="16"/>
      <c r="F206" s="21"/>
      <c r="G206" s="21"/>
      <c r="H206" s="24"/>
      <c r="I206" s="24"/>
      <c r="J206" s="20"/>
      <c r="K206" s="20"/>
      <c r="L206" s="20"/>
      <c r="M206" s="20"/>
      <c r="N206" s="20" t="str">
        <f t="shared" si="1"/>
        <v>#</v>
      </c>
      <c r="O206" s="20"/>
      <c r="P206" s="21"/>
      <c r="Q206" s="14" t="str">
        <f t="shared" si="2"/>
        <v/>
      </c>
      <c r="R206" s="14"/>
    </row>
    <row r="207">
      <c r="A207" s="14"/>
      <c r="B207" s="21"/>
      <c r="C207" s="14"/>
      <c r="D207" s="16"/>
      <c r="E207" s="16"/>
      <c r="F207" s="21"/>
      <c r="G207" s="21"/>
      <c r="H207" s="24"/>
      <c r="I207" s="24"/>
      <c r="J207" s="20"/>
      <c r="K207" s="20"/>
      <c r="L207" s="20"/>
      <c r="M207" s="20"/>
      <c r="N207" s="20" t="str">
        <f t="shared" si="1"/>
        <v>#</v>
      </c>
      <c r="O207" s="20"/>
      <c r="P207" s="21"/>
      <c r="Q207" s="14" t="str">
        <f t="shared" si="2"/>
        <v/>
      </c>
      <c r="R207" s="14"/>
    </row>
    <row r="208">
      <c r="A208" s="14"/>
      <c r="B208" s="21"/>
      <c r="C208" s="14"/>
      <c r="D208" s="16"/>
      <c r="E208" s="16"/>
      <c r="F208" s="21"/>
      <c r="G208" s="21"/>
      <c r="H208" s="24"/>
      <c r="I208" s="24"/>
      <c r="J208" s="20"/>
      <c r="K208" s="20"/>
      <c r="L208" s="20"/>
      <c r="M208" s="20"/>
      <c r="N208" s="20" t="str">
        <f t="shared" si="1"/>
        <v>#</v>
      </c>
      <c r="O208" s="20"/>
      <c r="P208" s="21"/>
      <c r="Q208" s="14" t="str">
        <f t="shared" si="2"/>
        <v/>
      </c>
      <c r="R208" s="14"/>
    </row>
    <row r="209">
      <c r="A209" s="14"/>
      <c r="B209" s="21"/>
      <c r="C209" s="14"/>
      <c r="D209" s="16"/>
      <c r="E209" s="16"/>
      <c r="F209" s="21"/>
      <c r="G209" s="21"/>
      <c r="H209" s="24"/>
      <c r="I209" s="24"/>
      <c r="J209" s="20"/>
      <c r="K209" s="20"/>
      <c r="L209" s="20"/>
      <c r="M209" s="20"/>
      <c r="N209" s="20" t="str">
        <f t="shared" si="1"/>
        <v>#</v>
      </c>
      <c r="O209" s="20"/>
      <c r="P209" s="21"/>
      <c r="Q209" s="14" t="str">
        <f t="shared" si="2"/>
        <v/>
      </c>
      <c r="R209" s="14"/>
    </row>
    <row r="210">
      <c r="A210" s="14"/>
      <c r="B210" s="21"/>
      <c r="C210" s="14"/>
      <c r="D210" s="16"/>
      <c r="E210" s="16"/>
      <c r="F210" s="21"/>
      <c r="G210" s="21"/>
      <c r="H210" s="24"/>
      <c r="I210" s="24"/>
      <c r="J210" s="20"/>
      <c r="K210" s="20"/>
      <c r="L210" s="20"/>
      <c r="M210" s="20"/>
      <c r="N210" s="20" t="str">
        <f t="shared" si="1"/>
        <v>#</v>
      </c>
      <c r="O210" s="20"/>
      <c r="P210" s="21"/>
      <c r="Q210" s="14" t="str">
        <f t="shared" si="2"/>
        <v/>
      </c>
      <c r="R210" s="14"/>
    </row>
    <row r="211">
      <c r="A211" s="14"/>
      <c r="B211" s="21"/>
      <c r="C211" s="14"/>
      <c r="D211" s="16"/>
      <c r="E211" s="16"/>
      <c r="F211" s="21"/>
      <c r="G211" s="21"/>
      <c r="H211" s="24"/>
      <c r="I211" s="24"/>
      <c r="J211" s="20"/>
      <c r="K211" s="20"/>
      <c r="L211" s="20"/>
      <c r="M211" s="20"/>
      <c r="N211" s="20" t="str">
        <f t="shared" si="1"/>
        <v>#</v>
      </c>
      <c r="O211" s="20"/>
      <c r="P211" s="21"/>
      <c r="Q211" s="14" t="str">
        <f t="shared" si="2"/>
        <v/>
      </c>
      <c r="R211" s="14"/>
    </row>
    <row r="212">
      <c r="A212" s="14"/>
      <c r="B212" s="21"/>
      <c r="C212" s="14"/>
      <c r="D212" s="16"/>
      <c r="E212" s="16"/>
      <c r="F212" s="21"/>
      <c r="G212" s="21"/>
      <c r="H212" s="24"/>
      <c r="I212" s="24"/>
      <c r="J212" s="20"/>
      <c r="K212" s="20"/>
      <c r="L212" s="20"/>
      <c r="M212" s="20"/>
      <c r="N212" s="20" t="str">
        <f t="shared" si="1"/>
        <v>#</v>
      </c>
      <c r="O212" s="20"/>
      <c r="P212" s="21"/>
      <c r="Q212" s="14" t="str">
        <f t="shared" si="2"/>
        <v/>
      </c>
      <c r="R212" s="14"/>
    </row>
    <row r="213">
      <c r="A213" s="14"/>
      <c r="B213" s="21"/>
      <c r="C213" s="14"/>
      <c r="D213" s="16"/>
      <c r="E213" s="16"/>
      <c r="F213" s="21"/>
      <c r="G213" s="21"/>
      <c r="H213" s="24"/>
      <c r="I213" s="24"/>
      <c r="J213" s="20"/>
      <c r="K213" s="20"/>
      <c r="L213" s="20"/>
      <c r="M213" s="20"/>
      <c r="N213" s="20" t="str">
        <f t="shared" si="1"/>
        <v>#</v>
      </c>
      <c r="O213" s="20"/>
      <c r="P213" s="21"/>
      <c r="Q213" s="14" t="str">
        <f t="shared" si="2"/>
        <v/>
      </c>
      <c r="R213" s="14"/>
    </row>
    <row r="214">
      <c r="A214" s="14"/>
      <c r="B214" s="21"/>
      <c r="C214" s="14"/>
      <c r="D214" s="16"/>
      <c r="E214" s="16"/>
      <c r="F214" s="21"/>
      <c r="G214" s="21"/>
      <c r="H214" s="24"/>
      <c r="I214" s="24"/>
      <c r="J214" s="20"/>
      <c r="K214" s="20"/>
      <c r="L214" s="20"/>
      <c r="M214" s="20"/>
      <c r="N214" s="20" t="str">
        <f t="shared" si="1"/>
        <v>#</v>
      </c>
      <c r="O214" s="20"/>
      <c r="P214" s="21"/>
      <c r="Q214" s="14" t="str">
        <f t="shared" si="2"/>
        <v/>
      </c>
      <c r="R214" s="14"/>
    </row>
    <row r="215">
      <c r="A215" s="14"/>
      <c r="B215" s="21"/>
      <c r="C215" s="14"/>
      <c r="D215" s="16"/>
      <c r="E215" s="16"/>
      <c r="F215" s="21"/>
      <c r="G215" s="21"/>
      <c r="H215" s="24"/>
      <c r="I215" s="24"/>
      <c r="J215" s="20"/>
      <c r="K215" s="20"/>
      <c r="L215" s="20"/>
      <c r="M215" s="20"/>
      <c r="N215" s="20" t="str">
        <f t="shared" si="1"/>
        <v>#</v>
      </c>
      <c r="O215" s="20"/>
      <c r="P215" s="21"/>
      <c r="Q215" s="14" t="str">
        <f t="shared" si="2"/>
        <v/>
      </c>
      <c r="R215" s="14"/>
    </row>
    <row r="216">
      <c r="A216" s="14"/>
      <c r="B216" s="21"/>
      <c r="C216" s="14"/>
      <c r="D216" s="16"/>
      <c r="E216" s="16"/>
      <c r="F216" s="21"/>
      <c r="G216" s="21"/>
      <c r="H216" s="24"/>
      <c r="I216" s="24"/>
      <c r="J216" s="20"/>
      <c r="K216" s="20"/>
      <c r="L216" s="20"/>
      <c r="M216" s="20"/>
      <c r="N216" s="20" t="str">
        <f t="shared" si="1"/>
        <v>#</v>
      </c>
      <c r="O216" s="20"/>
      <c r="P216" s="21"/>
      <c r="Q216" s="14" t="str">
        <f t="shared" si="2"/>
        <v/>
      </c>
      <c r="R216" s="14"/>
    </row>
    <row r="217">
      <c r="A217" s="14"/>
      <c r="B217" s="21"/>
      <c r="C217" s="14"/>
      <c r="D217" s="16"/>
      <c r="E217" s="16"/>
      <c r="F217" s="21"/>
      <c r="G217" s="21"/>
      <c r="H217" s="24"/>
      <c r="I217" s="24"/>
      <c r="J217" s="20"/>
      <c r="K217" s="20"/>
      <c r="L217" s="20"/>
      <c r="M217" s="20"/>
      <c r="N217" s="20" t="str">
        <f t="shared" si="1"/>
        <v>#</v>
      </c>
      <c r="O217" s="20"/>
      <c r="P217" s="21"/>
      <c r="Q217" s="14" t="str">
        <f t="shared" si="2"/>
        <v/>
      </c>
      <c r="R217" s="14"/>
    </row>
    <row r="218">
      <c r="A218" s="14"/>
      <c r="B218" s="21"/>
      <c r="C218" s="14"/>
      <c r="D218" s="16"/>
      <c r="E218" s="16"/>
      <c r="F218" s="21"/>
      <c r="G218" s="21"/>
      <c r="H218" s="24"/>
      <c r="I218" s="24"/>
      <c r="J218" s="20"/>
      <c r="K218" s="20"/>
      <c r="L218" s="20"/>
      <c r="M218" s="20"/>
      <c r="N218" s="20" t="str">
        <f t="shared" si="1"/>
        <v>#</v>
      </c>
      <c r="O218" s="20"/>
      <c r="P218" s="21"/>
      <c r="Q218" s="14" t="str">
        <f t="shared" si="2"/>
        <v/>
      </c>
      <c r="R218" s="14"/>
    </row>
    <row r="219">
      <c r="A219" s="14"/>
      <c r="B219" s="21"/>
      <c r="C219" s="14"/>
      <c r="D219" s="16"/>
      <c r="E219" s="16"/>
      <c r="F219" s="21"/>
      <c r="G219" s="21"/>
      <c r="H219" s="24"/>
      <c r="I219" s="24"/>
      <c r="J219" s="20"/>
      <c r="K219" s="20"/>
      <c r="L219" s="20"/>
      <c r="M219" s="20"/>
      <c r="N219" s="20" t="str">
        <f t="shared" si="1"/>
        <v>#</v>
      </c>
      <c r="O219" s="20"/>
      <c r="P219" s="21"/>
      <c r="Q219" s="14" t="str">
        <f t="shared" si="2"/>
        <v/>
      </c>
      <c r="R219" s="14"/>
    </row>
    <row r="220">
      <c r="A220" s="14"/>
      <c r="B220" s="21"/>
      <c r="C220" s="14"/>
      <c r="D220" s="16"/>
      <c r="E220" s="16"/>
      <c r="F220" s="21"/>
      <c r="G220" s="21"/>
      <c r="H220" s="24"/>
      <c r="I220" s="24"/>
      <c r="J220" s="20"/>
      <c r="K220" s="20"/>
      <c r="L220" s="20"/>
      <c r="M220" s="20"/>
      <c r="N220" s="20" t="str">
        <f t="shared" si="1"/>
        <v>#</v>
      </c>
      <c r="O220" s="20"/>
      <c r="P220" s="21"/>
      <c r="Q220" s="14" t="str">
        <f t="shared" si="2"/>
        <v/>
      </c>
      <c r="R220" s="14"/>
    </row>
    <row r="221">
      <c r="A221" s="14"/>
      <c r="B221" s="21"/>
      <c r="C221" s="14"/>
      <c r="D221" s="16"/>
      <c r="E221" s="16"/>
      <c r="F221" s="21"/>
      <c r="G221" s="21"/>
      <c r="H221" s="24"/>
      <c r="I221" s="24"/>
      <c r="J221" s="20"/>
      <c r="K221" s="20"/>
      <c r="L221" s="20"/>
      <c r="M221" s="20"/>
      <c r="N221" s="20" t="str">
        <f t="shared" si="1"/>
        <v>#</v>
      </c>
      <c r="O221" s="20"/>
      <c r="P221" s="21"/>
      <c r="Q221" s="14" t="str">
        <f t="shared" si="2"/>
        <v/>
      </c>
      <c r="R221" s="14"/>
    </row>
    <row r="222">
      <c r="A222" s="14"/>
      <c r="B222" s="21"/>
      <c r="C222" s="14"/>
      <c r="D222" s="16"/>
      <c r="E222" s="16"/>
      <c r="F222" s="21"/>
      <c r="G222" s="21"/>
      <c r="H222" s="24"/>
      <c r="I222" s="24"/>
      <c r="J222" s="20"/>
      <c r="K222" s="20"/>
      <c r="L222" s="20"/>
      <c r="M222" s="20"/>
      <c r="N222" s="20" t="str">
        <f t="shared" si="1"/>
        <v>#</v>
      </c>
      <c r="O222" s="20"/>
      <c r="P222" s="21"/>
      <c r="Q222" s="14" t="str">
        <f t="shared" si="2"/>
        <v/>
      </c>
      <c r="R222" s="14"/>
    </row>
    <row r="223">
      <c r="A223" s="14"/>
      <c r="B223" s="21"/>
      <c r="C223" s="14"/>
      <c r="D223" s="16"/>
      <c r="E223" s="16"/>
      <c r="F223" s="21"/>
      <c r="G223" s="21"/>
      <c r="H223" s="24"/>
      <c r="I223" s="24"/>
      <c r="J223" s="20"/>
      <c r="K223" s="20"/>
      <c r="L223" s="20"/>
      <c r="M223" s="20"/>
      <c r="N223" s="20" t="str">
        <f t="shared" si="1"/>
        <v>#</v>
      </c>
      <c r="O223" s="20"/>
      <c r="P223" s="21"/>
      <c r="Q223" s="14" t="str">
        <f t="shared" si="2"/>
        <v/>
      </c>
      <c r="R223" s="14"/>
    </row>
    <row r="224">
      <c r="A224" s="14"/>
      <c r="B224" s="21"/>
      <c r="C224" s="14"/>
      <c r="D224" s="16"/>
      <c r="E224" s="16"/>
      <c r="F224" s="21"/>
      <c r="G224" s="21"/>
      <c r="H224" s="24"/>
      <c r="I224" s="24"/>
      <c r="J224" s="20"/>
      <c r="K224" s="20"/>
      <c r="L224" s="20"/>
      <c r="M224" s="20"/>
      <c r="N224" s="20" t="str">
        <f t="shared" si="1"/>
        <v>#</v>
      </c>
      <c r="O224" s="20"/>
      <c r="P224" s="21"/>
      <c r="Q224" s="14" t="str">
        <f t="shared" si="2"/>
        <v/>
      </c>
      <c r="R224" s="14"/>
    </row>
    <row r="225">
      <c r="A225" s="14"/>
      <c r="B225" s="21"/>
      <c r="C225" s="14"/>
      <c r="D225" s="16"/>
      <c r="E225" s="16"/>
      <c r="F225" s="21"/>
      <c r="G225" s="21"/>
      <c r="H225" s="24"/>
      <c r="I225" s="24"/>
      <c r="J225" s="20"/>
      <c r="K225" s="20"/>
      <c r="L225" s="20"/>
      <c r="M225" s="20"/>
      <c r="N225" s="20" t="str">
        <f t="shared" si="1"/>
        <v>#</v>
      </c>
      <c r="O225" s="20"/>
      <c r="P225" s="21"/>
      <c r="Q225" s="14" t="str">
        <f t="shared" si="2"/>
        <v/>
      </c>
      <c r="R225" s="14"/>
    </row>
    <row r="226">
      <c r="A226" s="14"/>
      <c r="B226" s="21"/>
      <c r="C226" s="14"/>
      <c r="D226" s="16"/>
      <c r="E226" s="16"/>
      <c r="F226" s="21"/>
      <c r="G226" s="21"/>
      <c r="H226" s="24"/>
      <c r="I226" s="24"/>
      <c r="J226" s="20"/>
      <c r="K226" s="20"/>
      <c r="L226" s="20"/>
      <c r="M226" s="20"/>
      <c r="N226" s="20" t="str">
        <f t="shared" si="1"/>
        <v>#</v>
      </c>
      <c r="O226" s="20"/>
      <c r="P226" s="21"/>
      <c r="Q226" s="14" t="str">
        <f t="shared" si="2"/>
        <v/>
      </c>
      <c r="R226" s="14"/>
    </row>
    <row r="227">
      <c r="A227" s="14"/>
      <c r="B227" s="21"/>
      <c r="C227" s="14"/>
      <c r="D227" s="16"/>
      <c r="E227" s="16"/>
      <c r="F227" s="21"/>
      <c r="G227" s="21"/>
      <c r="H227" s="24"/>
      <c r="I227" s="24"/>
      <c r="J227" s="20"/>
      <c r="K227" s="20"/>
      <c r="L227" s="20"/>
      <c r="M227" s="20"/>
      <c r="N227" s="20" t="str">
        <f t="shared" si="1"/>
        <v>#</v>
      </c>
      <c r="O227" s="20"/>
      <c r="P227" s="21"/>
      <c r="Q227" s="14" t="str">
        <f t="shared" si="2"/>
        <v/>
      </c>
      <c r="R227" s="14"/>
    </row>
    <row r="228">
      <c r="A228" s="14"/>
      <c r="B228" s="21"/>
      <c r="C228" s="14"/>
      <c r="D228" s="16"/>
      <c r="E228" s="16"/>
      <c r="F228" s="21"/>
      <c r="G228" s="21"/>
      <c r="H228" s="24"/>
      <c r="I228" s="24"/>
      <c r="J228" s="20"/>
      <c r="K228" s="20"/>
      <c r="L228" s="20"/>
      <c r="M228" s="20"/>
      <c r="N228" s="20" t="str">
        <f t="shared" si="1"/>
        <v>#</v>
      </c>
      <c r="O228" s="20"/>
      <c r="P228" s="21"/>
      <c r="Q228" s="14" t="str">
        <f t="shared" si="2"/>
        <v/>
      </c>
      <c r="R228" s="14"/>
    </row>
    <row r="229">
      <c r="A229" s="14"/>
      <c r="B229" s="21"/>
      <c r="C229" s="14"/>
      <c r="D229" s="16"/>
      <c r="E229" s="16"/>
      <c r="F229" s="21"/>
      <c r="G229" s="21"/>
      <c r="H229" s="24"/>
      <c r="I229" s="24"/>
      <c r="J229" s="20"/>
      <c r="K229" s="20"/>
      <c r="L229" s="20"/>
      <c r="M229" s="20"/>
      <c r="N229" s="20" t="str">
        <f t="shared" si="1"/>
        <v>#</v>
      </c>
      <c r="O229" s="20"/>
      <c r="P229" s="21"/>
      <c r="Q229" s="14" t="str">
        <f t="shared" si="2"/>
        <v/>
      </c>
      <c r="R229" s="14"/>
    </row>
    <row r="230">
      <c r="A230" s="14"/>
      <c r="B230" s="21"/>
      <c r="C230" s="14"/>
      <c r="D230" s="16"/>
      <c r="E230" s="16"/>
      <c r="F230" s="21"/>
      <c r="G230" s="21"/>
      <c r="H230" s="24"/>
      <c r="I230" s="24"/>
      <c r="J230" s="20"/>
      <c r="K230" s="20"/>
      <c r="L230" s="20"/>
      <c r="M230" s="20"/>
      <c r="N230" s="20" t="str">
        <f t="shared" si="1"/>
        <v>#</v>
      </c>
      <c r="O230" s="20"/>
      <c r="P230" s="21"/>
      <c r="Q230" s="14" t="str">
        <f t="shared" si="2"/>
        <v/>
      </c>
      <c r="R230" s="14"/>
    </row>
    <row r="231">
      <c r="A231" s="14"/>
      <c r="B231" s="21"/>
      <c r="C231" s="14"/>
      <c r="D231" s="16"/>
      <c r="E231" s="16"/>
      <c r="F231" s="21"/>
      <c r="G231" s="21"/>
      <c r="H231" s="24"/>
      <c r="I231" s="24"/>
      <c r="J231" s="20"/>
      <c r="K231" s="20"/>
      <c r="L231" s="20"/>
      <c r="M231" s="20"/>
      <c r="N231" s="20" t="str">
        <f t="shared" si="1"/>
        <v>#</v>
      </c>
      <c r="O231" s="20"/>
      <c r="P231" s="21"/>
      <c r="Q231" s="14" t="str">
        <f t="shared" si="2"/>
        <v/>
      </c>
      <c r="R231" s="14"/>
    </row>
    <row r="232">
      <c r="A232" s="14"/>
      <c r="B232" s="21"/>
      <c r="C232" s="14"/>
      <c r="D232" s="16"/>
      <c r="E232" s="16"/>
      <c r="F232" s="21"/>
      <c r="G232" s="21"/>
      <c r="H232" s="24"/>
      <c r="I232" s="24"/>
      <c r="J232" s="20"/>
      <c r="K232" s="20"/>
      <c r="L232" s="20"/>
      <c r="M232" s="20"/>
      <c r="N232" s="20" t="str">
        <f t="shared" si="1"/>
        <v>#</v>
      </c>
      <c r="O232" s="20"/>
      <c r="P232" s="21"/>
      <c r="Q232" s="14" t="str">
        <f t="shared" si="2"/>
        <v/>
      </c>
      <c r="R232" s="14"/>
    </row>
    <row r="233">
      <c r="A233" s="14"/>
      <c r="B233" s="21"/>
      <c r="C233" s="14"/>
      <c r="D233" s="16"/>
      <c r="E233" s="16"/>
      <c r="F233" s="21"/>
      <c r="G233" s="21"/>
      <c r="H233" s="24"/>
      <c r="I233" s="24"/>
      <c r="J233" s="20"/>
      <c r="K233" s="20"/>
      <c r="L233" s="20"/>
      <c r="M233" s="20"/>
      <c r="N233" s="20" t="str">
        <f t="shared" si="1"/>
        <v>#</v>
      </c>
      <c r="O233" s="20"/>
      <c r="P233" s="21"/>
      <c r="Q233" s="14" t="str">
        <f t="shared" si="2"/>
        <v/>
      </c>
      <c r="R233" s="14"/>
    </row>
    <row r="234">
      <c r="A234" s="14"/>
      <c r="B234" s="21"/>
      <c r="C234" s="14"/>
      <c r="D234" s="16"/>
      <c r="E234" s="16"/>
      <c r="F234" s="21"/>
      <c r="G234" s="21"/>
      <c r="H234" s="24"/>
      <c r="I234" s="24"/>
      <c r="J234" s="20"/>
      <c r="K234" s="20"/>
      <c r="L234" s="20"/>
      <c r="M234" s="20"/>
      <c r="N234" s="20" t="str">
        <f t="shared" si="1"/>
        <v>#</v>
      </c>
      <c r="O234" s="20"/>
      <c r="P234" s="21"/>
      <c r="Q234" s="14" t="str">
        <f t="shared" si="2"/>
        <v/>
      </c>
      <c r="R234" s="14"/>
    </row>
    <row r="235">
      <c r="A235" s="14"/>
      <c r="B235" s="21"/>
      <c r="C235" s="14"/>
      <c r="D235" s="16"/>
      <c r="E235" s="16"/>
      <c r="F235" s="21"/>
      <c r="G235" s="21"/>
      <c r="H235" s="24"/>
      <c r="I235" s="24"/>
      <c r="J235" s="20"/>
      <c r="K235" s="20"/>
      <c r="L235" s="20"/>
      <c r="M235" s="20"/>
      <c r="N235" s="20" t="str">
        <f t="shared" si="1"/>
        <v>#</v>
      </c>
      <c r="O235" s="20"/>
      <c r="P235" s="21"/>
      <c r="Q235" s="14" t="str">
        <f t="shared" si="2"/>
        <v/>
      </c>
      <c r="R235" s="14"/>
    </row>
    <row r="236">
      <c r="A236" s="14"/>
      <c r="B236" s="21"/>
      <c r="C236" s="14"/>
      <c r="D236" s="16"/>
      <c r="E236" s="16"/>
      <c r="F236" s="21"/>
      <c r="G236" s="21"/>
      <c r="H236" s="24"/>
      <c r="I236" s="24"/>
      <c r="J236" s="20"/>
      <c r="K236" s="20"/>
      <c r="L236" s="20"/>
      <c r="M236" s="20"/>
      <c r="N236" s="20" t="str">
        <f t="shared" si="1"/>
        <v>#</v>
      </c>
      <c r="O236" s="20"/>
      <c r="P236" s="21"/>
      <c r="Q236" s="14" t="str">
        <f t="shared" si="2"/>
        <v/>
      </c>
      <c r="R236" s="14"/>
    </row>
    <row r="237">
      <c r="A237" s="14"/>
      <c r="B237" s="21"/>
      <c r="C237" s="14"/>
      <c r="D237" s="16"/>
      <c r="E237" s="16"/>
      <c r="F237" s="21"/>
      <c r="G237" s="21"/>
      <c r="H237" s="24"/>
      <c r="I237" s="24"/>
      <c r="J237" s="20"/>
      <c r="K237" s="20"/>
      <c r="L237" s="20"/>
      <c r="M237" s="20"/>
      <c r="N237" s="20" t="str">
        <f t="shared" si="1"/>
        <v>#</v>
      </c>
      <c r="O237" s="20"/>
      <c r="P237" s="21"/>
      <c r="Q237" s="14" t="str">
        <f t="shared" si="2"/>
        <v/>
      </c>
      <c r="R237" s="14"/>
    </row>
    <row r="238">
      <c r="A238" s="14"/>
      <c r="B238" s="21"/>
      <c r="C238" s="14"/>
      <c r="D238" s="16"/>
      <c r="E238" s="16"/>
      <c r="F238" s="21"/>
      <c r="G238" s="21"/>
      <c r="H238" s="24"/>
      <c r="I238" s="24"/>
      <c r="J238" s="20"/>
      <c r="K238" s="20"/>
      <c r="L238" s="20"/>
      <c r="M238" s="20"/>
      <c r="N238" s="20" t="str">
        <f t="shared" si="1"/>
        <v>#</v>
      </c>
      <c r="O238" s="20"/>
      <c r="P238" s="21"/>
      <c r="Q238" s="14" t="str">
        <f t="shared" si="2"/>
        <v/>
      </c>
      <c r="R238" s="14"/>
    </row>
    <row r="239">
      <c r="A239" s="14"/>
      <c r="B239" s="21"/>
      <c r="C239" s="14"/>
      <c r="D239" s="16"/>
      <c r="E239" s="16"/>
      <c r="F239" s="21"/>
      <c r="G239" s="21"/>
      <c r="H239" s="24"/>
      <c r="I239" s="24"/>
      <c r="J239" s="20"/>
      <c r="K239" s="20"/>
      <c r="L239" s="20"/>
      <c r="M239" s="20"/>
      <c r="N239" s="20" t="str">
        <f t="shared" si="1"/>
        <v>#</v>
      </c>
      <c r="O239" s="20"/>
      <c r="P239" s="21"/>
      <c r="Q239" s="14" t="str">
        <f t="shared" si="2"/>
        <v/>
      </c>
      <c r="R239" s="14"/>
    </row>
    <row r="240">
      <c r="A240" s="14"/>
      <c r="B240" s="21"/>
      <c r="C240" s="14"/>
      <c r="D240" s="16"/>
      <c r="E240" s="16"/>
      <c r="F240" s="21"/>
      <c r="G240" s="21"/>
      <c r="H240" s="24"/>
      <c r="I240" s="24"/>
      <c r="J240" s="20"/>
      <c r="K240" s="20"/>
      <c r="L240" s="20"/>
      <c r="M240" s="20"/>
      <c r="N240" s="20" t="str">
        <f t="shared" si="1"/>
        <v>#</v>
      </c>
      <c r="O240" s="20"/>
      <c r="P240" s="21"/>
      <c r="Q240" s="14" t="str">
        <f t="shared" si="2"/>
        <v/>
      </c>
      <c r="R240" s="14"/>
    </row>
    <row r="241">
      <c r="A241" s="14"/>
      <c r="B241" s="21"/>
      <c r="C241" s="14"/>
      <c r="D241" s="16"/>
      <c r="E241" s="16"/>
      <c r="F241" s="21"/>
      <c r="G241" s="21"/>
      <c r="H241" s="24"/>
      <c r="I241" s="24"/>
      <c r="J241" s="20"/>
      <c r="K241" s="20"/>
      <c r="L241" s="20"/>
      <c r="M241" s="20"/>
      <c r="N241" s="20" t="str">
        <f t="shared" si="1"/>
        <v>#</v>
      </c>
      <c r="O241" s="20"/>
      <c r="P241" s="21"/>
      <c r="Q241" s="14" t="str">
        <f t="shared" si="2"/>
        <v/>
      </c>
      <c r="R241" s="14"/>
    </row>
    <row r="242">
      <c r="A242" s="14"/>
      <c r="B242" s="21"/>
      <c r="C242" s="14"/>
      <c r="D242" s="16"/>
      <c r="E242" s="16"/>
      <c r="F242" s="21"/>
      <c r="G242" s="21"/>
      <c r="H242" s="24"/>
      <c r="I242" s="24"/>
      <c r="J242" s="20"/>
      <c r="K242" s="20"/>
      <c r="L242" s="20"/>
      <c r="M242" s="20"/>
      <c r="N242" s="20" t="str">
        <f t="shared" si="1"/>
        <v>#</v>
      </c>
      <c r="O242" s="20"/>
      <c r="P242" s="21"/>
      <c r="Q242" s="14" t="str">
        <f t="shared" si="2"/>
        <v/>
      </c>
      <c r="R242" s="14"/>
    </row>
    <row r="243">
      <c r="A243" s="14"/>
      <c r="B243" s="21"/>
      <c r="C243" s="14"/>
      <c r="D243" s="16"/>
      <c r="E243" s="16"/>
      <c r="F243" s="21"/>
      <c r="G243" s="21"/>
      <c r="H243" s="24"/>
      <c r="I243" s="24"/>
      <c r="J243" s="20"/>
      <c r="K243" s="20"/>
      <c r="L243" s="20"/>
      <c r="M243" s="20"/>
      <c r="N243" s="20" t="str">
        <f t="shared" si="1"/>
        <v>#</v>
      </c>
      <c r="O243" s="20"/>
      <c r="P243" s="21"/>
      <c r="Q243" s="14" t="str">
        <f t="shared" si="2"/>
        <v/>
      </c>
      <c r="R243" s="14"/>
    </row>
    <row r="244">
      <c r="A244" s="14"/>
      <c r="B244" s="21"/>
      <c r="C244" s="14"/>
      <c r="D244" s="16"/>
      <c r="E244" s="16"/>
      <c r="F244" s="21"/>
      <c r="G244" s="21"/>
      <c r="H244" s="24"/>
      <c r="I244" s="24"/>
      <c r="J244" s="20"/>
      <c r="K244" s="20"/>
      <c r="L244" s="20"/>
      <c r="M244" s="20"/>
      <c r="N244" s="20" t="str">
        <f t="shared" si="1"/>
        <v>#</v>
      </c>
      <c r="O244" s="20"/>
      <c r="P244" s="21"/>
      <c r="Q244" s="14" t="str">
        <f t="shared" si="2"/>
        <v/>
      </c>
      <c r="R244" s="14"/>
    </row>
    <row r="245">
      <c r="A245" s="14"/>
      <c r="B245" s="21"/>
      <c r="C245" s="14"/>
      <c r="D245" s="16"/>
      <c r="E245" s="16"/>
      <c r="F245" s="21"/>
      <c r="G245" s="21"/>
      <c r="H245" s="24"/>
      <c r="I245" s="24"/>
      <c r="J245" s="20"/>
      <c r="K245" s="20"/>
      <c r="L245" s="20"/>
      <c r="M245" s="20"/>
      <c r="N245" s="20" t="str">
        <f t="shared" si="1"/>
        <v>#</v>
      </c>
      <c r="O245" s="20"/>
      <c r="P245" s="21"/>
      <c r="Q245" s="14" t="str">
        <f t="shared" si="2"/>
        <v/>
      </c>
      <c r="R245" s="14"/>
    </row>
    <row r="246">
      <c r="A246" s="14"/>
      <c r="B246" s="21"/>
      <c r="C246" s="14"/>
      <c r="D246" s="16"/>
      <c r="E246" s="16"/>
      <c r="F246" s="21"/>
      <c r="G246" s="21"/>
      <c r="H246" s="24"/>
      <c r="I246" s="24"/>
      <c r="J246" s="20"/>
      <c r="K246" s="20"/>
      <c r="L246" s="20"/>
      <c r="M246" s="20"/>
      <c r="N246" s="20" t="str">
        <f t="shared" si="1"/>
        <v>#</v>
      </c>
      <c r="O246" s="20"/>
      <c r="P246" s="21"/>
      <c r="Q246" s="14" t="str">
        <f t="shared" si="2"/>
        <v/>
      </c>
      <c r="R246" s="14"/>
    </row>
    <row r="247">
      <c r="A247" s="14"/>
      <c r="B247" s="21"/>
      <c r="C247" s="14"/>
      <c r="D247" s="16"/>
      <c r="E247" s="16"/>
      <c r="F247" s="21"/>
      <c r="G247" s="21"/>
      <c r="H247" s="24"/>
      <c r="I247" s="24"/>
      <c r="J247" s="20"/>
      <c r="K247" s="20"/>
      <c r="L247" s="20"/>
      <c r="M247" s="20"/>
      <c r="N247" s="20" t="str">
        <f t="shared" si="1"/>
        <v>#</v>
      </c>
      <c r="O247" s="20"/>
      <c r="P247" s="21"/>
      <c r="Q247" s="14" t="str">
        <f t="shared" si="2"/>
        <v/>
      </c>
      <c r="R247" s="14"/>
    </row>
    <row r="248">
      <c r="A248" s="14"/>
      <c r="B248" s="21"/>
      <c r="C248" s="14"/>
      <c r="D248" s="16"/>
      <c r="E248" s="16"/>
      <c r="F248" s="21"/>
      <c r="G248" s="21"/>
      <c r="H248" s="24"/>
      <c r="I248" s="24"/>
      <c r="J248" s="20"/>
      <c r="K248" s="20"/>
      <c r="L248" s="20"/>
      <c r="M248" s="20"/>
      <c r="N248" s="20" t="str">
        <f t="shared" si="1"/>
        <v>#</v>
      </c>
      <c r="O248" s="20"/>
      <c r="P248" s="21"/>
      <c r="Q248" s="14" t="str">
        <f t="shared" si="2"/>
        <v/>
      </c>
      <c r="R248" s="14"/>
    </row>
    <row r="249">
      <c r="A249" s="14"/>
      <c r="B249" s="21"/>
      <c r="C249" s="14"/>
      <c r="D249" s="16"/>
      <c r="E249" s="16"/>
      <c r="F249" s="21"/>
      <c r="G249" s="21"/>
      <c r="H249" s="24"/>
      <c r="I249" s="24"/>
      <c r="J249" s="20"/>
      <c r="K249" s="20"/>
      <c r="L249" s="20"/>
      <c r="M249" s="20"/>
      <c r="N249" s="20" t="str">
        <f t="shared" si="1"/>
        <v>#</v>
      </c>
      <c r="O249" s="20"/>
      <c r="P249" s="21"/>
      <c r="Q249" s="14" t="str">
        <f t="shared" si="2"/>
        <v/>
      </c>
      <c r="R249" s="14"/>
    </row>
    <row r="250">
      <c r="A250" s="14"/>
      <c r="B250" s="21"/>
      <c r="C250" s="14"/>
      <c r="D250" s="16"/>
      <c r="E250" s="16"/>
      <c r="F250" s="21"/>
      <c r="G250" s="21"/>
      <c r="H250" s="24"/>
      <c r="I250" s="24"/>
      <c r="J250" s="20"/>
      <c r="K250" s="20"/>
      <c r="L250" s="20"/>
      <c r="M250" s="20"/>
      <c r="N250" s="20" t="str">
        <f t="shared" si="1"/>
        <v>#</v>
      </c>
      <c r="O250" s="20"/>
      <c r="P250" s="21"/>
      <c r="Q250" s="14" t="str">
        <f t="shared" si="2"/>
        <v/>
      </c>
      <c r="R250" s="14"/>
    </row>
    <row r="251">
      <c r="A251" s="14"/>
      <c r="B251" s="21"/>
      <c r="C251" s="14"/>
      <c r="D251" s="16"/>
      <c r="E251" s="16"/>
      <c r="F251" s="21"/>
      <c r="G251" s="21"/>
      <c r="H251" s="24"/>
      <c r="I251" s="24"/>
      <c r="J251" s="20"/>
      <c r="K251" s="20"/>
      <c r="L251" s="20"/>
      <c r="M251" s="20"/>
      <c r="N251" s="20" t="str">
        <f t="shared" si="1"/>
        <v>#</v>
      </c>
      <c r="O251" s="20"/>
      <c r="P251" s="21"/>
      <c r="Q251" s="14" t="str">
        <f t="shared" si="2"/>
        <v/>
      </c>
      <c r="R251" s="14"/>
    </row>
    <row r="252">
      <c r="A252" s="14"/>
      <c r="B252" s="21"/>
      <c r="C252" s="14"/>
      <c r="D252" s="16"/>
      <c r="E252" s="16"/>
      <c r="F252" s="21"/>
      <c r="G252" s="21"/>
      <c r="H252" s="24"/>
      <c r="I252" s="24"/>
      <c r="J252" s="20"/>
      <c r="K252" s="20"/>
      <c r="L252" s="20"/>
      <c r="M252" s="20"/>
      <c r="N252" s="20" t="str">
        <f t="shared" si="1"/>
        <v>#</v>
      </c>
      <c r="O252" s="20"/>
      <c r="P252" s="21"/>
      <c r="Q252" s="14" t="str">
        <f t="shared" si="2"/>
        <v/>
      </c>
      <c r="R252" s="14"/>
    </row>
    <row r="253">
      <c r="A253" s="14"/>
      <c r="B253" s="21"/>
      <c r="C253" s="14"/>
      <c r="D253" s="16"/>
      <c r="E253" s="16"/>
      <c r="F253" s="21"/>
      <c r="G253" s="21"/>
      <c r="H253" s="24"/>
      <c r="I253" s="24"/>
      <c r="J253" s="20"/>
      <c r="K253" s="20"/>
      <c r="L253" s="20"/>
      <c r="M253" s="20"/>
      <c r="N253" s="20" t="str">
        <f t="shared" si="1"/>
        <v>#</v>
      </c>
      <c r="O253" s="20"/>
      <c r="P253" s="21"/>
      <c r="Q253" s="14" t="str">
        <f t="shared" si="2"/>
        <v/>
      </c>
      <c r="R253" s="14"/>
    </row>
    <row r="254">
      <c r="A254" s="14"/>
      <c r="B254" s="21"/>
      <c r="C254" s="14"/>
      <c r="D254" s="16"/>
      <c r="E254" s="16"/>
      <c r="F254" s="21"/>
      <c r="G254" s="21"/>
      <c r="H254" s="24"/>
      <c r="I254" s="24"/>
      <c r="J254" s="20"/>
      <c r="K254" s="20"/>
      <c r="L254" s="20"/>
      <c r="M254" s="20"/>
      <c r="N254" s="20" t="str">
        <f t="shared" si="1"/>
        <v>#</v>
      </c>
      <c r="O254" s="20"/>
      <c r="P254" s="21"/>
      <c r="Q254" s="14" t="str">
        <f t="shared" si="2"/>
        <v/>
      </c>
      <c r="R254" s="14"/>
    </row>
    <row r="255">
      <c r="A255" s="14"/>
      <c r="B255" s="21"/>
      <c r="C255" s="14"/>
      <c r="D255" s="16"/>
      <c r="E255" s="16"/>
      <c r="F255" s="21"/>
      <c r="G255" s="21"/>
      <c r="H255" s="24"/>
      <c r="I255" s="24"/>
      <c r="J255" s="20"/>
      <c r="K255" s="20"/>
      <c r="L255" s="20"/>
      <c r="M255" s="20"/>
      <c r="N255" s="20" t="str">
        <f t="shared" si="1"/>
        <v>#</v>
      </c>
      <c r="O255" s="20"/>
      <c r="P255" s="21"/>
      <c r="Q255" s="14" t="str">
        <f t="shared" si="2"/>
        <v/>
      </c>
      <c r="R255" s="14"/>
    </row>
    <row r="256">
      <c r="A256" s="14"/>
      <c r="B256" s="21"/>
      <c r="C256" s="14"/>
      <c r="D256" s="16"/>
      <c r="E256" s="16"/>
      <c r="F256" s="21"/>
      <c r="G256" s="21"/>
      <c r="H256" s="24"/>
      <c r="I256" s="24"/>
      <c r="J256" s="20"/>
      <c r="K256" s="20"/>
      <c r="L256" s="20"/>
      <c r="M256" s="20"/>
      <c r="N256" s="20" t="str">
        <f t="shared" si="1"/>
        <v>#</v>
      </c>
      <c r="O256" s="20"/>
      <c r="P256" s="21"/>
      <c r="Q256" s="14" t="str">
        <f t="shared" si="2"/>
        <v/>
      </c>
      <c r="R256" s="14"/>
    </row>
    <row r="257">
      <c r="A257" s="14"/>
      <c r="B257" s="21"/>
      <c r="C257" s="14"/>
      <c r="D257" s="16"/>
      <c r="E257" s="16"/>
      <c r="F257" s="21"/>
      <c r="G257" s="21"/>
      <c r="H257" s="24"/>
      <c r="I257" s="24"/>
      <c r="J257" s="20"/>
      <c r="K257" s="20"/>
      <c r="L257" s="20"/>
      <c r="M257" s="20"/>
      <c r="N257" s="20" t="str">
        <f t="shared" si="1"/>
        <v>#</v>
      </c>
      <c r="O257" s="20"/>
      <c r="P257" s="21"/>
      <c r="Q257" s="14" t="str">
        <f t="shared" si="2"/>
        <v/>
      </c>
      <c r="R257" s="14"/>
    </row>
    <row r="258">
      <c r="A258" s="14"/>
      <c r="B258" s="21"/>
      <c r="C258" s="14"/>
      <c r="D258" s="16"/>
      <c r="E258" s="16"/>
      <c r="F258" s="21"/>
      <c r="G258" s="21"/>
      <c r="H258" s="24"/>
      <c r="I258" s="24"/>
      <c r="J258" s="20"/>
      <c r="K258" s="20"/>
      <c r="L258" s="20"/>
      <c r="M258" s="20"/>
      <c r="N258" s="20" t="str">
        <f t="shared" si="1"/>
        <v>#</v>
      </c>
      <c r="O258" s="20"/>
      <c r="P258" s="21"/>
      <c r="Q258" s="14" t="str">
        <f t="shared" si="2"/>
        <v/>
      </c>
      <c r="R258" s="14"/>
    </row>
    <row r="259">
      <c r="A259" s="14"/>
      <c r="B259" s="21"/>
      <c r="C259" s="14"/>
      <c r="D259" s="16"/>
      <c r="E259" s="16"/>
      <c r="F259" s="21"/>
      <c r="G259" s="21"/>
      <c r="H259" s="24"/>
      <c r="I259" s="24"/>
      <c r="J259" s="20"/>
      <c r="K259" s="20"/>
      <c r="L259" s="20"/>
      <c r="M259" s="20"/>
      <c r="N259" s="20" t="str">
        <f t="shared" si="1"/>
        <v>#</v>
      </c>
      <c r="O259" s="20"/>
      <c r="P259" s="21"/>
      <c r="Q259" s="14" t="str">
        <f t="shared" si="2"/>
        <v/>
      </c>
      <c r="R259" s="14"/>
    </row>
    <row r="260">
      <c r="A260" s="14"/>
      <c r="B260" s="21"/>
      <c r="C260" s="14"/>
      <c r="D260" s="16"/>
      <c r="E260" s="16"/>
      <c r="F260" s="21"/>
      <c r="G260" s="21"/>
      <c r="H260" s="24"/>
      <c r="I260" s="24"/>
      <c r="J260" s="20"/>
      <c r="K260" s="20"/>
      <c r="L260" s="20"/>
      <c r="M260" s="20"/>
      <c r="N260" s="20" t="str">
        <f t="shared" si="1"/>
        <v>#</v>
      </c>
      <c r="O260" s="20"/>
      <c r="P260" s="21"/>
      <c r="Q260" s="14" t="str">
        <f t="shared" si="2"/>
        <v/>
      </c>
      <c r="R260" s="14"/>
    </row>
    <row r="261">
      <c r="A261" s="14"/>
      <c r="B261" s="21"/>
      <c r="C261" s="14"/>
      <c r="D261" s="16"/>
      <c r="E261" s="16"/>
      <c r="F261" s="21"/>
      <c r="G261" s="21"/>
      <c r="H261" s="24"/>
      <c r="I261" s="24"/>
      <c r="J261" s="20"/>
      <c r="K261" s="20"/>
      <c r="L261" s="20"/>
      <c r="M261" s="20"/>
      <c r="N261" s="20" t="str">
        <f t="shared" si="1"/>
        <v>#</v>
      </c>
      <c r="O261" s="20"/>
      <c r="P261" s="21"/>
      <c r="Q261" s="14" t="str">
        <f t="shared" si="2"/>
        <v/>
      </c>
      <c r="R261" s="14"/>
    </row>
    <row r="262">
      <c r="A262" s="14"/>
      <c r="B262" s="21"/>
      <c r="C262" s="14"/>
      <c r="D262" s="16"/>
      <c r="E262" s="16"/>
      <c r="F262" s="21"/>
      <c r="G262" s="21"/>
      <c r="H262" s="24"/>
      <c r="I262" s="24"/>
      <c r="J262" s="20"/>
      <c r="K262" s="20"/>
      <c r="L262" s="20"/>
      <c r="M262" s="20"/>
      <c r="N262" s="20" t="str">
        <f t="shared" si="1"/>
        <v>#</v>
      </c>
      <c r="O262" s="20"/>
      <c r="P262" s="21"/>
      <c r="Q262" s="14" t="str">
        <f t="shared" si="2"/>
        <v/>
      </c>
      <c r="R262" s="14"/>
    </row>
    <row r="263">
      <c r="A263" s="14"/>
      <c r="B263" s="21"/>
      <c r="C263" s="14"/>
      <c r="D263" s="16"/>
      <c r="E263" s="16"/>
      <c r="F263" s="21"/>
      <c r="G263" s="21"/>
      <c r="H263" s="24"/>
      <c r="I263" s="24"/>
      <c r="J263" s="20"/>
      <c r="K263" s="20"/>
      <c r="L263" s="20"/>
      <c r="M263" s="20"/>
      <c r="N263" s="20" t="str">
        <f t="shared" si="1"/>
        <v>#</v>
      </c>
      <c r="O263" s="20"/>
      <c r="P263" s="21"/>
      <c r="Q263" s="14" t="str">
        <f t="shared" si="2"/>
        <v/>
      </c>
      <c r="R263" s="14"/>
    </row>
    <row r="264">
      <c r="A264" s="14"/>
      <c r="B264" s="21"/>
      <c r="C264" s="14"/>
      <c r="D264" s="16"/>
      <c r="E264" s="16"/>
      <c r="F264" s="21"/>
      <c r="G264" s="21"/>
      <c r="H264" s="24"/>
      <c r="I264" s="24"/>
      <c r="J264" s="20"/>
      <c r="K264" s="20"/>
      <c r="L264" s="20"/>
      <c r="M264" s="20"/>
      <c r="N264" s="20" t="str">
        <f t="shared" si="1"/>
        <v>#</v>
      </c>
      <c r="O264" s="20"/>
      <c r="P264" s="21"/>
      <c r="Q264" s="14" t="str">
        <f t="shared" si="2"/>
        <v/>
      </c>
      <c r="R264" s="14"/>
    </row>
    <row r="265">
      <c r="A265" s="14"/>
      <c r="B265" s="21"/>
      <c r="C265" s="14"/>
      <c r="D265" s="16"/>
      <c r="E265" s="16"/>
      <c r="F265" s="21"/>
      <c r="G265" s="21"/>
      <c r="H265" s="24"/>
      <c r="I265" s="24"/>
      <c r="J265" s="20"/>
      <c r="K265" s="20"/>
      <c r="L265" s="20"/>
      <c r="M265" s="20"/>
      <c r="N265" s="20" t="str">
        <f t="shared" si="1"/>
        <v>#</v>
      </c>
      <c r="O265" s="20"/>
      <c r="P265" s="21"/>
      <c r="Q265" s="14" t="str">
        <f t="shared" si="2"/>
        <v/>
      </c>
      <c r="R265" s="14"/>
    </row>
    <row r="266">
      <c r="A266" s="14"/>
      <c r="B266" s="21"/>
      <c r="C266" s="14"/>
      <c r="D266" s="16"/>
      <c r="E266" s="16"/>
      <c r="F266" s="21"/>
      <c r="G266" s="21"/>
      <c r="H266" s="24"/>
      <c r="I266" s="24"/>
      <c r="J266" s="20"/>
      <c r="K266" s="20"/>
      <c r="L266" s="20"/>
      <c r="M266" s="20"/>
      <c r="N266" s="20" t="str">
        <f t="shared" si="1"/>
        <v>#</v>
      </c>
      <c r="O266" s="20"/>
      <c r="P266" s="21"/>
      <c r="Q266" s="14" t="str">
        <f t="shared" si="2"/>
        <v/>
      </c>
      <c r="R266" s="14"/>
    </row>
    <row r="267">
      <c r="A267" s="14"/>
      <c r="B267" s="21"/>
      <c r="C267" s="14"/>
      <c r="D267" s="16"/>
      <c r="E267" s="16"/>
      <c r="F267" s="21"/>
      <c r="G267" s="21"/>
      <c r="H267" s="24"/>
      <c r="I267" s="24"/>
      <c r="J267" s="20"/>
      <c r="K267" s="20"/>
      <c r="L267" s="20"/>
      <c r="M267" s="20"/>
      <c r="N267" s="20" t="str">
        <f t="shared" si="1"/>
        <v>#</v>
      </c>
      <c r="O267" s="20"/>
      <c r="P267" s="21"/>
      <c r="Q267" s="14" t="str">
        <f t="shared" si="2"/>
        <v/>
      </c>
      <c r="R267" s="14"/>
    </row>
    <row r="268">
      <c r="A268" s="14"/>
      <c r="B268" s="21"/>
      <c r="C268" s="14"/>
      <c r="D268" s="16"/>
      <c r="E268" s="16"/>
      <c r="F268" s="21"/>
      <c r="G268" s="21"/>
      <c r="H268" s="24"/>
      <c r="I268" s="24"/>
      <c r="J268" s="20"/>
      <c r="K268" s="20"/>
      <c r="L268" s="20"/>
      <c r="M268" s="20"/>
      <c r="N268" s="20" t="str">
        <f t="shared" si="1"/>
        <v>#</v>
      </c>
      <c r="O268" s="20"/>
      <c r="P268" s="21"/>
      <c r="Q268" s="14" t="str">
        <f t="shared" si="2"/>
        <v/>
      </c>
      <c r="R268" s="14"/>
    </row>
    <row r="269">
      <c r="A269" s="14"/>
      <c r="B269" s="21"/>
      <c r="C269" s="14"/>
      <c r="D269" s="16"/>
      <c r="E269" s="16"/>
      <c r="F269" s="21"/>
      <c r="G269" s="21"/>
      <c r="H269" s="24"/>
      <c r="I269" s="24"/>
      <c r="J269" s="20"/>
      <c r="K269" s="20"/>
      <c r="L269" s="20"/>
      <c r="M269" s="20"/>
      <c r="N269" s="20" t="str">
        <f t="shared" si="1"/>
        <v>#</v>
      </c>
      <c r="O269" s="20"/>
      <c r="P269" s="21"/>
      <c r="Q269" s="14" t="str">
        <f t="shared" si="2"/>
        <v/>
      </c>
      <c r="R269" s="14"/>
    </row>
    <row r="270">
      <c r="A270" s="14"/>
      <c r="B270" s="21"/>
      <c r="C270" s="14"/>
      <c r="D270" s="16"/>
      <c r="E270" s="16"/>
      <c r="F270" s="21"/>
      <c r="G270" s="21"/>
      <c r="H270" s="24"/>
      <c r="I270" s="24"/>
      <c r="J270" s="20"/>
      <c r="K270" s="20"/>
      <c r="L270" s="20"/>
      <c r="M270" s="20"/>
      <c r="N270" s="20" t="str">
        <f t="shared" si="1"/>
        <v>#</v>
      </c>
      <c r="O270" s="20"/>
      <c r="P270" s="21"/>
      <c r="Q270" s="14" t="str">
        <f t="shared" si="2"/>
        <v/>
      </c>
      <c r="R270" s="14"/>
    </row>
    <row r="271">
      <c r="A271" s="14"/>
      <c r="B271" s="21"/>
      <c r="C271" s="14"/>
      <c r="D271" s="16"/>
      <c r="E271" s="16"/>
      <c r="F271" s="21"/>
      <c r="G271" s="21"/>
      <c r="H271" s="24"/>
      <c r="I271" s="24"/>
      <c r="J271" s="20"/>
      <c r="K271" s="20"/>
      <c r="L271" s="20"/>
      <c r="M271" s="20"/>
      <c r="N271" s="20" t="str">
        <f t="shared" si="1"/>
        <v>#</v>
      </c>
      <c r="O271" s="20"/>
      <c r="P271" s="21"/>
      <c r="Q271" s="14" t="str">
        <f t="shared" si="2"/>
        <v/>
      </c>
      <c r="R271" s="14"/>
    </row>
    <row r="272">
      <c r="A272" s="14"/>
      <c r="B272" s="21"/>
      <c r="C272" s="14"/>
      <c r="D272" s="16"/>
      <c r="E272" s="16"/>
      <c r="F272" s="21"/>
      <c r="G272" s="21"/>
      <c r="H272" s="24"/>
      <c r="I272" s="24"/>
      <c r="J272" s="20"/>
      <c r="K272" s="20"/>
      <c r="L272" s="20"/>
      <c r="M272" s="20"/>
      <c r="N272" s="20" t="str">
        <f t="shared" si="1"/>
        <v>#</v>
      </c>
      <c r="O272" s="20"/>
      <c r="P272" s="21"/>
      <c r="Q272" s="14" t="str">
        <f t="shared" si="2"/>
        <v/>
      </c>
      <c r="R272" s="14"/>
    </row>
    <row r="273">
      <c r="A273" s="14"/>
      <c r="B273" s="21"/>
      <c r="C273" s="14"/>
      <c r="D273" s="16"/>
      <c r="E273" s="16"/>
      <c r="F273" s="21"/>
      <c r="G273" s="21"/>
      <c r="H273" s="24"/>
      <c r="I273" s="24"/>
      <c r="J273" s="20"/>
      <c r="K273" s="20"/>
      <c r="L273" s="20"/>
      <c r="M273" s="20"/>
      <c r="N273" s="20" t="str">
        <f t="shared" si="1"/>
        <v>#</v>
      </c>
      <c r="O273" s="20"/>
      <c r="P273" s="21"/>
      <c r="Q273" s="14" t="str">
        <f t="shared" si="2"/>
        <v/>
      </c>
      <c r="R273" s="14"/>
    </row>
    <row r="274">
      <c r="A274" s="14"/>
      <c r="B274" s="21"/>
      <c r="C274" s="14"/>
      <c r="D274" s="16"/>
      <c r="E274" s="16"/>
      <c r="F274" s="21"/>
      <c r="G274" s="21"/>
      <c r="H274" s="24"/>
      <c r="I274" s="24"/>
      <c r="J274" s="20"/>
      <c r="K274" s="20"/>
      <c r="L274" s="20"/>
      <c r="M274" s="20"/>
      <c r="N274" s="20" t="str">
        <f t="shared" si="1"/>
        <v>#</v>
      </c>
      <c r="O274" s="20"/>
      <c r="P274" s="21"/>
      <c r="Q274" s="14" t="str">
        <f t="shared" si="2"/>
        <v/>
      </c>
      <c r="R274" s="14"/>
    </row>
    <row r="275">
      <c r="A275" s="14"/>
      <c r="B275" s="21"/>
      <c r="C275" s="14"/>
      <c r="D275" s="16"/>
      <c r="E275" s="16"/>
      <c r="F275" s="21"/>
      <c r="G275" s="21"/>
      <c r="H275" s="24"/>
      <c r="I275" s="24"/>
      <c r="J275" s="20"/>
      <c r="K275" s="20"/>
      <c r="L275" s="20"/>
      <c r="M275" s="20"/>
      <c r="N275" s="20" t="str">
        <f t="shared" si="1"/>
        <v>#</v>
      </c>
      <c r="O275" s="20"/>
      <c r="P275" s="21"/>
      <c r="Q275" s="14" t="str">
        <f t="shared" si="2"/>
        <v/>
      </c>
      <c r="R275" s="14"/>
    </row>
    <row r="276">
      <c r="A276" s="14"/>
      <c r="B276" s="21"/>
      <c r="C276" s="14"/>
      <c r="D276" s="16"/>
      <c r="E276" s="16"/>
      <c r="F276" s="21"/>
      <c r="G276" s="21"/>
      <c r="H276" s="24"/>
      <c r="I276" s="24"/>
      <c r="J276" s="20"/>
      <c r="K276" s="20"/>
      <c r="L276" s="20"/>
      <c r="M276" s="20"/>
      <c r="N276" s="20" t="str">
        <f t="shared" si="1"/>
        <v>#</v>
      </c>
      <c r="O276" s="20"/>
      <c r="P276" s="21"/>
      <c r="Q276" s="14" t="str">
        <f t="shared" si="2"/>
        <v/>
      </c>
      <c r="R276" s="14"/>
    </row>
    <row r="277">
      <c r="A277" s="14"/>
      <c r="B277" s="21"/>
      <c r="C277" s="14"/>
      <c r="D277" s="16"/>
      <c r="E277" s="16"/>
      <c r="F277" s="21"/>
      <c r="G277" s="21"/>
      <c r="H277" s="24"/>
      <c r="I277" s="24"/>
      <c r="J277" s="20"/>
      <c r="K277" s="20"/>
      <c r="L277" s="20"/>
      <c r="M277" s="20"/>
      <c r="N277" s="20" t="str">
        <f t="shared" si="1"/>
        <v>#</v>
      </c>
      <c r="O277" s="20"/>
      <c r="P277" s="21"/>
      <c r="Q277" s="14" t="str">
        <f t="shared" si="2"/>
        <v/>
      </c>
      <c r="R277" s="14"/>
    </row>
    <row r="278">
      <c r="A278" s="14"/>
      <c r="B278" s="21"/>
      <c r="C278" s="14"/>
      <c r="D278" s="16"/>
      <c r="E278" s="16"/>
      <c r="F278" s="21"/>
      <c r="G278" s="21"/>
      <c r="H278" s="24"/>
      <c r="I278" s="24"/>
      <c r="J278" s="20"/>
      <c r="K278" s="20"/>
      <c r="L278" s="20"/>
      <c r="M278" s="20"/>
      <c r="N278" s="20" t="str">
        <f t="shared" si="1"/>
        <v>#</v>
      </c>
      <c r="O278" s="20"/>
      <c r="P278" s="21"/>
      <c r="Q278" s="14" t="str">
        <f t="shared" si="2"/>
        <v/>
      </c>
      <c r="R278" s="14"/>
    </row>
    <row r="279">
      <c r="A279" s="14"/>
      <c r="B279" s="21"/>
      <c r="C279" s="14"/>
      <c r="D279" s="16"/>
      <c r="E279" s="16"/>
      <c r="F279" s="21"/>
      <c r="G279" s="21"/>
      <c r="H279" s="24"/>
      <c r="I279" s="24"/>
      <c r="J279" s="20"/>
      <c r="K279" s="20"/>
      <c r="L279" s="20"/>
      <c r="M279" s="20"/>
      <c r="N279" s="20" t="str">
        <f t="shared" si="1"/>
        <v>#</v>
      </c>
      <c r="O279" s="20"/>
      <c r="P279" s="21"/>
      <c r="Q279" s="14" t="str">
        <f t="shared" si="2"/>
        <v/>
      </c>
      <c r="R279" s="14"/>
    </row>
    <row r="280">
      <c r="A280" s="14"/>
      <c r="B280" s="21"/>
      <c r="C280" s="14"/>
      <c r="D280" s="16"/>
      <c r="E280" s="16"/>
      <c r="F280" s="21"/>
      <c r="G280" s="21"/>
      <c r="H280" s="24"/>
      <c r="I280" s="24"/>
      <c r="J280" s="20"/>
      <c r="K280" s="20"/>
      <c r="L280" s="20"/>
      <c r="M280" s="20"/>
      <c r="N280" s="20" t="str">
        <f t="shared" si="1"/>
        <v>#</v>
      </c>
      <c r="O280" s="20"/>
      <c r="P280" s="21"/>
      <c r="Q280" s="14" t="str">
        <f t="shared" si="2"/>
        <v/>
      </c>
      <c r="R280" s="14"/>
    </row>
    <row r="281">
      <c r="A281" s="14"/>
      <c r="B281" s="21"/>
      <c r="C281" s="14"/>
      <c r="D281" s="16"/>
      <c r="E281" s="16"/>
      <c r="F281" s="21"/>
      <c r="G281" s="21"/>
      <c r="H281" s="24"/>
      <c r="I281" s="24"/>
      <c r="J281" s="20"/>
      <c r="K281" s="20"/>
      <c r="L281" s="20"/>
      <c r="M281" s="20"/>
      <c r="N281" s="20" t="str">
        <f t="shared" si="1"/>
        <v>#</v>
      </c>
      <c r="O281" s="20"/>
      <c r="P281" s="21"/>
      <c r="Q281" s="14" t="str">
        <f t="shared" si="2"/>
        <v/>
      </c>
      <c r="R281" s="14"/>
    </row>
    <row r="282">
      <c r="A282" s="14"/>
      <c r="B282" s="21"/>
      <c r="C282" s="14"/>
      <c r="D282" s="16"/>
      <c r="E282" s="16"/>
      <c r="F282" s="21"/>
      <c r="G282" s="21"/>
      <c r="H282" s="24"/>
      <c r="I282" s="24"/>
      <c r="J282" s="20"/>
      <c r="K282" s="20"/>
      <c r="L282" s="20"/>
      <c r="M282" s="20"/>
      <c r="N282" s="20" t="str">
        <f t="shared" si="1"/>
        <v>#</v>
      </c>
      <c r="O282" s="20"/>
      <c r="P282" s="21"/>
      <c r="Q282" s="14" t="str">
        <f t="shared" si="2"/>
        <v/>
      </c>
      <c r="R282" s="14"/>
    </row>
    <row r="283">
      <c r="A283" s="14"/>
      <c r="B283" s="21"/>
      <c r="C283" s="14"/>
      <c r="D283" s="16"/>
      <c r="E283" s="16"/>
      <c r="F283" s="21"/>
      <c r="G283" s="21"/>
      <c r="H283" s="24"/>
      <c r="I283" s="24"/>
      <c r="J283" s="20"/>
      <c r="K283" s="20"/>
      <c r="L283" s="20"/>
      <c r="M283" s="20"/>
      <c r="N283" s="20" t="str">
        <f t="shared" si="1"/>
        <v>#</v>
      </c>
      <c r="O283" s="20"/>
      <c r="P283" s="21"/>
      <c r="Q283" s="14" t="str">
        <f t="shared" si="2"/>
        <v/>
      </c>
      <c r="R283" s="14"/>
    </row>
    <row r="284">
      <c r="A284" s="14"/>
      <c r="B284" s="21"/>
      <c r="C284" s="14"/>
      <c r="D284" s="16"/>
      <c r="E284" s="16"/>
      <c r="F284" s="21"/>
      <c r="G284" s="21"/>
      <c r="H284" s="24"/>
      <c r="I284" s="24"/>
      <c r="J284" s="20"/>
      <c r="K284" s="20"/>
      <c r="L284" s="20"/>
      <c r="M284" s="20"/>
      <c r="N284" s="20" t="str">
        <f t="shared" si="1"/>
        <v>#</v>
      </c>
      <c r="O284" s="20"/>
      <c r="P284" s="21"/>
      <c r="Q284" s="14" t="str">
        <f t="shared" si="2"/>
        <v/>
      </c>
      <c r="R284" s="14"/>
    </row>
    <row r="285">
      <c r="A285" s="14"/>
      <c r="B285" s="21"/>
      <c r="C285" s="14"/>
      <c r="D285" s="16"/>
      <c r="E285" s="16"/>
      <c r="F285" s="21"/>
      <c r="G285" s="21"/>
      <c r="H285" s="24"/>
      <c r="I285" s="24"/>
      <c r="J285" s="20"/>
      <c r="K285" s="20"/>
      <c r="L285" s="20"/>
      <c r="M285" s="20"/>
      <c r="N285" s="20" t="str">
        <f t="shared" si="1"/>
        <v>#</v>
      </c>
      <c r="O285" s="20"/>
      <c r="P285" s="21"/>
      <c r="Q285" s="14" t="str">
        <f t="shared" si="2"/>
        <v/>
      </c>
      <c r="R285" s="14"/>
    </row>
    <row r="286">
      <c r="A286" s="14"/>
      <c r="B286" s="21"/>
      <c r="C286" s="14"/>
      <c r="D286" s="16"/>
      <c r="E286" s="16"/>
      <c r="F286" s="21"/>
      <c r="G286" s="21"/>
      <c r="H286" s="24"/>
      <c r="I286" s="24"/>
      <c r="J286" s="20"/>
      <c r="K286" s="20"/>
      <c r="L286" s="20"/>
      <c r="M286" s="20"/>
      <c r="N286" s="20" t="str">
        <f t="shared" si="1"/>
        <v>#</v>
      </c>
      <c r="O286" s="20"/>
      <c r="P286" s="21"/>
      <c r="Q286" s="14" t="str">
        <f t="shared" si="2"/>
        <v/>
      </c>
      <c r="R286" s="14"/>
    </row>
    <row r="287">
      <c r="A287" s="14"/>
      <c r="B287" s="21"/>
      <c r="C287" s="14"/>
      <c r="D287" s="16"/>
      <c r="E287" s="16"/>
      <c r="F287" s="21"/>
      <c r="G287" s="21"/>
      <c r="H287" s="24"/>
      <c r="I287" s="24"/>
      <c r="J287" s="20"/>
      <c r="K287" s="20"/>
      <c r="L287" s="20"/>
      <c r="M287" s="20"/>
      <c r="N287" s="20" t="str">
        <f t="shared" si="1"/>
        <v>#</v>
      </c>
      <c r="O287" s="20"/>
      <c r="P287" s="21"/>
      <c r="Q287" s="14" t="str">
        <f t="shared" si="2"/>
        <v/>
      </c>
      <c r="R287" s="14"/>
    </row>
    <row r="288">
      <c r="A288" s="14"/>
      <c r="B288" s="21"/>
      <c r="C288" s="14"/>
      <c r="D288" s="16"/>
      <c r="E288" s="16"/>
      <c r="F288" s="21"/>
      <c r="G288" s="21"/>
      <c r="H288" s="24"/>
      <c r="I288" s="24"/>
      <c r="J288" s="20"/>
      <c r="K288" s="20"/>
      <c r="L288" s="20"/>
      <c r="M288" s="20"/>
      <c r="N288" s="20" t="str">
        <f t="shared" si="1"/>
        <v>#</v>
      </c>
      <c r="O288" s="20"/>
      <c r="P288" s="21"/>
      <c r="Q288" s="14" t="str">
        <f t="shared" si="2"/>
        <v/>
      </c>
      <c r="R288" s="14"/>
    </row>
    <row r="289">
      <c r="A289" s="14"/>
      <c r="B289" s="21"/>
      <c r="C289" s="14"/>
      <c r="D289" s="16"/>
      <c r="E289" s="16"/>
      <c r="F289" s="21"/>
      <c r="G289" s="21"/>
      <c r="H289" s="24"/>
      <c r="I289" s="24"/>
      <c r="J289" s="20"/>
      <c r="K289" s="20"/>
      <c r="L289" s="20"/>
      <c r="M289" s="20"/>
      <c r="N289" s="20" t="str">
        <f t="shared" si="1"/>
        <v>#</v>
      </c>
      <c r="O289" s="20"/>
      <c r="P289" s="21"/>
      <c r="Q289" s="14" t="str">
        <f t="shared" si="2"/>
        <v/>
      </c>
      <c r="R289" s="14"/>
    </row>
    <row r="290">
      <c r="A290" s="14"/>
      <c r="B290" s="21"/>
      <c r="C290" s="14"/>
      <c r="D290" s="16"/>
      <c r="E290" s="16"/>
      <c r="F290" s="21"/>
      <c r="G290" s="21"/>
      <c r="H290" s="24"/>
      <c r="I290" s="24"/>
      <c r="J290" s="20"/>
      <c r="K290" s="20"/>
      <c r="L290" s="20"/>
      <c r="M290" s="20"/>
      <c r="N290" s="20" t="str">
        <f t="shared" si="1"/>
        <v>#</v>
      </c>
      <c r="O290" s="20"/>
      <c r="P290" s="21"/>
      <c r="Q290" s="14" t="str">
        <f t="shared" si="2"/>
        <v/>
      </c>
      <c r="R290" s="14"/>
    </row>
    <row r="291">
      <c r="A291" s="14"/>
      <c r="B291" s="21"/>
      <c r="C291" s="14"/>
      <c r="D291" s="16"/>
      <c r="E291" s="16"/>
      <c r="F291" s="21"/>
      <c r="G291" s="21"/>
      <c r="H291" s="24"/>
      <c r="I291" s="24"/>
      <c r="J291" s="20"/>
      <c r="K291" s="20"/>
      <c r="L291" s="20"/>
      <c r="M291" s="20"/>
      <c r="N291" s="20" t="str">
        <f t="shared" si="1"/>
        <v>#</v>
      </c>
      <c r="O291" s="20"/>
      <c r="P291" s="21"/>
      <c r="Q291" s="14" t="str">
        <f t="shared" si="2"/>
        <v/>
      </c>
      <c r="R291" s="14"/>
    </row>
    <row r="292">
      <c r="A292" s="14"/>
      <c r="B292" s="21"/>
      <c r="C292" s="14"/>
      <c r="D292" s="16"/>
      <c r="E292" s="16"/>
      <c r="F292" s="21"/>
      <c r="G292" s="21"/>
      <c r="H292" s="24"/>
      <c r="I292" s="24"/>
      <c r="J292" s="20"/>
      <c r="K292" s="20"/>
      <c r="L292" s="20"/>
      <c r="M292" s="20"/>
      <c r="N292" s="20" t="str">
        <f t="shared" si="1"/>
        <v>#</v>
      </c>
      <c r="O292" s="20"/>
      <c r="P292" s="21"/>
      <c r="Q292" s="14" t="str">
        <f t="shared" si="2"/>
        <v/>
      </c>
      <c r="R292" s="14"/>
    </row>
    <row r="293">
      <c r="A293" s="14"/>
      <c r="B293" s="21"/>
      <c r="C293" s="14"/>
      <c r="D293" s="16"/>
      <c r="E293" s="16"/>
      <c r="F293" s="21"/>
      <c r="G293" s="21"/>
      <c r="H293" s="24"/>
      <c r="I293" s="24"/>
      <c r="J293" s="20"/>
      <c r="K293" s="20"/>
      <c r="L293" s="20"/>
      <c r="M293" s="20"/>
      <c r="N293" s="20" t="str">
        <f t="shared" si="1"/>
        <v>#</v>
      </c>
      <c r="O293" s="20"/>
      <c r="P293" s="21"/>
      <c r="Q293" s="14" t="str">
        <f t="shared" si="2"/>
        <v/>
      </c>
      <c r="R293" s="14"/>
    </row>
    <row r="294">
      <c r="A294" s="14"/>
      <c r="B294" s="21"/>
      <c r="C294" s="14"/>
      <c r="D294" s="16"/>
      <c r="E294" s="16"/>
      <c r="F294" s="21"/>
      <c r="G294" s="21"/>
      <c r="H294" s="24"/>
      <c r="I294" s="24"/>
      <c r="J294" s="20"/>
      <c r="K294" s="20"/>
      <c r="L294" s="20"/>
      <c r="M294" s="20"/>
      <c r="N294" s="20" t="str">
        <f t="shared" si="1"/>
        <v>#</v>
      </c>
      <c r="O294" s="20"/>
      <c r="P294" s="21"/>
      <c r="Q294" s="14" t="str">
        <f t="shared" si="2"/>
        <v/>
      </c>
      <c r="R294" s="14"/>
    </row>
    <row r="295">
      <c r="A295" s="14"/>
      <c r="B295" s="21"/>
      <c r="C295" s="14"/>
      <c r="D295" s="16"/>
      <c r="E295" s="16"/>
      <c r="F295" s="21"/>
      <c r="G295" s="21"/>
      <c r="H295" s="24"/>
      <c r="I295" s="24"/>
      <c r="J295" s="20"/>
      <c r="K295" s="20"/>
      <c r="L295" s="20"/>
      <c r="M295" s="20"/>
      <c r="N295" s="20" t="str">
        <f t="shared" si="1"/>
        <v>#</v>
      </c>
      <c r="O295" s="20"/>
      <c r="P295" s="21"/>
      <c r="Q295" s="14" t="str">
        <f t="shared" si="2"/>
        <v/>
      </c>
      <c r="R295" s="14"/>
    </row>
    <row r="296">
      <c r="A296" s="14"/>
      <c r="B296" s="21"/>
      <c r="C296" s="14"/>
      <c r="D296" s="16"/>
      <c r="E296" s="16"/>
      <c r="F296" s="21"/>
      <c r="G296" s="21"/>
      <c r="H296" s="24"/>
      <c r="I296" s="24"/>
      <c r="J296" s="20"/>
      <c r="K296" s="20"/>
      <c r="L296" s="20"/>
      <c r="M296" s="20"/>
      <c r="N296" s="20" t="str">
        <f t="shared" si="1"/>
        <v>#</v>
      </c>
      <c r="O296" s="20"/>
      <c r="P296" s="21"/>
      <c r="Q296" s="14" t="str">
        <f t="shared" si="2"/>
        <v/>
      </c>
      <c r="R296" s="14"/>
    </row>
    <row r="297">
      <c r="A297" s="14"/>
      <c r="B297" s="21"/>
      <c r="C297" s="14"/>
      <c r="D297" s="16"/>
      <c r="E297" s="16"/>
      <c r="F297" s="21"/>
      <c r="G297" s="21"/>
      <c r="H297" s="24"/>
      <c r="I297" s="24"/>
      <c r="J297" s="20"/>
      <c r="K297" s="20"/>
      <c r="L297" s="20"/>
      <c r="M297" s="20"/>
      <c r="N297" s="20" t="str">
        <f t="shared" si="1"/>
        <v>#</v>
      </c>
      <c r="O297" s="20"/>
      <c r="P297" s="21"/>
      <c r="Q297" s="14" t="str">
        <f t="shared" si="2"/>
        <v/>
      </c>
      <c r="R297" s="14"/>
    </row>
    <row r="298">
      <c r="A298" s="14"/>
      <c r="B298" s="21"/>
      <c r="C298" s="14"/>
      <c r="D298" s="16"/>
      <c r="E298" s="16"/>
      <c r="F298" s="21"/>
      <c r="G298" s="21"/>
      <c r="H298" s="24"/>
      <c r="I298" s="24"/>
      <c r="J298" s="20"/>
      <c r="K298" s="20"/>
      <c r="L298" s="20"/>
      <c r="M298" s="20"/>
      <c r="N298" s="20" t="str">
        <f t="shared" si="1"/>
        <v>#</v>
      </c>
      <c r="O298" s="20"/>
      <c r="P298" s="21"/>
      <c r="Q298" s="14" t="str">
        <f t="shared" si="2"/>
        <v/>
      </c>
      <c r="R298" s="14"/>
    </row>
    <row r="299">
      <c r="A299" s="14"/>
      <c r="B299" s="21"/>
      <c r="C299" s="14"/>
      <c r="D299" s="16"/>
      <c r="E299" s="16"/>
      <c r="F299" s="21"/>
      <c r="G299" s="21"/>
      <c r="H299" s="24"/>
      <c r="I299" s="24"/>
      <c r="J299" s="20"/>
      <c r="K299" s="20"/>
      <c r="L299" s="20"/>
      <c r="M299" s="20"/>
      <c r="N299" s="20" t="str">
        <f t="shared" si="1"/>
        <v>#</v>
      </c>
      <c r="O299" s="20"/>
      <c r="P299" s="21"/>
      <c r="Q299" s="14" t="str">
        <f t="shared" si="2"/>
        <v/>
      </c>
      <c r="R299" s="14"/>
    </row>
    <row r="300">
      <c r="A300" s="14"/>
      <c r="B300" s="21"/>
      <c r="C300" s="14"/>
      <c r="D300" s="16"/>
      <c r="E300" s="16"/>
      <c r="F300" s="21"/>
      <c r="G300" s="21"/>
      <c r="H300" s="24"/>
      <c r="I300" s="24"/>
      <c r="J300" s="20"/>
      <c r="K300" s="20"/>
      <c r="L300" s="20"/>
      <c r="M300" s="20"/>
      <c r="N300" s="20" t="str">
        <f t="shared" si="1"/>
        <v>#</v>
      </c>
      <c r="O300" s="20"/>
      <c r="P300" s="21"/>
      <c r="Q300" s="14" t="str">
        <f t="shared" si="2"/>
        <v/>
      </c>
      <c r="R300" s="14"/>
    </row>
    <row r="301">
      <c r="A301" s="14"/>
      <c r="B301" s="21"/>
      <c r="C301" s="14"/>
      <c r="D301" s="16"/>
      <c r="E301" s="16"/>
      <c r="F301" s="21"/>
      <c r="G301" s="21"/>
      <c r="H301" s="24"/>
      <c r="I301" s="24"/>
      <c r="J301" s="20"/>
      <c r="K301" s="20"/>
      <c r="L301" s="20"/>
      <c r="M301" s="20"/>
      <c r="N301" s="20" t="str">
        <f t="shared" si="1"/>
        <v>#</v>
      </c>
      <c r="O301" s="20"/>
      <c r="P301" s="21"/>
      <c r="Q301" s="14" t="str">
        <f t="shared" si="2"/>
        <v/>
      </c>
      <c r="R301" s="14"/>
    </row>
    <row r="302">
      <c r="A302" s="14"/>
      <c r="B302" s="21"/>
      <c r="C302" s="14"/>
      <c r="D302" s="16"/>
      <c r="E302" s="16"/>
      <c r="F302" s="21"/>
      <c r="G302" s="21"/>
      <c r="H302" s="24"/>
      <c r="I302" s="24"/>
      <c r="J302" s="20"/>
      <c r="K302" s="20"/>
      <c r="L302" s="20"/>
      <c r="M302" s="20"/>
      <c r="N302" s="20" t="str">
        <f t="shared" si="1"/>
        <v>#</v>
      </c>
      <c r="O302" s="20"/>
      <c r="P302" s="21"/>
      <c r="Q302" s="14" t="str">
        <f t="shared" si="2"/>
        <v/>
      </c>
      <c r="R302" s="14"/>
    </row>
    <row r="303">
      <c r="A303" s="14"/>
      <c r="B303" s="21"/>
      <c r="C303" s="14"/>
      <c r="D303" s="16"/>
      <c r="E303" s="16"/>
      <c r="F303" s="21"/>
      <c r="G303" s="21"/>
      <c r="H303" s="24"/>
      <c r="I303" s="24"/>
      <c r="J303" s="20"/>
      <c r="K303" s="20"/>
      <c r="L303" s="20"/>
      <c r="M303" s="20"/>
      <c r="N303" s="20" t="str">
        <f t="shared" si="1"/>
        <v>#</v>
      </c>
      <c r="O303" s="20"/>
      <c r="P303" s="21"/>
      <c r="Q303" s="14" t="str">
        <f t="shared" si="2"/>
        <v/>
      </c>
      <c r="R303" s="14"/>
    </row>
    <row r="304">
      <c r="A304" s="14"/>
      <c r="B304" s="21"/>
      <c r="C304" s="14"/>
      <c r="D304" s="16"/>
      <c r="E304" s="16"/>
      <c r="F304" s="21"/>
      <c r="G304" s="21"/>
      <c r="H304" s="24"/>
      <c r="I304" s="24"/>
      <c r="J304" s="20"/>
      <c r="K304" s="20"/>
      <c r="L304" s="20"/>
      <c r="M304" s="20"/>
      <c r="N304" s="20" t="str">
        <f t="shared" si="1"/>
        <v>#</v>
      </c>
      <c r="O304" s="20"/>
      <c r="P304" s="21"/>
      <c r="Q304" s="14" t="str">
        <f t="shared" si="2"/>
        <v/>
      </c>
      <c r="R304" s="14"/>
    </row>
    <row r="305">
      <c r="A305" s="14"/>
      <c r="B305" s="21"/>
      <c r="C305" s="14"/>
      <c r="D305" s="16"/>
      <c r="E305" s="16"/>
      <c r="F305" s="21"/>
      <c r="G305" s="21"/>
      <c r="H305" s="24"/>
      <c r="I305" s="24"/>
      <c r="J305" s="20"/>
      <c r="K305" s="20"/>
      <c r="L305" s="20"/>
      <c r="M305" s="20"/>
      <c r="N305" s="20" t="str">
        <f t="shared" si="1"/>
        <v>#</v>
      </c>
      <c r="O305" s="20"/>
      <c r="P305" s="21"/>
      <c r="Q305" s="14" t="str">
        <f t="shared" si="2"/>
        <v/>
      </c>
      <c r="R305" s="14"/>
    </row>
    <row r="306">
      <c r="A306" s="14"/>
      <c r="B306" s="21"/>
      <c r="C306" s="14"/>
      <c r="D306" s="16"/>
      <c r="E306" s="16"/>
      <c r="F306" s="21"/>
      <c r="G306" s="21"/>
      <c r="H306" s="24"/>
      <c r="I306" s="24"/>
      <c r="J306" s="20"/>
      <c r="K306" s="20"/>
      <c r="L306" s="20"/>
      <c r="M306" s="20"/>
      <c r="N306" s="20" t="str">
        <f t="shared" si="1"/>
        <v>#</v>
      </c>
      <c r="O306" s="20"/>
      <c r="P306" s="21"/>
      <c r="Q306" s="14" t="str">
        <f t="shared" si="2"/>
        <v/>
      </c>
      <c r="R306" s="14"/>
    </row>
    <row r="307">
      <c r="A307" s="14"/>
      <c r="B307" s="21"/>
      <c r="C307" s="14"/>
      <c r="D307" s="16"/>
      <c r="E307" s="16"/>
      <c r="F307" s="21"/>
      <c r="G307" s="21"/>
      <c r="H307" s="24"/>
      <c r="I307" s="24"/>
      <c r="J307" s="20"/>
      <c r="K307" s="20"/>
      <c r="L307" s="20"/>
      <c r="M307" s="20"/>
      <c r="N307" s="20" t="str">
        <f t="shared" si="1"/>
        <v>#</v>
      </c>
      <c r="O307" s="20"/>
      <c r="P307" s="21"/>
      <c r="Q307" s="14" t="str">
        <f t="shared" si="2"/>
        <v/>
      </c>
      <c r="R307" s="14"/>
    </row>
    <row r="308">
      <c r="A308" s="14"/>
      <c r="B308" s="21"/>
      <c r="C308" s="14"/>
      <c r="D308" s="16"/>
      <c r="E308" s="16"/>
      <c r="F308" s="21"/>
      <c r="G308" s="21"/>
      <c r="H308" s="24"/>
      <c r="I308" s="24"/>
      <c r="J308" s="20"/>
      <c r="K308" s="20"/>
      <c r="L308" s="20"/>
      <c r="M308" s="20"/>
      <c r="N308" s="20" t="str">
        <f t="shared" si="1"/>
        <v>#</v>
      </c>
      <c r="O308" s="20"/>
      <c r="P308" s="21"/>
      <c r="Q308" s="14" t="str">
        <f t="shared" si="2"/>
        <v/>
      </c>
      <c r="R308" s="14"/>
    </row>
    <row r="309">
      <c r="A309" s="14"/>
      <c r="B309" s="21"/>
      <c r="C309" s="14"/>
      <c r="D309" s="16"/>
      <c r="E309" s="16"/>
      <c r="F309" s="21"/>
      <c r="G309" s="21"/>
      <c r="H309" s="24"/>
      <c r="I309" s="24"/>
      <c r="J309" s="20"/>
      <c r="K309" s="20"/>
      <c r="L309" s="20"/>
      <c r="M309" s="20"/>
      <c r="N309" s="20" t="str">
        <f t="shared" si="1"/>
        <v>#</v>
      </c>
      <c r="O309" s="20"/>
      <c r="P309" s="21"/>
      <c r="Q309" s="14" t="str">
        <f t="shared" si="2"/>
        <v/>
      </c>
      <c r="R309" s="14"/>
    </row>
    <row r="310">
      <c r="A310" s="14"/>
      <c r="B310" s="21"/>
      <c r="C310" s="14"/>
      <c r="D310" s="16"/>
      <c r="E310" s="16"/>
      <c r="F310" s="21"/>
      <c r="G310" s="21"/>
      <c r="H310" s="24"/>
      <c r="I310" s="24"/>
      <c r="J310" s="20"/>
      <c r="K310" s="20"/>
      <c r="L310" s="20"/>
      <c r="M310" s="20"/>
      <c r="N310" s="20" t="str">
        <f t="shared" si="1"/>
        <v>#</v>
      </c>
      <c r="O310" s="20"/>
      <c r="P310" s="21"/>
      <c r="Q310" s="14" t="str">
        <f t="shared" si="2"/>
        <v/>
      </c>
      <c r="R310" s="14"/>
    </row>
    <row r="311">
      <c r="A311" s="14"/>
      <c r="B311" s="21"/>
      <c r="C311" s="14"/>
      <c r="D311" s="16"/>
      <c r="E311" s="16"/>
      <c r="F311" s="21"/>
      <c r="G311" s="21"/>
      <c r="H311" s="24"/>
      <c r="I311" s="24"/>
      <c r="J311" s="20"/>
      <c r="K311" s="20"/>
      <c r="L311" s="20"/>
      <c r="M311" s="20"/>
      <c r="N311" s="20" t="str">
        <f t="shared" si="1"/>
        <v>#</v>
      </c>
      <c r="O311" s="20"/>
      <c r="P311" s="21"/>
      <c r="Q311" s="14" t="str">
        <f t="shared" si="2"/>
        <v/>
      </c>
      <c r="R311" s="14"/>
    </row>
    <row r="312">
      <c r="A312" s="14"/>
      <c r="B312" s="21"/>
      <c r="C312" s="14"/>
      <c r="D312" s="16"/>
      <c r="E312" s="16"/>
      <c r="F312" s="21"/>
      <c r="G312" s="21"/>
      <c r="H312" s="24"/>
      <c r="I312" s="24"/>
      <c r="J312" s="20"/>
      <c r="K312" s="20"/>
      <c r="L312" s="20"/>
      <c r="M312" s="20"/>
      <c r="N312" s="20" t="str">
        <f t="shared" si="1"/>
        <v>#</v>
      </c>
      <c r="O312" s="20"/>
      <c r="P312" s="21"/>
      <c r="Q312" s="14" t="str">
        <f t="shared" si="2"/>
        <v/>
      </c>
      <c r="R312" s="14"/>
    </row>
    <row r="313">
      <c r="A313" s="14"/>
      <c r="B313" s="21"/>
      <c r="C313" s="14"/>
      <c r="D313" s="16"/>
      <c r="E313" s="16"/>
      <c r="F313" s="21"/>
      <c r="G313" s="21"/>
      <c r="H313" s="24"/>
      <c r="I313" s="24"/>
      <c r="J313" s="20"/>
      <c r="K313" s="20"/>
      <c r="L313" s="20"/>
      <c r="M313" s="20"/>
      <c r="N313" s="20" t="str">
        <f t="shared" si="1"/>
        <v>#</v>
      </c>
      <c r="O313" s="20"/>
      <c r="P313" s="21"/>
      <c r="Q313" s="14" t="str">
        <f t="shared" si="2"/>
        <v/>
      </c>
      <c r="R313" s="14"/>
    </row>
    <row r="314">
      <c r="A314" s="14"/>
      <c r="B314" s="21"/>
      <c r="C314" s="14"/>
      <c r="D314" s="16"/>
      <c r="E314" s="16"/>
      <c r="F314" s="21"/>
      <c r="G314" s="21"/>
      <c r="H314" s="24"/>
      <c r="I314" s="24"/>
      <c r="J314" s="20"/>
      <c r="K314" s="20"/>
      <c r="L314" s="20"/>
      <c r="M314" s="20"/>
      <c r="N314" s="20" t="str">
        <f t="shared" si="1"/>
        <v>#</v>
      </c>
      <c r="O314" s="20"/>
      <c r="P314" s="21"/>
      <c r="Q314" s="14" t="str">
        <f t="shared" si="2"/>
        <v/>
      </c>
      <c r="R314" s="14"/>
    </row>
    <row r="315">
      <c r="A315" s="14"/>
      <c r="B315" s="21"/>
      <c r="C315" s="14"/>
      <c r="D315" s="16"/>
      <c r="E315" s="16"/>
      <c r="F315" s="21"/>
      <c r="G315" s="21"/>
      <c r="H315" s="24"/>
      <c r="I315" s="24"/>
      <c r="J315" s="20"/>
      <c r="K315" s="20"/>
      <c r="L315" s="20"/>
      <c r="M315" s="20"/>
      <c r="N315" s="20" t="str">
        <f t="shared" si="1"/>
        <v>#</v>
      </c>
      <c r="O315" s="20"/>
      <c r="P315" s="21"/>
      <c r="Q315" s="14" t="str">
        <f t="shared" si="2"/>
        <v/>
      </c>
      <c r="R315" s="14"/>
    </row>
    <row r="316">
      <c r="A316" s="14"/>
      <c r="B316" s="21"/>
      <c r="C316" s="14"/>
      <c r="D316" s="16"/>
      <c r="E316" s="16"/>
      <c r="F316" s="21"/>
      <c r="G316" s="21"/>
      <c r="H316" s="24"/>
      <c r="I316" s="24"/>
      <c r="J316" s="20"/>
      <c r="K316" s="20"/>
      <c r="L316" s="20"/>
      <c r="M316" s="20"/>
      <c r="N316" s="20" t="str">
        <f t="shared" si="1"/>
        <v>#</v>
      </c>
      <c r="O316" s="20"/>
      <c r="P316" s="21"/>
      <c r="Q316" s="14" t="str">
        <f t="shared" si="2"/>
        <v/>
      </c>
      <c r="R316" s="14"/>
    </row>
    <row r="317">
      <c r="A317" s="14"/>
      <c r="B317" s="21"/>
      <c r="C317" s="14"/>
      <c r="D317" s="16"/>
      <c r="E317" s="16"/>
      <c r="F317" s="21"/>
      <c r="G317" s="21"/>
      <c r="H317" s="24"/>
      <c r="I317" s="24"/>
      <c r="J317" s="20"/>
      <c r="K317" s="20"/>
      <c r="L317" s="20"/>
      <c r="M317" s="20"/>
      <c r="N317" s="20" t="str">
        <f t="shared" si="1"/>
        <v>#</v>
      </c>
      <c r="O317" s="20"/>
      <c r="P317" s="21"/>
      <c r="Q317" s="14" t="str">
        <f t="shared" si="2"/>
        <v/>
      </c>
      <c r="R317" s="14"/>
    </row>
    <row r="318">
      <c r="A318" s="14"/>
      <c r="B318" s="21"/>
      <c r="C318" s="14"/>
      <c r="D318" s="16"/>
      <c r="E318" s="16"/>
      <c r="F318" s="21"/>
      <c r="G318" s="21"/>
      <c r="H318" s="24"/>
      <c r="I318" s="24"/>
      <c r="J318" s="20"/>
      <c r="K318" s="20"/>
      <c r="L318" s="20"/>
      <c r="M318" s="20"/>
      <c r="N318" s="20" t="str">
        <f t="shared" si="1"/>
        <v>#</v>
      </c>
      <c r="O318" s="20"/>
      <c r="P318" s="21"/>
      <c r="Q318" s="14" t="str">
        <f t="shared" si="2"/>
        <v/>
      </c>
      <c r="R318" s="14"/>
    </row>
    <row r="319">
      <c r="A319" s="14"/>
      <c r="B319" s="21"/>
      <c r="C319" s="14"/>
      <c r="D319" s="16"/>
      <c r="E319" s="16"/>
      <c r="F319" s="21"/>
      <c r="G319" s="21"/>
      <c r="H319" s="24"/>
      <c r="I319" s="24"/>
      <c r="J319" s="20"/>
      <c r="K319" s="20"/>
      <c r="L319" s="20"/>
      <c r="M319" s="20"/>
      <c r="N319" s="20" t="str">
        <f t="shared" si="1"/>
        <v>#</v>
      </c>
      <c r="O319" s="20"/>
      <c r="P319" s="21"/>
      <c r="Q319" s="14" t="str">
        <f t="shared" si="2"/>
        <v/>
      </c>
      <c r="R319" s="14"/>
    </row>
    <row r="320">
      <c r="A320" s="14"/>
      <c r="B320" s="21"/>
      <c r="C320" s="14"/>
      <c r="D320" s="16"/>
      <c r="E320" s="16"/>
      <c r="F320" s="21"/>
      <c r="G320" s="21"/>
      <c r="H320" s="24"/>
      <c r="I320" s="24"/>
      <c r="J320" s="20"/>
      <c r="K320" s="20"/>
      <c r="L320" s="20"/>
      <c r="M320" s="20"/>
      <c r="N320" s="20" t="str">
        <f t="shared" si="1"/>
        <v>#</v>
      </c>
      <c r="O320" s="20"/>
      <c r="P320" s="21"/>
      <c r="Q320" s="14" t="str">
        <f t="shared" si="2"/>
        <v/>
      </c>
      <c r="R320" s="14"/>
    </row>
    <row r="321">
      <c r="A321" s="14"/>
      <c r="B321" s="21"/>
      <c r="C321" s="14"/>
      <c r="D321" s="16"/>
      <c r="E321" s="16"/>
      <c r="F321" s="21"/>
      <c r="G321" s="21"/>
      <c r="H321" s="24"/>
      <c r="I321" s="24"/>
      <c r="J321" s="20"/>
      <c r="K321" s="20"/>
      <c r="L321" s="20"/>
      <c r="M321" s="20"/>
      <c r="N321" s="20" t="str">
        <f t="shared" si="1"/>
        <v>#</v>
      </c>
      <c r="O321" s="20"/>
      <c r="P321" s="21"/>
      <c r="Q321" s="14" t="str">
        <f t="shared" si="2"/>
        <v/>
      </c>
      <c r="R321" s="14"/>
    </row>
    <row r="322">
      <c r="A322" s="14"/>
      <c r="B322" s="21"/>
      <c r="C322" s="14"/>
      <c r="D322" s="16"/>
      <c r="E322" s="16"/>
      <c r="F322" s="21"/>
      <c r="G322" s="21"/>
      <c r="H322" s="24"/>
      <c r="I322" s="24"/>
      <c r="J322" s="20"/>
      <c r="K322" s="20"/>
      <c r="L322" s="20"/>
      <c r="M322" s="20"/>
      <c r="N322" s="20" t="str">
        <f t="shared" si="1"/>
        <v>#</v>
      </c>
      <c r="O322" s="20"/>
      <c r="P322" s="21"/>
      <c r="Q322" s="14" t="str">
        <f t="shared" si="2"/>
        <v/>
      </c>
      <c r="R322" s="14"/>
    </row>
    <row r="323">
      <c r="A323" s="14"/>
      <c r="B323" s="21"/>
      <c r="C323" s="14"/>
      <c r="D323" s="16"/>
      <c r="E323" s="16"/>
      <c r="F323" s="21"/>
      <c r="G323" s="21"/>
      <c r="H323" s="24"/>
      <c r="I323" s="24"/>
      <c r="J323" s="20"/>
      <c r="K323" s="20"/>
      <c r="L323" s="20"/>
      <c r="M323" s="20"/>
      <c r="N323" s="20" t="str">
        <f t="shared" si="1"/>
        <v>#</v>
      </c>
      <c r="O323" s="20"/>
      <c r="P323" s="21"/>
      <c r="Q323" s="14" t="str">
        <f t="shared" si="2"/>
        <v/>
      </c>
      <c r="R323" s="14"/>
    </row>
    <row r="324">
      <c r="A324" s="14"/>
      <c r="B324" s="21"/>
      <c r="C324" s="14"/>
      <c r="D324" s="16"/>
      <c r="E324" s="16"/>
      <c r="F324" s="21"/>
      <c r="G324" s="21"/>
      <c r="H324" s="24"/>
      <c r="I324" s="24"/>
      <c r="J324" s="20"/>
      <c r="K324" s="20"/>
      <c r="L324" s="20"/>
      <c r="M324" s="20"/>
      <c r="N324" s="20" t="str">
        <f t="shared" si="1"/>
        <v>#</v>
      </c>
      <c r="O324" s="20"/>
      <c r="P324" s="21"/>
      <c r="Q324" s="14" t="str">
        <f t="shared" si="2"/>
        <v/>
      </c>
      <c r="R324" s="14"/>
    </row>
    <row r="325">
      <c r="A325" s="14"/>
      <c r="B325" s="21"/>
      <c r="C325" s="14"/>
      <c r="D325" s="16"/>
      <c r="E325" s="16"/>
      <c r="F325" s="21"/>
      <c r="G325" s="21"/>
      <c r="H325" s="24"/>
      <c r="I325" s="24"/>
      <c r="J325" s="20"/>
      <c r="K325" s="20"/>
      <c r="L325" s="20"/>
      <c r="M325" s="20"/>
      <c r="N325" s="20" t="str">
        <f t="shared" si="1"/>
        <v>#</v>
      </c>
      <c r="O325" s="20"/>
      <c r="P325" s="21"/>
      <c r="Q325" s="14" t="str">
        <f t="shared" si="2"/>
        <v/>
      </c>
      <c r="R325" s="14"/>
    </row>
    <row r="326">
      <c r="A326" s="14"/>
      <c r="B326" s="21"/>
      <c r="C326" s="14"/>
      <c r="D326" s="16"/>
      <c r="E326" s="16"/>
      <c r="F326" s="21"/>
      <c r="G326" s="21"/>
      <c r="H326" s="24"/>
      <c r="I326" s="24"/>
      <c r="J326" s="20"/>
      <c r="K326" s="20"/>
      <c r="L326" s="20"/>
      <c r="M326" s="20"/>
      <c r="N326" s="20" t="str">
        <f t="shared" si="1"/>
        <v>#</v>
      </c>
      <c r="O326" s="20"/>
      <c r="P326" s="21"/>
      <c r="Q326" s="14" t="str">
        <f t="shared" si="2"/>
        <v/>
      </c>
      <c r="R326" s="14"/>
    </row>
    <row r="327">
      <c r="A327" s="14"/>
      <c r="B327" s="21"/>
      <c r="C327" s="14"/>
      <c r="D327" s="16"/>
      <c r="E327" s="16"/>
      <c r="F327" s="21"/>
      <c r="G327" s="21"/>
      <c r="H327" s="24"/>
      <c r="I327" s="24"/>
      <c r="J327" s="20"/>
      <c r="K327" s="20"/>
      <c r="L327" s="20"/>
      <c r="M327" s="20"/>
      <c r="N327" s="20" t="str">
        <f t="shared" si="1"/>
        <v>#</v>
      </c>
      <c r="O327" s="20"/>
      <c r="P327" s="21"/>
      <c r="Q327" s="14" t="str">
        <f t="shared" si="2"/>
        <v/>
      </c>
      <c r="R327" s="14"/>
    </row>
    <row r="328">
      <c r="A328" s="14"/>
      <c r="B328" s="21"/>
      <c r="C328" s="14"/>
      <c r="D328" s="16"/>
      <c r="E328" s="16"/>
      <c r="F328" s="21"/>
      <c r="G328" s="21"/>
      <c r="H328" s="24"/>
      <c r="I328" s="24"/>
      <c r="J328" s="20"/>
      <c r="K328" s="20"/>
      <c r="L328" s="20"/>
      <c r="M328" s="20"/>
      <c r="N328" s="20" t="str">
        <f t="shared" si="1"/>
        <v>#</v>
      </c>
      <c r="O328" s="20"/>
      <c r="P328" s="21"/>
      <c r="Q328" s="14" t="str">
        <f t="shared" si="2"/>
        <v/>
      </c>
      <c r="R328" s="14"/>
    </row>
    <row r="329">
      <c r="A329" s="14"/>
      <c r="B329" s="21"/>
      <c r="C329" s="14"/>
      <c r="D329" s="16"/>
      <c r="E329" s="16"/>
      <c r="F329" s="21"/>
      <c r="G329" s="21"/>
      <c r="H329" s="24"/>
      <c r="I329" s="24"/>
      <c r="J329" s="20"/>
      <c r="K329" s="20"/>
      <c r="L329" s="20"/>
      <c r="M329" s="20"/>
      <c r="N329" s="20" t="str">
        <f t="shared" si="1"/>
        <v>#</v>
      </c>
      <c r="O329" s="20"/>
      <c r="P329" s="21"/>
      <c r="Q329" s="14" t="str">
        <f t="shared" si="2"/>
        <v/>
      </c>
      <c r="R329" s="14"/>
    </row>
    <row r="330">
      <c r="A330" s="14"/>
      <c r="B330" s="21"/>
      <c r="C330" s="14"/>
      <c r="D330" s="16"/>
      <c r="E330" s="16"/>
      <c r="F330" s="21"/>
      <c r="G330" s="21"/>
      <c r="H330" s="24"/>
      <c r="I330" s="24"/>
      <c r="J330" s="20"/>
      <c r="K330" s="20"/>
      <c r="L330" s="20"/>
      <c r="M330" s="20"/>
      <c r="N330" s="20" t="str">
        <f t="shared" si="1"/>
        <v>#</v>
      </c>
      <c r="O330" s="20"/>
      <c r="P330" s="21"/>
      <c r="Q330" s="14" t="str">
        <f t="shared" si="2"/>
        <v/>
      </c>
      <c r="R330" s="14"/>
    </row>
    <row r="331">
      <c r="A331" s="14"/>
      <c r="B331" s="21"/>
      <c r="C331" s="14"/>
      <c r="D331" s="16"/>
      <c r="E331" s="16"/>
      <c r="F331" s="21"/>
      <c r="G331" s="21"/>
      <c r="H331" s="24"/>
      <c r="I331" s="24"/>
      <c r="J331" s="20"/>
      <c r="K331" s="20"/>
      <c r="L331" s="20"/>
      <c r="M331" s="20"/>
      <c r="N331" s="20" t="str">
        <f t="shared" si="1"/>
        <v>#</v>
      </c>
      <c r="O331" s="20"/>
      <c r="P331" s="21"/>
      <c r="Q331" s="14" t="str">
        <f t="shared" si="2"/>
        <v/>
      </c>
      <c r="R331" s="14"/>
    </row>
    <row r="332">
      <c r="A332" s="14"/>
      <c r="B332" s="21"/>
      <c r="C332" s="14"/>
      <c r="D332" s="16"/>
      <c r="E332" s="16"/>
      <c r="F332" s="21"/>
      <c r="G332" s="21"/>
      <c r="H332" s="24"/>
      <c r="I332" s="24"/>
      <c r="J332" s="20"/>
      <c r="K332" s="20"/>
      <c r="L332" s="20"/>
      <c r="M332" s="20"/>
      <c r="N332" s="20" t="str">
        <f t="shared" si="1"/>
        <v>#</v>
      </c>
      <c r="O332" s="20"/>
      <c r="P332" s="21"/>
      <c r="Q332" s="14" t="str">
        <f t="shared" si="2"/>
        <v/>
      </c>
      <c r="R332" s="14"/>
    </row>
    <row r="333">
      <c r="A333" s="14"/>
      <c r="B333" s="21"/>
      <c r="C333" s="14"/>
      <c r="D333" s="16"/>
      <c r="E333" s="16"/>
      <c r="F333" s="21"/>
      <c r="G333" s="21"/>
      <c r="H333" s="24"/>
      <c r="I333" s="24"/>
      <c r="J333" s="20"/>
      <c r="K333" s="20"/>
      <c r="L333" s="20"/>
      <c r="M333" s="20"/>
      <c r="N333" s="20" t="str">
        <f t="shared" si="1"/>
        <v>#</v>
      </c>
      <c r="O333" s="20"/>
      <c r="P333" s="21"/>
      <c r="Q333" s="14" t="str">
        <f t="shared" si="2"/>
        <v/>
      </c>
      <c r="R333" s="14"/>
    </row>
    <row r="334">
      <c r="A334" s="14"/>
      <c r="B334" s="21"/>
      <c r="C334" s="14"/>
      <c r="D334" s="16"/>
      <c r="E334" s="16"/>
      <c r="F334" s="21"/>
      <c r="G334" s="21"/>
      <c r="H334" s="24"/>
      <c r="I334" s="24"/>
      <c r="J334" s="20"/>
      <c r="K334" s="20"/>
      <c r="L334" s="20"/>
      <c r="M334" s="20"/>
      <c r="N334" s="20" t="str">
        <f t="shared" si="1"/>
        <v>#</v>
      </c>
      <c r="O334" s="20"/>
      <c r="P334" s="21"/>
      <c r="Q334" s="14" t="str">
        <f t="shared" si="2"/>
        <v/>
      </c>
      <c r="R334" s="14"/>
    </row>
    <row r="335">
      <c r="A335" s="14"/>
      <c r="B335" s="21"/>
      <c r="C335" s="14"/>
      <c r="D335" s="16"/>
      <c r="E335" s="16"/>
      <c r="F335" s="21"/>
      <c r="G335" s="21"/>
      <c r="H335" s="24"/>
      <c r="I335" s="24"/>
      <c r="J335" s="20"/>
      <c r="K335" s="20"/>
      <c r="L335" s="20"/>
      <c r="M335" s="20"/>
      <c r="N335" s="20" t="str">
        <f t="shared" si="1"/>
        <v>#</v>
      </c>
      <c r="O335" s="20"/>
      <c r="P335" s="21"/>
      <c r="Q335" s="14" t="str">
        <f t="shared" si="2"/>
        <v/>
      </c>
      <c r="R335" s="14"/>
    </row>
    <row r="336">
      <c r="A336" s="14"/>
      <c r="B336" s="21"/>
      <c r="C336" s="14"/>
      <c r="D336" s="16"/>
      <c r="E336" s="16"/>
      <c r="F336" s="21"/>
      <c r="G336" s="21"/>
      <c r="H336" s="24"/>
      <c r="I336" s="24"/>
      <c r="J336" s="20"/>
      <c r="K336" s="20"/>
      <c r="L336" s="20"/>
      <c r="M336" s="20"/>
      <c r="N336" s="20" t="str">
        <f t="shared" si="1"/>
        <v>#</v>
      </c>
      <c r="O336" s="20"/>
      <c r="P336" s="21"/>
      <c r="Q336" s="14" t="str">
        <f t="shared" si="2"/>
        <v/>
      </c>
      <c r="R336" s="14"/>
    </row>
    <row r="337">
      <c r="A337" s="14"/>
      <c r="B337" s="21"/>
      <c r="C337" s="14"/>
      <c r="D337" s="16"/>
      <c r="E337" s="16"/>
      <c r="F337" s="21"/>
      <c r="G337" s="21"/>
      <c r="H337" s="24"/>
      <c r="I337" s="24"/>
      <c r="J337" s="20"/>
      <c r="K337" s="20"/>
      <c r="L337" s="20"/>
      <c r="M337" s="20"/>
      <c r="N337" s="20" t="str">
        <f t="shared" si="1"/>
        <v>#</v>
      </c>
      <c r="O337" s="20"/>
      <c r="P337" s="21"/>
      <c r="Q337" s="14" t="str">
        <f t="shared" si="2"/>
        <v/>
      </c>
      <c r="R337" s="14"/>
    </row>
    <row r="338">
      <c r="A338" s="14"/>
      <c r="B338" s="21"/>
      <c r="C338" s="14"/>
      <c r="D338" s="16"/>
      <c r="E338" s="16"/>
      <c r="F338" s="21"/>
      <c r="G338" s="21"/>
      <c r="H338" s="24"/>
      <c r="I338" s="24"/>
      <c r="J338" s="20"/>
      <c r="K338" s="20"/>
      <c r="L338" s="20"/>
      <c r="M338" s="20"/>
      <c r="N338" s="20" t="str">
        <f t="shared" si="1"/>
        <v>#</v>
      </c>
      <c r="O338" s="20"/>
      <c r="P338" s="21"/>
      <c r="Q338" s="14" t="str">
        <f t="shared" si="2"/>
        <v/>
      </c>
      <c r="R338" s="14"/>
    </row>
    <row r="339">
      <c r="A339" s="14"/>
      <c r="B339" s="21"/>
      <c r="C339" s="14"/>
      <c r="D339" s="16"/>
      <c r="E339" s="16"/>
      <c r="F339" s="21"/>
      <c r="G339" s="21"/>
      <c r="H339" s="24"/>
      <c r="I339" s="24"/>
      <c r="J339" s="20"/>
      <c r="K339" s="20"/>
      <c r="L339" s="20"/>
      <c r="M339" s="20"/>
      <c r="N339" s="20" t="str">
        <f t="shared" si="1"/>
        <v>#</v>
      </c>
      <c r="O339" s="20"/>
      <c r="P339" s="21"/>
      <c r="Q339" s="14" t="str">
        <f t="shared" si="2"/>
        <v/>
      </c>
      <c r="R339" s="14"/>
    </row>
    <row r="340">
      <c r="A340" s="14"/>
      <c r="B340" s="21"/>
      <c r="C340" s="14"/>
      <c r="D340" s="16"/>
      <c r="E340" s="16"/>
      <c r="F340" s="21"/>
      <c r="G340" s="21"/>
      <c r="H340" s="24"/>
      <c r="I340" s="24"/>
      <c r="J340" s="20"/>
      <c r="K340" s="20"/>
      <c r="L340" s="20"/>
      <c r="M340" s="20"/>
      <c r="N340" s="20" t="str">
        <f t="shared" si="1"/>
        <v>#</v>
      </c>
      <c r="O340" s="20"/>
      <c r="P340" s="21"/>
      <c r="Q340" s="14" t="str">
        <f t="shared" si="2"/>
        <v/>
      </c>
      <c r="R340" s="14"/>
    </row>
    <row r="341">
      <c r="A341" s="14"/>
      <c r="B341" s="21"/>
      <c r="C341" s="14"/>
      <c r="D341" s="16"/>
      <c r="E341" s="16"/>
      <c r="F341" s="21"/>
      <c r="G341" s="21"/>
      <c r="H341" s="24"/>
      <c r="I341" s="24"/>
      <c r="J341" s="20"/>
      <c r="K341" s="20"/>
      <c r="L341" s="20"/>
      <c r="M341" s="20"/>
      <c r="N341" s="20" t="str">
        <f t="shared" si="1"/>
        <v>#</v>
      </c>
      <c r="O341" s="20"/>
      <c r="P341" s="21"/>
      <c r="Q341" s="14" t="str">
        <f t="shared" si="2"/>
        <v/>
      </c>
      <c r="R341" s="14"/>
    </row>
    <row r="342">
      <c r="A342" s="14"/>
      <c r="B342" s="21"/>
      <c r="C342" s="14"/>
      <c r="D342" s="16"/>
      <c r="E342" s="16"/>
      <c r="F342" s="21"/>
      <c r="G342" s="21"/>
      <c r="H342" s="24"/>
      <c r="I342" s="24"/>
      <c r="J342" s="20"/>
      <c r="K342" s="20"/>
      <c r="L342" s="20"/>
      <c r="M342" s="20"/>
      <c r="N342" s="20" t="str">
        <f t="shared" si="1"/>
        <v>#</v>
      </c>
      <c r="O342" s="20"/>
      <c r="P342" s="21"/>
      <c r="Q342" s="14" t="str">
        <f t="shared" si="2"/>
        <v/>
      </c>
      <c r="R342" s="14"/>
    </row>
    <row r="343">
      <c r="A343" s="14"/>
      <c r="B343" s="21"/>
      <c r="C343" s="14"/>
      <c r="D343" s="16"/>
      <c r="E343" s="16"/>
      <c r="F343" s="21"/>
      <c r="G343" s="21"/>
      <c r="H343" s="24"/>
      <c r="I343" s="24"/>
      <c r="J343" s="20"/>
      <c r="K343" s="20"/>
      <c r="L343" s="20"/>
      <c r="M343" s="20"/>
      <c r="N343" s="20" t="str">
        <f t="shared" si="1"/>
        <v>#</v>
      </c>
      <c r="O343" s="20"/>
      <c r="P343" s="21"/>
      <c r="Q343" s="14" t="str">
        <f t="shared" si="2"/>
        <v/>
      </c>
      <c r="R343" s="14"/>
    </row>
    <row r="344">
      <c r="A344" s="14"/>
      <c r="B344" s="21"/>
      <c r="C344" s="14"/>
      <c r="D344" s="16"/>
      <c r="E344" s="16"/>
      <c r="F344" s="21"/>
      <c r="G344" s="21"/>
      <c r="H344" s="24"/>
      <c r="I344" s="24"/>
      <c r="J344" s="20"/>
      <c r="K344" s="20"/>
      <c r="L344" s="20"/>
      <c r="M344" s="20"/>
      <c r="N344" s="20" t="str">
        <f t="shared" si="1"/>
        <v>#</v>
      </c>
      <c r="O344" s="20"/>
      <c r="P344" s="21"/>
      <c r="Q344" s="14" t="str">
        <f t="shared" si="2"/>
        <v/>
      </c>
      <c r="R344" s="14"/>
    </row>
    <row r="345">
      <c r="A345" s="14"/>
      <c r="B345" s="21"/>
      <c r="C345" s="14"/>
      <c r="D345" s="16"/>
      <c r="E345" s="16"/>
      <c r="F345" s="21"/>
      <c r="G345" s="21"/>
      <c r="H345" s="24"/>
      <c r="I345" s="24"/>
      <c r="J345" s="20"/>
      <c r="K345" s="20"/>
      <c r="L345" s="20"/>
      <c r="M345" s="20"/>
      <c r="N345" s="20" t="str">
        <f t="shared" si="1"/>
        <v>#</v>
      </c>
      <c r="O345" s="20"/>
      <c r="P345" s="21"/>
      <c r="Q345" s="14" t="str">
        <f t="shared" si="2"/>
        <v/>
      </c>
      <c r="R345" s="14"/>
    </row>
    <row r="346">
      <c r="A346" s="14"/>
      <c r="B346" s="21"/>
      <c r="C346" s="14"/>
      <c r="D346" s="16"/>
      <c r="E346" s="16"/>
      <c r="F346" s="21"/>
      <c r="G346" s="21"/>
      <c r="H346" s="24"/>
      <c r="I346" s="24"/>
      <c r="J346" s="20"/>
      <c r="K346" s="20"/>
      <c r="L346" s="20"/>
      <c r="M346" s="20"/>
      <c r="N346" s="20" t="str">
        <f t="shared" si="1"/>
        <v>#</v>
      </c>
      <c r="O346" s="20"/>
      <c r="P346" s="21"/>
      <c r="Q346" s="14" t="str">
        <f t="shared" si="2"/>
        <v/>
      </c>
      <c r="R346" s="14"/>
    </row>
    <row r="347">
      <c r="A347" s="14"/>
      <c r="B347" s="21"/>
      <c r="C347" s="14"/>
      <c r="D347" s="16"/>
      <c r="E347" s="16"/>
      <c r="F347" s="21"/>
      <c r="G347" s="21"/>
      <c r="H347" s="24"/>
      <c r="I347" s="24"/>
      <c r="J347" s="20"/>
      <c r="K347" s="20"/>
      <c r="L347" s="20"/>
      <c r="M347" s="20"/>
      <c r="N347" s="20" t="str">
        <f t="shared" si="1"/>
        <v>#</v>
      </c>
      <c r="O347" s="20"/>
      <c r="P347" s="21"/>
      <c r="Q347" s="14" t="str">
        <f t="shared" si="2"/>
        <v/>
      </c>
      <c r="R347" s="14"/>
    </row>
    <row r="348">
      <c r="A348" s="14"/>
      <c r="B348" s="21"/>
      <c r="C348" s="14"/>
      <c r="D348" s="16"/>
      <c r="E348" s="16"/>
      <c r="F348" s="21"/>
      <c r="G348" s="21"/>
      <c r="H348" s="24"/>
      <c r="I348" s="24"/>
      <c r="J348" s="20"/>
      <c r="K348" s="20"/>
      <c r="L348" s="20"/>
      <c r="M348" s="20"/>
      <c r="N348" s="20" t="str">
        <f t="shared" si="1"/>
        <v>#</v>
      </c>
      <c r="O348" s="20"/>
      <c r="P348" s="21"/>
      <c r="Q348" s="14" t="str">
        <f t="shared" si="2"/>
        <v/>
      </c>
      <c r="R348" s="14"/>
    </row>
    <row r="349">
      <c r="A349" s="14"/>
      <c r="B349" s="21"/>
      <c r="C349" s="14"/>
      <c r="D349" s="16"/>
      <c r="E349" s="16"/>
      <c r="F349" s="21"/>
      <c r="G349" s="21"/>
      <c r="H349" s="24"/>
      <c r="I349" s="24"/>
      <c r="J349" s="20"/>
      <c r="K349" s="20"/>
      <c r="L349" s="20"/>
      <c r="M349" s="20"/>
      <c r="N349" s="20" t="str">
        <f t="shared" si="1"/>
        <v>#</v>
      </c>
      <c r="O349" s="20"/>
      <c r="P349" s="21"/>
      <c r="Q349" s="14" t="str">
        <f t="shared" si="2"/>
        <v/>
      </c>
      <c r="R349" s="14"/>
    </row>
    <row r="350">
      <c r="A350" s="14"/>
      <c r="B350" s="21"/>
      <c r="C350" s="14"/>
      <c r="D350" s="16"/>
      <c r="E350" s="16"/>
      <c r="F350" s="21"/>
      <c r="G350" s="21"/>
      <c r="H350" s="24"/>
      <c r="I350" s="24"/>
      <c r="J350" s="20"/>
      <c r="K350" s="20"/>
      <c r="L350" s="20"/>
      <c r="M350" s="20"/>
      <c r="N350" s="20" t="str">
        <f t="shared" si="1"/>
        <v>#</v>
      </c>
      <c r="O350" s="20"/>
      <c r="P350" s="21"/>
      <c r="Q350" s="14" t="str">
        <f t="shared" si="2"/>
        <v/>
      </c>
      <c r="R350" s="14"/>
    </row>
    <row r="351">
      <c r="A351" s="14"/>
      <c r="B351" s="21"/>
      <c r="C351" s="14"/>
      <c r="D351" s="16"/>
      <c r="E351" s="16"/>
      <c r="F351" s="21"/>
      <c r="G351" s="21"/>
      <c r="H351" s="24"/>
      <c r="I351" s="24"/>
      <c r="J351" s="20"/>
      <c r="K351" s="20"/>
      <c r="L351" s="20"/>
      <c r="M351" s="20"/>
      <c r="N351" s="20" t="str">
        <f t="shared" si="1"/>
        <v>#</v>
      </c>
      <c r="O351" s="20"/>
      <c r="P351" s="21"/>
      <c r="Q351" s="14" t="str">
        <f t="shared" si="2"/>
        <v/>
      </c>
      <c r="R351" s="14"/>
    </row>
    <row r="352">
      <c r="A352" s="14"/>
      <c r="B352" s="21"/>
      <c r="C352" s="14"/>
      <c r="D352" s="16"/>
      <c r="E352" s="16"/>
      <c r="F352" s="21"/>
      <c r="G352" s="21"/>
      <c r="H352" s="24"/>
      <c r="I352" s="24"/>
      <c r="J352" s="20"/>
      <c r="K352" s="20"/>
      <c r="L352" s="20"/>
      <c r="M352" s="20"/>
      <c r="N352" s="20" t="str">
        <f t="shared" si="1"/>
        <v>#</v>
      </c>
      <c r="O352" s="20"/>
      <c r="P352" s="21"/>
      <c r="Q352" s="14" t="str">
        <f t="shared" si="2"/>
        <v/>
      </c>
      <c r="R352" s="14"/>
    </row>
    <row r="353">
      <c r="A353" s="14"/>
      <c r="B353" s="21"/>
      <c r="C353" s="14"/>
      <c r="D353" s="16"/>
      <c r="E353" s="16"/>
      <c r="F353" s="21"/>
      <c r="G353" s="21"/>
      <c r="H353" s="24"/>
      <c r="I353" s="24"/>
      <c r="J353" s="20"/>
      <c r="K353" s="20"/>
      <c r="L353" s="20"/>
      <c r="M353" s="20"/>
      <c r="N353" s="20" t="str">
        <f t="shared" si="1"/>
        <v>#</v>
      </c>
      <c r="O353" s="20"/>
      <c r="P353" s="21"/>
      <c r="Q353" s="14" t="str">
        <f t="shared" si="2"/>
        <v/>
      </c>
      <c r="R353" s="14"/>
    </row>
    <row r="354">
      <c r="A354" s="14"/>
      <c r="B354" s="21"/>
      <c r="C354" s="14"/>
      <c r="D354" s="16"/>
      <c r="E354" s="16"/>
      <c r="F354" s="21"/>
      <c r="G354" s="21"/>
      <c r="H354" s="24"/>
      <c r="I354" s="24"/>
      <c r="J354" s="20"/>
      <c r="K354" s="20"/>
      <c r="L354" s="20"/>
      <c r="M354" s="20"/>
      <c r="N354" s="20" t="str">
        <f t="shared" si="1"/>
        <v>#</v>
      </c>
      <c r="O354" s="20"/>
      <c r="P354" s="21"/>
      <c r="Q354" s="14" t="str">
        <f t="shared" si="2"/>
        <v/>
      </c>
      <c r="R354" s="14"/>
    </row>
    <row r="355">
      <c r="A355" s="14"/>
      <c r="B355" s="21"/>
      <c r="C355" s="14"/>
      <c r="D355" s="16"/>
      <c r="E355" s="16"/>
      <c r="F355" s="21"/>
      <c r="G355" s="21"/>
      <c r="H355" s="24"/>
      <c r="I355" s="24"/>
      <c r="J355" s="20"/>
      <c r="K355" s="20"/>
      <c r="L355" s="20"/>
      <c r="M355" s="20"/>
      <c r="N355" s="20" t="str">
        <f t="shared" si="1"/>
        <v>#</v>
      </c>
      <c r="O355" s="20"/>
      <c r="P355" s="21"/>
      <c r="Q355" s="14" t="str">
        <f t="shared" si="2"/>
        <v/>
      </c>
      <c r="R355" s="14"/>
    </row>
    <row r="356">
      <c r="A356" s="14"/>
      <c r="B356" s="21"/>
      <c r="C356" s="14"/>
      <c r="D356" s="16"/>
      <c r="E356" s="16"/>
      <c r="F356" s="21"/>
      <c r="G356" s="21"/>
      <c r="H356" s="24"/>
      <c r="I356" s="24"/>
      <c r="J356" s="20"/>
      <c r="K356" s="20"/>
      <c r="L356" s="20"/>
      <c r="M356" s="20"/>
      <c r="N356" s="20" t="str">
        <f t="shared" si="1"/>
        <v>#</v>
      </c>
      <c r="O356" s="20"/>
      <c r="P356" s="21"/>
      <c r="Q356" s="14" t="str">
        <f t="shared" si="2"/>
        <v/>
      </c>
      <c r="R356" s="14"/>
    </row>
    <row r="357">
      <c r="A357" s="14"/>
      <c r="B357" s="21"/>
      <c r="C357" s="14"/>
      <c r="D357" s="16"/>
      <c r="E357" s="16"/>
      <c r="F357" s="21"/>
      <c r="G357" s="21"/>
      <c r="H357" s="24"/>
      <c r="I357" s="24"/>
      <c r="J357" s="20"/>
      <c r="K357" s="20"/>
      <c r="L357" s="20"/>
      <c r="M357" s="20"/>
      <c r="N357" s="20" t="str">
        <f t="shared" si="1"/>
        <v>#</v>
      </c>
      <c r="O357" s="20"/>
      <c r="P357" s="21"/>
      <c r="Q357" s="14" t="str">
        <f t="shared" si="2"/>
        <v/>
      </c>
      <c r="R357" s="14"/>
    </row>
    <row r="358">
      <c r="A358" s="14"/>
      <c r="B358" s="21"/>
      <c r="C358" s="14"/>
      <c r="D358" s="16"/>
      <c r="E358" s="16"/>
      <c r="F358" s="21"/>
      <c r="G358" s="21"/>
      <c r="H358" s="24"/>
      <c r="I358" s="24"/>
      <c r="J358" s="20"/>
      <c r="K358" s="20"/>
      <c r="L358" s="20"/>
      <c r="M358" s="20"/>
      <c r="N358" s="20" t="str">
        <f t="shared" si="1"/>
        <v>#</v>
      </c>
      <c r="O358" s="20"/>
      <c r="P358" s="21"/>
      <c r="Q358" s="14" t="str">
        <f t="shared" si="2"/>
        <v/>
      </c>
      <c r="R358" s="14"/>
    </row>
    <row r="359">
      <c r="A359" s="14"/>
      <c r="B359" s="21"/>
      <c r="C359" s="14"/>
      <c r="D359" s="16"/>
      <c r="E359" s="16"/>
      <c r="F359" s="21"/>
      <c r="G359" s="21"/>
      <c r="H359" s="24"/>
      <c r="I359" s="24"/>
      <c r="J359" s="20"/>
      <c r="K359" s="20"/>
      <c r="L359" s="20"/>
      <c r="M359" s="20"/>
      <c r="N359" s="20" t="str">
        <f t="shared" si="1"/>
        <v>#</v>
      </c>
      <c r="O359" s="20"/>
      <c r="P359" s="21"/>
      <c r="Q359" s="14" t="str">
        <f t="shared" si="2"/>
        <v/>
      </c>
      <c r="R359" s="14"/>
    </row>
    <row r="360">
      <c r="A360" s="14"/>
      <c r="B360" s="21"/>
      <c r="C360" s="14"/>
      <c r="D360" s="16"/>
      <c r="E360" s="16"/>
      <c r="F360" s="21"/>
      <c r="G360" s="21"/>
      <c r="H360" s="24"/>
      <c r="I360" s="24"/>
      <c r="J360" s="20"/>
      <c r="K360" s="20"/>
      <c r="L360" s="20"/>
      <c r="M360" s="20"/>
      <c r="N360" s="20" t="str">
        <f t="shared" si="1"/>
        <v>#</v>
      </c>
      <c r="O360" s="20"/>
      <c r="P360" s="21"/>
      <c r="Q360" s="14" t="str">
        <f t="shared" si="2"/>
        <v/>
      </c>
      <c r="R360" s="14"/>
    </row>
    <row r="361">
      <c r="A361" s="14"/>
      <c r="B361" s="21"/>
      <c r="C361" s="14"/>
      <c r="D361" s="16"/>
      <c r="E361" s="16"/>
      <c r="F361" s="21"/>
      <c r="G361" s="21"/>
      <c r="H361" s="24"/>
      <c r="I361" s="24"/>
      <c r="J361" s="20"/>
      <c r="K361" s="20"/>
      <c r="L361" s="20"/>
      <c r="M361" s="20"/>
      <c r="N361" s="20" t="str">
        <f t="shared" si="1"/>
        <v>#</v>
      </c>
      <c r="O361" s="20"/>
      <c r="P361" s="21"/>
      <c r="Q361" s="14" t="str">
        <f t="shared" si="2"/>
        <v/>
      </c>
      <c r="R361" s="14"/>
    </row>
    <row r="362">
      <c r="A362" s="14"/>
      <c r="B362" s="21"/>
      <c r="C362" s="14"/>
      <c r="D362" s="16"/>
      <c r="E362" s="16"/>
      <c r="F362" s="21"/>
      <c r="G362" s="21"/>
      <c r="H362" s="24"/>
      <c r="I362" s="24"/>
      <c r="J362" s="20"/>
      <c r="K362" s="20"/>
      <c r="L362" s="20"/>
      <c r="M362" s="20"/>
      <c r="N362" s="20" t="str">
        <f t="shared" si="1"/>
        <v>#</v>
      </c>
      <c r="O362" s="20"/>
      <c r="P362" s="21"/>
      <c r="Q362" s="14" t="str">
        <f t="shared" si="2"/>
        <v/>
      </c>
      <c r="R362" s="14"/>
    </row>
    <row r="363">
      <c r="A363" s="14"/>
      <c r="B363" s="21"/>
      <c r="C363" s="14"/>
      <c r="D363" s="16"/>
      <c r="E363" s="16"/>
      <c r="F363" s="21"/>
      <c r="G363" s="21"/>
      <c r="H363" s="24"/>
      <c r="I363" s="24"/>
      <c r="J363" s="20"/>
      <c r="K363" s="20"/>
      <c r="L363" s="20"/>
      <c r="M363" s="20"/>
      <c r="N363" s="20" t="str">
        <f t="shared" si="1"/>
        <v>#</v>
      </c>
      <c r="O363" s="20"/>
      <c r="P363" s="21"/>
      <c r="Q363" s="14" t="str">
        <f t="shared" si="2"/>
        <v/>
      </c>
      <c r="R363" s="14"/>
    </row>
    <row r="364">
      <c r="A364" s="14"/>
      <c r="B364" s="21"/>
      <c r="C364" s="14"/>
      <c r="D364" s="16"/>
      <c r="E364" s="16"/>
      <c r="F364" s="21"/>
      <c r="G364" s="21"/>
      <c r="H364" s="24"/>
      <c r="I364" s="24"/>
      <c r="J364" s="20"/>
      <c r="K364" s="20"/>
      <c r="L364" s="20"/>
      <c r="M364" s="20"/>
      <c r="N364" s="20" t="str">
        <f t="shared" si="1"/>
        <v>#</v>
      </c>
      <c r="O364" s="20"/>
      <c r="P364" s="21"/>
      <c r="Q364" s="14" t="str">
        <f t="shared" si="2"/>
        <v/>
      </c>
      <c r="R364" s="14"/>
    </row>
    <row r="365">
      <c r="A365" s="14"/>
      <c r="B365" s="21"/>
      <c r="C365" s="14"/>
      <c r="D365" s="16"/>
      <c r="E365" s="16"/>
      <c r="F365" s="21"/>
      <c r="G365" s="21"/>
      <c r="H365" s="24"/>
      <c r="I365" s="24"/>
      <c r="J365" s="20"/>
      <c r="K365" s="20"/>
      <c r="L365" s="20"/>
      <c r="M365" s="20"/>
      <c r="N365" s="20" t="str">
        <f t="shared" si="1"/>
        <v>#</v>
      </c>
      <c r="O365" s="20"/>
      <c r="P365" s="21"/>
      <c r="Q365" s="14" t="str">
        <f t="shared" si="2"/>
        <v/>
      </c>
      <c r="R365" s="14"/>
    </row>
    <row r="366">
      <c r="A366" s="14"/>
      <c r="B366" s="21"/>
      <c r="C366" s="14"/>
      <c r="D366" s="16"/>
      <c r="E366" s="16"/>
      <c r="F366" s="21"/>
      <c r="G366" s="21"/>
      <c r="H366" s="24"/>
      <c r="I366" s="24"/>
      <c r="J366" s="20"/>
      <c r="K366" s="20"/>
      <c r="L366" s="20"/>
      <c r="M366" s="20"/>
      <c r="N366" s="20" t="str">
        <f t="shared" si="1"/>
        <v>#</v>
      </c>
      <c r="O366" s="20"/>
      <c r="P366" s="21"/>
      <c r="Q366" s="14" t="str">
        <f t="shared" si="2"/>
        <v/>
      </c>
      <c r="R366" s="14"/>
    </row>
    <row r="367">
      <c r="A367" s="14"/>
      <c r="B367" s="21"/>
      <c r="C367" s="14"/>
      <c r="D367" s="16"/>
      <c r="E367" s="16"/>
      <c r="F367" s="21"/>
      <c r="G367" s="21"/>
      <c r="H367" s="24"/>
      <c r="I367" s="24"/>
      <c r="J367" s="20"/>
      <c r="K367" s="20"/>
      <c r="L367" s="20"/>
      <c r="M367" s="20"/>
      <c r="N367" s="20" t="str">
        <f t="shared" si="1"/>
        <v>#</v>
      </c>
      <c r="O367" s="20"/>
      <c r="P367" s="21"/>
      <c r="Q367" s="14" t="str">
        <f t="shared" si="2"/>
        <v/>
      </c>
      <c r="R367" s="14"/>
    </row>
    <row r="368">
      <c r="A368" s="14"/>
      <c r="B368" s="21"/>
      <c r="C368" s="14"/>
      <c r="D368" s="16"/>
      <c r="E368" s="16"/>
      <c r="F368" s="21"/>
      <c r="G368" s="21"/>
      <c r="H368" s="24"/>
      <c r="I368" s="24"/>
      <c r="J368" s="20"/>
      <c r="K368" s="20"/>
      <c r="L368" s="20"/>
      <c r="M368" s="20"/>
      <c r="N368" s="20" t="str">
        <f t="shared" si="1"/>
        <v>#</v>
      </c>
      <c r="O368" s="20"/>
      <c r="P368" s="21"/>
      <c r="Q368" s="14" t="str">
        <f t="shared" si="2"/>
        <v/>
      </c>
      <c r="R368" s="14"/>
    </row>
    <row r="369">
      <c r="A369" s="14"/>
      <c r="B369" s="21"/>
      <c r="C369" s="14"/>
      <c r="D369" s="16"/>
      <c r="E369" s="16"/>
      <c r="F369" s="21"/>
      <c r="G369" s="21"/>
      <c r="H369" s="24"/>
      <c r="I369" s="24"/>
      <c r="J369" s="20"/>
      <c r="K369" s="20"/>
      <c r="L369" s="20"/>
      <c r="M369" s="20"/>
      <c r="N369" s="20" t="str">
        <f t="shared" si="1"/>
        <v>#</v>
      </c>
      <c r="O369" s="20"/>
      <c r="P369" s="21"/>
      <c r="Q369" s="14" t="str">
        <f t="shared" si="2"/>
        <v/>
      </c>
      <c r="R369" s="14"/>
    </row>
    <row r="370">
      <c r="A370" s="14"/>
      <c r="B370" s="21"/>
      <c r="C370" s="14"/>
      <c r="D370" s="16"/>
      <c r="E370" s="16"/>
      <c r="F370" s="21"/>
      <c r="G370" s="21"/>
      <c r="H370" s="24"/>
      <c r="I370" s="24"/>
      <c r="J370" s="20"/>
      <c r="K370" s="20"/>
      <c r="L370" s="20"/>
      <c r="M370" s="20"/>
      <c r="N370" s="20" t="str">
        <f t="shared" si="1"/>
        <v>#</v>
      </c>
      <c r="O370" s="20"/>
      <c r="P370" s="21"/>
      <c r="Q370" s="14" t="str">
        <f t="shared" si="2"/>
        <v/>
      </c>
      <c r="R370" s="14"/>
    </row>
    <row r="371">
      <c r="A371" s="14"/>
      <c r="B371" s="21"/>
      <c r="C371" s="14"/>
      <c r="D371" s="16"/>
      <c r="E371" s="16"/>
      <c r="F371" s="21"/>
      <c r="G371" s="21"/>
      <c r="H371" s="24"/>
      <c r="I371" s="24"/>
      <c r="J371" s="20"/>
      <c r="K371" s="20"/>
      <c r="L371" s="20"/>
      <c r="M371" s="20"/>
      <c r="N371" s="20" t="str">
        <f t="shared" si="1"/>
        <v>#</v>
      </c>
      <c r="O371" s="20"/>
      <c r="P371" s="21"/>
      <c r="Q371" s="14" t="str">
        <f t="shared" si="2"/>
        <v/>
      </c>
      <c r="R371" s="14"/>
    </row>
    <row r="372">
      <c r="A372" s="14"/>
      <c r="B372" s="21"/>
      <c r="C372" s="14"/>
      <c r="D372" s="16"/>
      <c r="E372" s="16"/>
      <c r="F372" s="21"/>
      <c r="G372" s="21"/>
      <c r="H372" s="24"/>
      <c r="I372" s="24"/>
      <c r="J372" s="20"/>
      <c r="K372" s="20"/>
      <c r="L372" s="20"/>
      <c r="M372" s="20"/>
      <c r="N372" s="20" t="str">
        <f t="shared" si="1"/>
        <v>#</v>
      </c>
      <c r="O372" s="20"/>
      <c r="P372" s="21"/>
      <c r="Q372" s="14" t="str">
        <f t="shared" si="2"/>
        <v/>
      </c>
      <c r="R372" s="14"/>
    </row>
    <row r="373">
      <c r="A373" s="14"/>
      <c r="B373" s="21"/>
      <c r="C373" s="14"/>
      <c r="D373" s="16"/>
      <c r="E373" s="16"/>
      <c r="F373" s="21"/>
      <c r="G373" s="21"/>
      <c r="H373" s="24"/>
      <c r="I373" s="24"/>
      <c r="J373" s="20"/>
      <c r="K373" s="20"/>
      <c r="L373" s="20"/>
      <c r="M373" s="20"/>
      <c r="N373" s="20" t="str">
        <f t="shared" si="1"/>
        <v>#</v>
      </c>
      <c r="O373" s="20"/>
      <c r="P373" s="21"/>
      <c r="Q373" s="14" t="str">
        <f t="shared" si="2"/>
        <v/>
      </c>
      <c r="R373" s="14"/>
    </row>
    <row r="374">
      <c r="A374" s="14"/>
      <c r="B374" s="21"/>
      <c r="C374" s="14"/>
      <c r="D374" s="16"/>
      <c r="E374" s="16"/>
      <c r="F374" s="21"/>
      <c r="G374" s="21"/>
      <c r="H374" s="24"/>
      <c r="I374" s="24"/>
      <c r="J374" s="20"/>
      <c r="K374" s="20"/>
      <c r="L374" s="20"/>
      <c r="M374" s="20"/>
      <c r="N374" s="20" t="str">
        <f t="shared" si="1"/>
        <v>#</v>
      </c>
      <c r="O374" s="20"/>
      <c r="P374" s="21"/>
      <c r="Q374" s="14" t="str">
        <f t="shared" si="2"/>
        <v/>
      </c>
      <c r="R374" s="14"/>
    </row>
    <row r="375">
      <c r="A375" s="14"/>
      <c r="B375" s="21"/>
      <c r="C375" s="14"/>
      <c r="D375" s="16"/>
      <c r="E375" s="16"/>
      <c r="F375" s="21"/>
      <c r="G375" s="21"/>
      <c r="H375" s="24"/>
      <c r="I375" s="24"/>
      <c r="J375" s="20"/>
      <c r="K375" s="20"/>
      <c r="L375" s="20"/>
      <c r="M375" s="20"/>
      <c r="N375" s="20" t="str">
        <f t="shared" si="1"/>
        <v>#</v>
      </c>
      <c r="O375" s="20"/>
      <c r="P375" s="21"/>
      <c r="Q375" s="14" t="str">
        <f t="shared" si="2"/>
        <v/>
      </c>
      <c r="R375" s="14"/>
    </row>
    <row r="376">
      <c r="A376" s="14"/>
      <c r="B376" s="21"/>
      <c r="C376" s="14"/>
      <c r="D376" s="16"/>
      <c r="E376" s="16"/>
      <c r="F376" s="21"/>
      <c r="G376" s="21"/>
      <c r="H376" s="24"/>
      <c r="I376" s="24"/>
      <c r="J376" s="20"/>
      <c r="K376" s="20"/>
      <c r="L376" s="20"/>
      <c r="M376" s="20"/>
      <c r="N376" s="20" t="str">
        <f t="shared" si="1"/>
        <v>#</v>
      </c>
      <c r="O376" s="20"/>
      <c r="P376" s="21"/>
      <c r="Q376" s="14" t="str">
        <f t="shared" si="2"/>
        <v/>
      </c>
      <c r="R376" s="14"/>
    </row>
    <row r="377">
      <c r="A377" s="14"/>
      <c r="B377" s="21"/>
      <c r="C377" s="14"/>
      <c r="D377" s="16"/>
      <c r="E377" s="16"/>
      <c r="F377" s="21"/>
      <c r="G377" s="21"/>
      <c r="H377" s="24"/>
      <c r="I377" s="24"/>
      <c r="J377" s="20"/>
      <c r="K377" s="20"/>
      <c r="L377" s="20"/>
      <c r="M377" s="20"/>
      <c r="N377" s="20" t="str">
        <f t="shared" si="1"/>
        <v>#</v>
      </c>
      <c r="O377" s="20"/>
      <c r="P377" s="21"/>
      <c r="Q377" s="14" t="str">
        <f t="shared" si="2"/>
        <v/>
      </c>
      <c r="R377" s="14"/>
    </row>
    <row r="378">
      <c r="A378" s="14"/>
      <c r="B378" s="21"/>
      <c r="C378" s="14"/>
      <c r="D378" s="16"/>
      <c r="E378" s="16"/>
      <c r="F378" s="21"/>
      <c r="G378" s="21"/>
      <c r="H378" s="24"/>
      <c r="I378" s="24"/>
      <c r="J378" s="20"/>
      <c r="K378" s="20"/>
      <c r="L378" s="20"/>
      <c r="M378" s="20"/>
      <c r="N378" s="20" t="str">
        <f t="shared" si="1"/>
        <v>#</v>
      </c>
      <c r="O378" s="20"/>
      <c r="P378" s="21"/>
      <c r="Q378" s="14" t="str">
        <f t="shared" si="2"/>
        <v/>
      </c>
      <c r="R378" s="14"/>
    </row>
    <row r="379">
      <c r="A379" s="14"/>
      <c r="B379" s="21"/>
      <c r="C379" s="14"/>
      <c r="D379" s="16"/>
      <c r="E379" s="16"/>
      <c r="F379" s="21"/>
      <c r="G379" s="21"/>
      <c r="H379" s="24"/>
      <c r="I379" s="24"/>
      <c r="J379" s="20"/>
      <c r="K379" s="20"/>
      <c r="L379" s="20"/>
      <c r="M379" s="20"/>
      <c r="N379" s="20" t="str">
        <f t="shared" si="1"/>
        <v>#</v>
      </c>
      <c r="O379" s="20"/>
      <c r="P379" s="21"/>
      <c r="Q379" s="14" t="str">
        <f t="shared" si="2"/>
        <v/>
      </c>
      <c r="R379" s="14"/>
    </row>
    <row r="380">
      <c r="A380" s="14"/>
      <c r="B380" s="21"/>
      <c r="C380" s="14"/>
      <c r="D380" s="16"/>
      <c r="E380" s="16"/>
      <c r="F380" s="21"/>
      <c r="G380" s="21"/>
      <c r="H380" s="24"/>
      <c r="I380" s="24"/>
      <c r="J380" s="20"/>
      <c r="K380" s="20"/>
      <c r="L380" s="20"/>
      <c r="M380" s="20"/>
      <c r="N380" s="20" t="str">
        <f t="shared" si="1"/>
        <v>#</v>
      </c>
      <c r="O380" s="20"/>
      <c r="P380" s="21"/>
      <c r="Q380" s="14" t="str">
        <f t="shared" si="2"/>
        <v/>
      </c>
      <c r="R380" s="14"/>
    </row>
    <row r="381">
      <c r="A381" s="14"/>
      <c r="B381" s="21"/>
      <c r="C381" s="14"/>
      <c r="D381" s="16"/>
      <c r="E381" s="16"/>
      <c r="F381" s="21"/>
      <c r="G381" s="21"/>
      <c r="H381" s="24"/>
      <c r="I381" s="24"/>
      <c r="J381" s="20"/>
      <c r="K381" s="20"/>
      <c r="L381" s="20"/>
      <c r="M381" s="20"/>
      <c r="N381" s="20" t="str">
        <f t="shared" si="1"/>
        <v>#</v>
      </c>
      <c r="O381" s="20"/>
      <c r="P381" s="21"/>
      <c r="Q381" s="14" t="str">
        <f t="shared" si="2"/>
        <v/>
      </c>
      <c r="R381" s="14"/>
    </row>
    <row r="382">
      <c r="A382" s="14"/>
      <c r="B382" s="21"/>
      <c r="C382" s="14"/>
      <c r="D382" s="16"/>
      <c r="E382" s="16"/>
      <c r="F382" s="21"/>
      <c r="G382" s="21"/>
      <c r="H382" s="24"/>
      <c r="I382" s="24"/>
      <c r="J382" s="20"/>
      <c r="K382" s="20"/>
      <c r="L382" s="20"/>
      <c r="M382" s="20"/>
      <c r="N382" s="20" t="str">
        <f t="shared" si="1"/>
        <v>#</v>
      </c>
      <c r="O382" s="20"/>
      <c r="P382" s="21"/>
      <c r="Q382" s="14" t="str">
        <f t="shared" si="2"/>
        <v/>
      </c>
      <c r="R382" s="14"/>
    </row>
    <row r="383">
      <c r="A383" s="14"/>
      <c r="B383" s="21"/>
      <c r="C383" s="14"/>
      <c r="D383" s="16"/>
      <c r="E383" s="16"/>
      <c r="F383" s="21"/>
      <c r="G383" s="21"/>
      <c r="H383" s="24"/>
      <c r="I383" s="24"/>
      <c r="J383" s="20"/>
      <c r="K383" s="20"/>
      <c r="L383" s="20"/>
      <c r="M383" s="20"/>
      <c r="N383" s="20" t="str">
        <f t="shared" si="1"/>
        <v>#</v>
      </c>
      <c r="O383" s="20"/>
      <c r="P383" s="21"/>
      <c r="Q383" s="14" t="str">
        <f t="shared" si="2"/>
        <v/>
      </c>
      <c r="R383" s="14"/>
    </row>
    <row r="384">
      <c r="A384" s="14"/>
      <c r="B384" s="21"/>
      <c r="C384" s="14"/>
      <c r="D384" s="16"/>
      <c r="E384" s="16"/>
      <c r="F384" s="21"/>
      <c r="G384" s="21"/>
      <c r="H384" s="24"/>
      <c r="I384" s="24"/>
      <c r="J384" s="20"/>
      <c r="K384" s="20"/>
      <c r="L384" s="20"/>
      <c r="M384" s="20"/>
      <c r="N384" s="20" t="str">
        <f t="shared" si="1"/>
        <v>#</v>
      </c>
      <c r="O384" s="20"/>
      <c r="P384" s="21"/>
      <c r="Q384" s="14" t="str">
        <f t="shared" si="2"/>
        <v/>
      </c>
      <c r="R384" s="14"/>
    </row>
    <row r="385">
      <c r="A385" s="14"/>
      <c r="B385" s="21"/>
      <c r="C385" s="14"/>
      <c r="D385" s="16"/>
      <c r="E385" s="16"/>
      <c r="F385" s="21"/>
      <c r="G385" s="21"/>
      <c r="H385" s="24"/>
      <c r="I385" s="24"/>
      <c r="J385" s="20"/>
      <c r="K385" s="20"/>
      <c r="L385" s="20"/>
      <c r="M385" s="20"/>
      <c r="N385" s="20" t="str">
        <f t="shared" si="1"/>
        <v>#</v>
      </c>
      <c r="O385" s="20"/>
      <c r="P385" s="21"/>
      <c r="Q385" s="14" t="str">
        <f t="shared" si="2"/>
        <v/>
      </c>
      <c r="R385" s="14"/>
    </row>
    <row r="386">
      <c r="A386" s="14"/>
      <c r="B386" s="21"/>
      <c r="C386" s="14"/>
      <c r="D386" s="16"/>
      <c r="E386" s="16"/>
      <c r="F386" s="21"/>
      <c r="G386" s="21"/>
      <c r="H386" s="24"/>
      <c r="I386" s="24"/>
      <c r="J386" s="20"/>
      <c r="K386" s="20"/>
      <c r="L386" s="20"/>
      <c r="M386" s="20"/>
      <c r="N386" s="20" t="str">
        <f t="shared" si="1"/>
        <v>#</v>
      </c>
      <c r="O386" s="20"/>
      <c r="P386" s="21"/>
      <c r="Q386" s="14" t="str">
        <f t="shared" si="2"/>
        <v/>
      </c>
      <c r="R386" s="14"/>
    </row>
    <row r="387">
      <c r="A387" s="14"/>
      <c r="B387" s="21"/>
      <c r="C387" s="14"/>
      <c r="D387" s="16"/>
      <c r="E387" s="16"/>
      <c r="F387" s="21"/>
      <c r="G387" s="21"/>
      <c r="H387" s="24"/>
      <c r="I387" s="24"/>
      <c r="J387" s="20"/>
      <c r="K387" s="20"/>
      <c r="L387" s="20"/>
      <c r="M387" s="20"/>
      <c r="N387" s="20" t="str">
        <f t="shared" si="1"/>
        <v>#</v>
      </c>
      <c r="O387" s="20"/>
      <c r="P387" s="21"/>
      <c r="Q387" s="14" t="str">
        <f t="shared" si="2"/>
        <v/>
      </c>
      <c r="R387" s="14"/>
    </row>
    <row r="388">
      <c r="A388" s="14"/>
      <c r="B388" s="21"/>
      <c r="C388" s="14"/>
      <c r="D388" s="16"/>
      <c r="E388" s="16"/>
      <c r="F388" s="21"/>
      <c r="G388" s="21"/>
      <c r="H388" s="24"/>
      <c r="I388" s="24"/>
      <c r="J388" s="20"/>
      <c r="K388" s="20"/>
      <c r="L388" s="20"/>
      <c r="M388" s="20"/>
      <c r="N388" s="20" t="str">
        <f t="shared" si="1"/>
        <v>#</v>
      </c>
      <c r="O388" s="20"/>
      <c r="P388" s="21"/>
      <c r="Q388" s="14" t="str">
        <f t="shared" si="2"/>
        <v/>
      </c>
      <c r="R388" s="14"/>
    </row>
    <row r="389">
      <c r="A389" s="14"/>
      <c r="B389" s="21"/>
      <c r="C389" s="14"/>
      <c r="D389" s="16"/>
      <c r="E389" s="16"/>
      <c r="F389" s="21"/>
      <c r="G389" s="21"/>
      <c r="H389" s="24"/>
      <c r="I389" s="24"/>
      <c r="J389" s="20"/>
      <c r="K389" s="20"/>
      <c r="L389" s="20"/>
      <c r="M389" s="20"/>
      <c r="N389" s="20" t="str">
        <f t="shared" si="1"/>
        <v>#</v>
      </c>
      <c r="O389" s="20"/>
      <c r="P389" s="21"/>
      <c r="Q389" s="14" t="str">
        <f t="shared" si="2"/>
        <v/>
      </c>
      <c r="R389" s="14"/>
    </row>
    <row r="390">
      <c r="A390" s="14"/>
      <c r="B390" s="21"/>
      <c r="C390" s="14"/>
      <c r="D390" s="16"/>
      <c r="E390" s="16"/>
      <c r="F390" s="21"/>
      <c r="G390" s="21"/>
      <c r="H390" s="24"/>
      <c r="I390" s="24"/>
      <c r="J390" s="20"/>
      <c r="K390" s="20"/>
      <c r="L390" s="20"/>
      <c r="M390" s="20"/>
      <c r="N390" s="20" t="str">
        <f t="shared" si="1"/>
        <v>#</v>
      </c>
      <c r="O390" s="20"/>
      <c r="P390" s="21"/>
      <c r="Q390" s="14" t="str">
        <f t="shared" si="2"/>
        <v/>
      </c>
      <c r="R390" s="14"/>
    </row>
    <row r="391">
      <c r="A391" s="14"/>
      <c r="B391" s="21"/>
      <c r="C391" s="14"/>
      <c r="D391" s="16"/>
      <c r="E391" s="16"/>
      <c r="F391" s="21"/>
      <c r="G391" s="21"/>
      <c r="H391" s="24"/>
      <c r="I391" s="24"/>
      <c r="J391" s="20"/>
      <c r="K391" s="20"/>
      <c r="L391" s="20"/>
      <c r="M391" s="20"/>
      <c r="N391" s="20" t="str">
        <f t="shared" si="1"/>
        <v>#</v>
      </c>
      <c r="O391" s="20"/>
      <c r="P391" s="21"/>
      <c r="Q391" s="14" t="str">
        <f t="shared" si="2"/>
        <v/>
      </c>
      <c r="R391" s="14"/>
    </row>
    <row r="392">
      <c r="A392" s="14"/>
      <c r="B392" s="21"/>
      <c r="C392" s="14"/>
      <c r="D392" s="16"/>
      <c r="E392" s="16"/>
      <c r="F392" s="21"/>
      <c r="G392" s="21"/>
      <c r="H392" s="24"/>
      <c r="I392" s="24"/>
      <c r="J392" s="20"/>
      <c r="K392" s="20"/>
      <c r="L392" s="20"/>
      <c r="M392" s="20"/>
      <c r="N392" s="20" t="str">
        <f t="shared" si="1"/>
        <v>#</v>
      </c>
      <c r="O392" s="20"/>
      <c r="P392" s="21"/>
      <c r="Q392" s="14" t="str">
        <f t="shared" si="2"/>
        <v/>
      </c>
      <c r="R392" s="14"/>
    </row>
    <row r="393">
      <c r="A393" s="14"/>
      <c r="B393" s="21"/>
      <c r="C393" s="14"/>
      <c r="D393" s="16"/>
      <c r="E393" s="16"/>
      <c r="F393" s="21"/>
      <c r="G393" s="21"/>
      <c r="H393" s="24"/>
      <c r="I393" s="24"/>
      <c r="J393" s="20"/>
      <c r="K393" s="20"/>
      <c r="L393" s="20"/>
      <c r="M393" s="20"/>
      <c r="N393" s="20" t="str">
        <f t="shared" si="1"/>
        <v>#</v>
      </c>
      <c r="O393" s="20"/>
      <c r="P393" s="21"/>
      <c r="Q393" s="14" t="str">
        <f t="shared" si="2"/>
        <v/>
      </c>
      <c r="R393" s="14"/>
    </row>
    <row r="394">
      <c r="A394" s="14"/>
      <c r="B394" s="21"/>
      <c r="C394" s="14"/>
      <c r="D394" s="16"/>
      <c r="E394" s="16"/>
      <c r="F394" s="21"/>
      <c r="G394" s="21"/>
      <c r="H394" s="24"/>
      <c r="I394" s="24"/>
      <c r="J394" s="20"/>
      <c r="K394" s="20"/>
      <c r="L394" s="20"/>
      <c r="M394" s="20"/>
      <c r="N394" s="20" t="str">
        <f t="shared" si="1"/>
        <v>#</v>
      </c>
      <c r="O394" s="20"/>
      <c r="P394" s="21"/>
      <c r="Q394" s="14" t="str">
        <f t="shared" si="2"/>
        <v/>
      </c>
      <c r="R394" s="14"/>
    </row>
    <row r="395">
      <c r="A395" s="14"/>
      <c r="B395" s="21"/>
      <c r="C395" s="14"/>
      <c r="D395" s="16"/>
      <c r="E395" s="16"/>
      <c r="F395" s="21"/>
      <c r="G395" s="21"/>
      <c r="H395" s="24"/>
      <c r="I395" s="24"/>
      <c r="J395" s="20"/>
      <c r="K395" s="20"/>
      <c r="L395" s="20"/>
      <c r="M395" s="20"/>
      <c r="N395" s="20" t="str">
        <f t="shared" si="1"/>
        <v>#</v>
      </c>
      <c r="O395" s="20"/>
      <c r="P395" s="21"/>
      <c r="Q395" s="14" t="str">
        <f t="shared" si="2"/>
        <v/>
      </c>
      <c r="R395" s="14"/>
    </row>
    <row r="396">
      <c r="A396" s="14"/>
      <c r="B396" s="21"/>
      <c r="C396" s="14"/>
      <c r="D396" s="16"/>
      <c r="E396" s="16"/>
      <c r="F396" s="21"/>
      <c r="G396" s="21"/>
      <c r="H396" s="24"/>
      <c r="I396" s="24"/>
      <c r="J396" s="20"/>
      <c r="K396" s="20"/>
      <c r="L396" s="20"/>
      <c r="M396" s="20"/>
      <c r="N396" s="20" t="str">
        <f t="shared" si="1"/>
        <v>#</v>
      </c>
      <c r="O396" s="20"/>
      <c r="P396" s="21"/>
      <c r="Q396" s="14" t="str">
        <f t="shared" si="2"/>
        <v/>
      </c>
      <c r="R396" s="14"/>
    </row>
    <row r="397">
      <c r="A397" s="14"/>
      <c r="B397" s="21"/>
      <c r="C397" s="14"/>
      <c r="D397" s="16"/>
      <c r="E397" s="16"/>
      <c r="F397" s="21"/>
      <c r="G397" s="21"/>
      <c r="H397" s="24"/>
      <c r="I397" s="24"/>
      <c r="J397" s="20"/>
      <c r="K397" s="20"/>
      <c r="L397" s="20"/>
      <c r="M397" s="20"/>
      <c r="N397" s="20" t="str">
        <f t="shared" si="1"/>
        <v>#</v>
      </c>
      <c r="O397" s="20"/>
      <c r="P397" s="21"/>
      <c r="Q397" s="14" t="str">
        <f t="shared" si="2"/>
        <v/>
      </c>
      <c r="R397" s="14"/>
    </row>
    <row r="398">
      <c r="A398" s="14"/>
      <c r="B398" s="21"/>
      <c r="C398" s="14"/>
      <c r="D398" s="16"/>
      <c r="E398" s="16"/>
      <c r="F398" s="21"/>
      <c r="G398" s="21"/>
      <c r="H398" s="24"/>
      <c r="I398" s="24"/>
      <c r="J398" s="20"/>
      <c r="K398" s="20"/>
      <c r="L398" s="20"/>
      <c r="M398" s="20"/>
      <c r="N398" s="20" t="str">
        <f t="shared" si="1"/>
        <v>#</v>
      </c>
      <c r="O398" s="20"/>
      <c r="P398" s="21"/>
      <c r="Q398" s="14" t="str">
        <f t="shared" si="2"/>
        <v/>
      </c>
      <c r="R398" s="14"/>
    </row>
    <row r="399">
      <c r="A399" s="14"/>
      <c r="B399" s="21"/>
      <c r="C399" s="14"/>
      <c r="D399" s="16"/>
      <c r="E399" s="16"/>
      <c r="F399" s="21"/>
      <c r="G399" s="21"/>
      <c r="H399" s="24"/>
      <c r="I399" s="24"/>
      <c r="J399" s="20"/>
      <c r="K399" s="20"/>
      <c r="L399" s="20"/>
      <c r="M399" s="20"/>
      <c r="N399" s="20" t="str">
        <f t="shared" si="1"/>
        <v>#</v>
      </c>
      <c r="O399" s="20"/>
      <c r="P399" s="21"/>
      <c r="Q399" s="14" t="str">
        <f t="shared" si="2"/>
        <v/>
      </c>
      <c r="R399" s="14"/>
    </row>
    <row r="400">
      <c r="A400" s="14"/>
      <c r="B400" s="21"/>
      <c r="C400" s="14"/>
      <c r="D400" s="16"/>
      <c r="E400" s="16"/>
      <c r="F400" s="21"/>
      <c r="G400" s="21"/>
      <c r="H400" s="24"/>
      <c r="I400" s="24"/>
      <c r="J400" s="20"/>
      <c r="K400" s="20"/>
      <c r="L400" s="20"/>
      <c r="M400" s="20"/>
      <c r="N400" s="20" t="str">
        <f t="shared" si="1"/>
        <v>#</v>
      </c>
      <c r="O400" s="20"/>
      <c r="P400" s="21"/>
      <c r="Q400" s="14" t="str">
        <f t="shared" si="2"/>
        <v/>
      </c>
      <c r="R400" s="14"/>
    </row>
    <row r="401">
      <c r="A401" s="14"/>
      <c r="B401" s="21"/>
      <c r="C401" s="14"/>
      <c r="D401" s="16"/>
      <c r="E401" s="16"/>
      <c r="F401" s="21"/>
      <c r="G401" s="21"/>
      <c r="H401" s="24"/>
      <c r="I401" s="24"/>
      <c r="J401" s="20"/>
      <c r="K401" s="20"/>
      <c r="L401" s="20"/>
      <c r="M401" s="20"/>
      <c r="N401" s="20" t="str">
        <f t="shared" si="1"/>
        <v>#</v>
      </c>
      <c r="O401" s="20"/>
      <c r="P401" s="21"/>
      <c r="Q401" s="14" t="str">
        <f t="shared" si="2"/>
        <v/>
      </c>
      <c r="R401" s="14"/>
    </row>
    <row r="402">
      <c r="A402" s="14"/>
      <c r="B402" s="21"/>
      <c r="C402" s="14"/>
      <c r="D402" s="16"/>
      <c r="E402" s="16"/>
      <c r="F402" s="21"/>
      <c r="G402" s="21"/>
      <c r="H402" s="24"/>
      <c r="I402" s="24"/>
      <c r="J402" s="20"/>
      <c r="K402" s="20"/>
      <c r="L402" s="20"/>
      <c r="M402" s="20"/>
      <c r="N402" s="20" t="str">
        <f t="shared" si="1"/>
        <v>#</v>
      </c>
      <c r="O402" s="20"/>
      <c r="P402" s="21"/>
      <c r="Q402" s="14" t="str">
        <f t="shared" si="2"/>
        <v/>
      </c>
      <c r="R402" s="14"/>
    </row>
    <row r="403">
      <c r="A403" s="14"/>
      <c r="B403" s="21"/>
      <c r="C403" s="14"/>
      <c r="D403" s="16"/>
      <c r="E403" s="16"/>
      <c r="F403" s="21"/>
      <c r="G403" s="21"/>
      <c r="H403" s="24"/>
      <c r="I403" s="24"/>
      <c r="J403" s="20"/>
      <c r="K403" s="20"/>
      <c r="L403" s="20"/>
      <c r="M403" s="20"/>
      <c r="N403" s="20" t="str">
        <f t="shared" si="1"/>
        <v>#</v>
      </c>
      <c r="O403" s="20"/>
      <c r="P403" s="21"/>
      <c r="Q403" s="14" t="str">
        <f t="shared" si="2"/>
        <v/>
      </c>
      <c r="R403" s="14"/>
    </row>
    <row r="404">
      <c r="A404" s="14"/>
      <c r="B404" s="21"/>
      <c r="C404" s="14"/>
      <c r="D404" s="16"/>
      <c r="E404" s="16"/>
      <c r="F404" s="21"/>
      <c r="G404" s="21"/>
      <c r="H404" s="24"/>
      <c r="I404" s="24"/>
      <c r="J404" s="20"/>
      <c r="K404" s="20"/>
      <c r="L404" s="20"/>
      <c r="M404" s="20"/>
      <c r="N404" s="20" t="str">
        <f t="shared" si="1"/>
        <v>#</v>
      </c>
      <c r="O404" s="20"/>
      <c r="P404" s="21"/>
      <c r="Q404" s="14" t="str">
        <f t="shared" si="2"/>
        <v/>
      </c>
      <c r="R404" s="14"/>
    </row>
    <row r="405">
      <c r="A405" s="14"/>
      <c r="B405" s="21"/>
      <c r="C405" s="14"/>
      <c r="D405" s="16"/>
      <c r="E405" s="16"/>
      <c r="F405" s="21"/>
      <c r="G405" s="21"/>
      <c r="H405" s="24"/>
      <c r="I405" s="24"/>
      <c r="J405" s="20"/>
      <c r="K405" s="20"/>
      <c r="L405" s="20"/>
      <c r="M405" s="20"/>
      <c r="N405" s="20" t="str">
        <f t="shared" si="1"/>
        <v>#</v>
      </c>
      <c r="O405" s="20"/>
      <c r="P405" s="21"/>
      <c r="Q405" s="14" t="str">
        <f t="shared" si="2"/>
        <v/>
      </c>
      <c r="R405" s="14"/>
    </row>
    <row r="406">
      <c r="A406" s="14"/>
      <c r="B406" s="21"/>
      <c r="C406" s="14"/>
      <c r="D406" s="16"/>
      <c r="E406" s="16"/>
      <c r="F406" s="21"/>
      <c r="G406" s="21"/>
      <c r="H406" s="24"/>
      <c r="I406" s="24"/>
      <c r="J406" s="20"/>
      <c r="K406" s="20"/>
      <c r="L406" s="20"/>
      <c r="M406" s="20"/>
      <c r="N406" s="20" t="str">
        <f t="shared" si="1"/>
        <v>#</v>
      </c>
      <c r="O406" s="20"/>
      <c r="P406" s="21"/>
      <c r="Q406" s="14" t="str">
        <f t="shared" si="2"/>
        <v/>
      </c>
      <c r="R406" s="14"/>
    </row>
    <row r="407">
      <c r="A407" s="14"/>
      <c r="B407" s="21"/>
      <c r="C407" s="14"/>
      <c r="D407" s="16"/>
      <c r="E407" s="16"/>
      <c r="F407" s="21"/>
      <c r="G407" s="21"/>
      <c r="H407" s="24"/>
      <c r="I407" s="24"/>
      <c r="J407" s="20"/>
      <c r="K407" s="20"/>
      <c r="L407" s="20"/>
      <c r="M407" s="20"/>
      <c r="N407" s="20" t="str">
        <f t="shared" si="1"/>
        <v>#</v>
      </c>
      <c r="O407" s="20"/>
      <c r="P407" s="21"/>
      <c r="Q407" s="14" t="str">
        <f t="shared" si="2"/>
        <v/>
      </c>
      <c r="R407" s="14"/>
    </row>
    <row r="408">
      <c r="A408" s="14"/>
      <c r="B408" s="21"/>
      <c r="C408" s="14"/>
      <c r="D408" s="16"/>
      <c r="E408" s="16"/>
      <c r="F408" s="21"/>
      <c r="G408" s="21"/>
      <c r="H408" s="24"/>
      <c r="I408" s="24"/>
      <c r="J408" s="20"/>
      <c r="K408" s="20"/>
      <c r="L408" s="20"/>
      <c r="M408" s="20"/>
      <c r="N408" s="20" t="str">
        <f t="shared" si="1"/>
        <v>#</v>
      </c>
      <c r="O408" s="20"/>
      <c r="P408" s="21"/>
      <c r="Q408" s="14" t="str">
        <f t="shared" si="2"/>
        <v/>
      </c>
      <c r="R408" s="14"/>
    </row>
    <row r="409">
      <c r="A409" s="14"/>
      <c r="B409" s="21"/>
      <c r="C409" s="14"/>
      <c r="D409" s="16"/>
      <c r="E409" s="16"/>
      <c r="F409" s="21"/>
      <c r="G409" s="21"/>
      <c r="H409" s="24"/>
      <c r="I409" s="24"/>
      <c r="J409" s="20"/>
      <c r="K409" s="20"/>
      <c r="L409" s="20"/>
      <c r="M409" s="20"/>
      <c r="N409" s="20" t="str">
        <f t="shared" si="1"/>
        <v>#</v>
      </c>
      <c r="O409" s="20"/>
      <c r="P409" s="21"/>
      <c r="Q409" s="14" t="str">
        <f t="shared" si="2"/>
        <v/>
      </c>
      <c r="R409" s="14"/>
    </row>
    <row r="410">
      <c r="A410" s="14"/>
      <c r="B410" s="21"/>
      <c r="C410" s="14"/>
      <c r="D410" s="16"/>
      <c r="E410" s="16"/>
      <c r="F410" s="21"/>
      <c r="G410" s="21"/>
      <c r="H410" s="24"/>
      <c r="I410" s="24"/>
      <c r="J410" s="20"/>
      <c r="K410" s="20"/>
      <c r="L410" s="20"/>
      <c r="M410" s="20"/>
      <c r="N410" s="20" t="str">
        <f t="shared" si="1"/>
        <v>#</v>
      </c>
      <c r="O410" s="20"/>
      <c r="P410" s="21"/>
      <c r="Q410" s="14" t="str">
        <f t="shared" si="2"/>
        <v/>
      </c>
      <c r="R410" s="14"/>
    </row>
    <row r="411">
      <c r="A411" s="14"/>
      <c r="B411" s="21"/>
      <c r="C411" s="14"/>
      <c r="D411" s="16"/>
      <c r="E411" s="16"/>
      <c r="F411" s="21"/>
      <c r="G411" s="21"/>
      <c r="H411" s="24"/>
      <c r="I411" s="24"/>
      <c r="J411" s="20"/>
      <c r="K411" s="20"/>
      <c r="L411" s="20"/>
      <c r="M411" s="20"/>
      <c r="N411" s="20" t="str">
        <f t="shared" si="1"/>
        <v>#</v>
      </c>
      <c r="O411" s="20"/>
      <c r="P411" s="21"/>
      <c r="Q411" s="14" t="str">
        <f t="shared" si="2"/>
        <v/>
      </c>
      <c r="R411" s="14"/>
    </row>
    <row r="412">
      <c r="A412" s="14"/>
      <c r="B412" s="21"/>
      <c r="C412" s="14"/>
      <c r="D412" s="16"/>
      <c r="E412" s="16"/>
      <c r="F412" s="21"/>
      <c r="G412" s="21"/>
      <c r="H412" s="24"/>
      <c r="I412" s="24"/>
      <c r="J412" s="20"/>
      <c r="K412" s="20"/>
      <c r="L412" s="20"/>
      <c r="M412" s="20"/>
      <c r="N412" s="20" t="str">
        <f t="shared" si="1"/>
        <v>#</v>
      </c>
      <c r="O412" s="20"/>
      <c r="P412" s="21"/>
      <c r="Q412" s="14" t="str">
        <f t="shared" si="2"/>
        <v/>
      </c>
      <c r="R412" s="14"/>
    </row>
    <row r="413">
      <c r="A413" s="14"/>
      <c r="B413" s="21"/>
      <c r="C413" s="14"/>
      <c r="D413" s="16"/>
      <c r="E413" s="16"/>
      <c r="F413" s="21"/>
      <c r="G413" s="21"/>
      <c r="H413" s="24"/>
      <c r="I413" s="24"/>
      <c r="J413" s="20"/>
      <c r="K413" s="20"/>
      <c r="L413" s="20"/>
      <c r="M413" s="20"/>
      <c r="N413" s="20" t="str">
        <f t="shared" si="1"/>
        <v>#</v>
      </c>
      <c r="O413" s="20"/>
      <c r="P413" s="21"/>
      <c r="Q413" s="14" t="str">
        <f t="shared" si="2"/>
        <v/>
      </c>
      <c r="R413" s="14"/>
    </row>
    <row r="414">
      <c r="A414" s="14"/>
      <c r="B414" s="21"/>
      <c r="C414" s="14"/>
      <c r="D414" s="16"/>
      <c r="E414" s="16"/>
      <c r="F414" s="21"/>
      <c r="G414" s="21"/>
      <c r="H414" s="24"/>
      <c r="I414" s="24"/>
      <c r="J414" s="20"/>
      <c r="K414" s="20"/>
      <c r="L414" s="20"/>
      <c r="M414" s="20"/>
      <c r="N414" s="20" t="str">
        <f t="shared" si="1"/>
        <v>#</v>
      </c>
      <c r="O414" s="20"/>
      <c r="P414" s="21"/>
      <c r="Q414" s="14" t="str">
        <f t="shared" si="2"/>
        <v/>
      </c>
      <c r="R414" s="14"/>
    </row>
    <row r="415">
      <c r="A415" s="14"/>
      <c r="B415" s="21"/>
      <c r="C415" s="14"/>
      <c r="D415" s="16"/>
      <c r="E415" s="16"/>
      <c r="F415" s="21"/>
      <c r="G415" s="21"/>
      <c r="H415" s="24"/>
      <c r="I415" s="24"/>
      <c r="J415" s="20"/>
      <c r="K415" s="20"/>
      <c r="L415" s="20"/>
      <c r="M415" s="20"/>
      <c r="N415" s="20" t="str">
        <f t="shared" si="1"/>
        <v>#</v>
      </c>
      <c r="O415" s="20"/>
      <c r="P415" s="21"/>
      <c r="Q415" s="14" t="str">
        <f t="shared" si="2"/>
        <v/>
      </c>
      <c r="R415" s="14"/>
    </row>
    <row r="416">
      <c r="A416" s="14"/>
      <c r="B416" s="21"/>
      <c r="C416" s="14"/>
      <c r="D416" s="16"/>
      <c r="E416" s="16"/>
      <c r="F416" s="21"/>
      <c r="G416" s="21"/>
      <c r="H416" s="24"/>
      <c r="I416" s="24"/>
      <c r="J416" s="20"/>
      <c r="K416" s="20"/>
      <c r="L416" s="20"/>
      <c r="M416" s="20"/>
      <c r="N416" s="20" t="str">
        <f t="shared" si="1"/>
        <v>#</v>
      </c>
      <c r="O416" s="20"/>
      <c r="P416" s="21"/>
      <c r="Q416" s="14" t="str">
        <f t="shared" si="2"/>
        <v/>
      </c>
      <c r="R416" s="14"/>
    </row>
    <row r="417">
      <c r="A417" s="14"/>
      <c r="B417" s="21"/>
      <c r="C417" s="14"/>
      <c r="D417" s="16"/>
      <c r="E417" s="16"/>
      <c r="F417" s="21"/>
      <c r="G417" s="21"/>
      <c r="H417" s="24"/>
      <c r="I417" s="24"/>
      <c r="J417" s="20"/>
      <c r="K417" s="20"/>
      <c r="L417" s="20"/>
      <c r="M417" s="20"/>
      <c r="N417" s="20" t="str">
        <f t="shared" si="1"/>
        <v>#</v>
      </c>
      <c r="O417" s="20"/>
      <c r="P417" s="21"/>
      <c r="Q417" s="14" t="str">
        <f t="shared" si="2"/>
        <v/>
      </c>
      <c r="R417" s="14"/>
    </row>
    <row r="418">
      <c r="A418" s="14"/>
      <c r="B418" s="21"/>
      <c r="C418" s="14"/>
      <c r="D418" s="16"/>
      <c r="E418" s="16"/>
      <c r="F418" s="21"/>
      <c r="G418" s="21"/>
      <c r="H418" s="24"/>
      <c r="I418" s="24"/>
      <c r="J418" s="20"/>
      <c r="K418" s="20"/>
      <c r="L418" s="20"/>
      <c r="M418" s="20"/>
      <c r="N418" s="20" t="str">
        <f t="shared" si="1"/>
        <v>#</v>
      </c>
      <c r="O418" s="20"/>
      <c r="P418" s="21"/>
      <c r="Q418" s="14" t="str">
        <f t="shared" si="2"/>
        <v/>
      </c>
      <c r="R418" s="14"/>
    </row>
    <row r="419">
      <c r="A419" s="14"/>
      <c r="B419" s="21"/>
      <c r="C419" s="14"/>
      <c r="D419" s="16"/>
      <c r="E419" s="16"/>
      <c r="F419" s="21"/>
      <c r="G419" s="21"/>
      <c r="H419" s="24"/>
      <c r="I419" s="24"/>
      <c r="J419" s="20"/>
      <c r="K419" s="20"/>
      <c r="L419" s="20"/>
      <c r="M419" s="20"/>
      <c r="N419" s="20" t="str">
        <f t="shared" si="1"/>
        <v>#</v>
      </c>
      <c r="O419" s="20"/>
      <c r="P419" s="21"/>
      <c r="Q419" s="14" t="str">
        <f t="shared" si="2"/>
        <v/>
      </c>
      <c r="R419" s="14"/>
    </row>
    <row r="420">
      <c r="A420" s="14"/>
      <c r="B420" s="21"/>
      <c r="C420" s="14"/>
      <c r="D420" s="16"/>
      <c r="E420" s="16"/>
      <c r="F420" s="21"/>
      <c r="G420" s="21"/>
      <c r="H420" s="24"/>
      <c r="I420" s="24"/>
      <c r="J420" s="20"/>
      <c r="K420" s="20"/>
      <c r="L420" s="20"/>
      <c r="M420" s="20"/>
      <c r="N420" s="20" t="str">
        <f t="shared" si="1"/>
        <v>#</v>
      </c>
      <c r="O420" s="20"/>
      <c r="P420" s="21"/>
      <c r="Q420" s="14" t="str">
        <f t="shared" si="2"/>
        <v/>
      </c>
      <c r="R420" s="14"/>
    </row>
    <row r="421">
      <c r="A421" s="14"/>
      <c r="B421" s="21"/>
      <c r="C421" s="14"/>
      <c r="D421" s="16"/>
      <c r="E421" s="16"/>
      <c r="F421" s="21"/>
      <c r="G421" s="21"/>
      <c r="H421" s="24"/>
      <c r="I421" s="24"/>
      <c r="J421" s="20"/>
      <c r="K421" s="20"/>
      <c r="L421" s="20"/>
      <c r="M421" s="20"/>
      <c r="N421" s="20" t="str">
        <f t="shared" si="1"/>
        <v>#</v>
      </c>
      <c r="O421" s="20"/>
      <c r="P421" s="21"/>
      <c r="Q421" s="14" t="str">
        <f t="shared" si="2"/>
        <v/>
      </c>
      <c r="R421" s="14"/>
    </row>
    <row r="422">
      <c r="A422" s="14"/>
      <c r="B422" s="21"/>
      <c r="C422" s="14"/>
      <c r="D422" s="16"/>
      <c r="E422" s="16"/>
      <c r="F422" s="21"/>
      <c r="G422" s="21"/>
      <c r="H422" s="24"/>
      <c r="I422" s="24"/>
      <c r="J422" s="20"/>
      <c r="K422" s="20"/>
      <c r="L422" s="20"/>
      <c r="M422" s="20"/>
      <c r="N422" s="20" t="str">
        <f t="shared" si="1"/>
        <v>#</v>
      </c>
      <c r="O422" s="20"/>
      <c r="P422" s="21"/>
      <c r="Q422" s="14" t="str">
        <f t="shared" si="2"/>
        <v/>
      </c>
      <c r="R422" s="14"/>
    </row>
    <row r="423">
      <c r="A423" s="14"/>
      <c r="B423" s="21"/>
      <c r="C423" s="14"/>
      <c r="D423" s="16"/>
      <c r="E423" s="16"/>
      <c r="F423" s="21"/>
      <c r="G423" s="21"/>
      <c r="H423" s="24"/>
      <c r="I423" s="24"/>
      <c r="J423" s="20"/>
      <c r="K423" s="20"/>
      <c r="L423" s="20"/>
      <c r="M423" s="20"/>
      <c r="N423" s="20" t="str">
        <f t="shared" si="1"/>
        <v>#</v>
      </c>
      <c r="O423" s="20"/>
      <c r="P423" s="21"/>
      <c r="Q423" s="14" t="str">
        <f t="shared" si="2"/>
        <v/>
      </c>
      <c r="R423" s="14"/>
    </row>
    <row r="424">
      <c r="A424" s="14"/>
      <c r="B424" s="21"/>
      <c r="C424" s="14"/>
      <c r="D424" s="16"/>
      <c r="E424" s="16"/>
      <c r="F424" s="21"/>
      <c r="G424" s="21"/>
      <c r="H424" s="24"/>
      <c r="I424" s="24"/>
      <c r="J424" s="20"/>
      <c r="K424" s="20"/>
      <c r="L424" s="20"/>
      <c r="M424" s="20"/>
      <c r="N424" s="20" t="str">
        <f t="shared" si="1"/>
        <v>#</v>
      </c>
      <c r="O424" s="20"/>
      <c r="P424" s="21"/>
      <c r="Q424" s="14" t="str">
        <f t="shared" si="2"/>
        <v/>
      </c>
      <c r="R424" s="14"/>
    </row>
    <row r="425">
      <c r="A425" s="14"/>
      <c r="B425" s="21"/>
      <c r="C425" s="14"/>
      <c r="D425" s="16"/>
      <c r="E425" s="16"/>
      <c r="F425" s="21"/>
      <c r="G425" s="21"/>
      <c r="H425" s="24"/>
      <c r="I425" s="24"/>
      <c r="J425" s="20"/>
      <c r="K425" s="20"/>
      <c r="L425" s="20"/>
      <c r="M425" s="20"/>
      <c r="N425" s="20" t="str">
        <f t="shared" si="1"/>
        <v>#</v>
      </c>
      <c r="O425" s="20"/>
      <c r="P425" s="21"/>
      <c r="Q425" s="14" t="str">
        <f t="shared" si="2"/>
        <v/>
      </c>
      <c r="R425" s="14"/>
    </row>
    <row r="426">
      <c r="A426" s="14"/>
      <c r="B426" s="21"/>
      <c r="C426" s="14"/>
      <c r="D426" s="16"/>
      <c r="E426" s="16"/>
      <c r="F426" s="21"/>
      <c r="G426" s="21"/>
      <c r="H426" s="24"/>
      <c r="I426" s="24"/>
      <c r="J426" s="20"/>
      <c r="K426" s="20"/>
      <c r="L426" s="20"/>
      <c r="M426" s="20"/>
      <c r="N426" s="20" t="str">
        <f t="shared" si="1"/>
        <v>#</v>
      </c>
      <c r="O426" s="20"/>
      <c r="P426" s="21"/>
      <c r="Q426" s="14" t="str">
        <f t="shared" si="2"/>
        <v/>
      </c>
      <c r="R426" s="14"/>
    </row>
    <row r="427">
      <c r="A427" s="14"/>
      <c r="B427" s="21"/>
      <c r="C427" s="14"/>
      <c r="D427" s="16"/>
      <c r="E427" s="16"/>
      <c r="F427" s="21"/>
      <c r="G427" s="21"/>
      <c r="H427" s="24"/>
      <c r="I427" s="24"/>
      <c r="J427" s="20"/>
      <c r="K427" s="20"/>
      <c r="L427" s="20"/>
      <c r="M427" s="20"/>
      <c r="N427" s="20" t="str">
        <f t="shared" si="1"/>
        <v>#</v>
      </c>
      <c r="O427" s="20"/>
      <c r="P427" s="21"/>
      <c r="Q427" s="14" t="str">
        <f t="shared" si="2"/>
        <v/>
      </c>
      <c r="R427" s="14"/>
    </row>
    <row r="428">
      <c r="A428" s="14"/>
      <c r="B428" s="21"/>
      <c r="C428" s="14"/>
      <c r="D428" s="16"/>
      <c r="E428" s="16"/>
      <c r="F428" s="21"/>
      <c r="G428" s="21"/>
      <c r="H428" s="24"/>
      <c r="I428" s="24"/>
      <c r="J428" s="20"/>
      <c r="K428" s="20"/>
      <c r="L428" s="20"/>
      <c r="M428" s="20"/>
      <c r="N428" s="20" t="str">
        <f t="shared" si="1"/>
        <v>#</v>
      </c>
      <c r="O428" s="20"/>
      <c r="P428" s="21"/>
      <c r="Q428" s="14" t="str">
        <f t="shared" si="2"/>
        <v/>
      </c>
      <c r="R428" s="14"/>
    </row>
    <row r="429">
      <c r="A429" s="14"/>
      <c r="B429" s="21"/>
      <c r="C429" s="14"/>
      <c r="D429" s="16"/>
      <c r="E429" s="16"/>
      <c r="F429" s="21"/>
      <c r="G429" s="21"/>
      <c r="H429" s="24"/>
      <c r="I429" s="24"/>
      <c r="J429" s="20"/>
      <c r="K429" s="20"/>
      <c r="L429" s="20"/>
      <c r="M429" s="20"/>
      <c r="N429" s="20" t="str">
        <f t="shared" si="1"/>
        <v>#</v>
      </c>
      <c r="O429" s="20"/>
      <c r="P429" s="21"/>
      <c r="Q429" s="14" t="str">
        <f t="shared" si="2"/>
        <v/>
      </c>
      <c r="R429" s="14"/>
    </row>
    <row r="430">
      <c r="A430" s="14"/>
      <c r="B430" s="21"/>
      <c r="C430" s="14"/>
      <c r="D430" s="16"/>
      <c r="E430" s="16"/>
      <c r="F430" s="21"/>
      <c r="G430" s="21"/>
      <c r="H430" s="24"/>
      <c r="I430" s="24"/>
      <c r="J430" s="20"/>
      <c r="K430" s="20"/>
      <c r="L430" s="20"/>
      <c r="M430" s="20"/>
      <c r="N430" s="20" t="str">
        <f t="shared" si="1"/>
        <v>#</v>
      </c>
      <c r="O430" s="20"/>
      <c r="P430" s="21"/>
      <c r="Q430" s="14" t="str">
        <f t="shared" si="2"/>
        <v/>
      </c>
      <c r="R430" s="14"/>
    </row>
    <row r="431">
      <c r="A431" s="14"/>
      <c r="B431" s="21"/>
      <c r="C431" s="14"/>
      <c r="D431" s="16"/>
      <c r="E431" s="16"/>
      <c r="F431" s="21"/>
      <c r="G431" s="21"/>
      <c r="H431" s="24"/>
      <c r="I431" s="24"/>
      <c r="J431" s="20"/>
      <c r="K431" s="20"/>
      <c r="L431" s="20"/>
      <c r="M431" s="20"/>
      <c r="N431" s="20" t="str">
        <f t="shared" si="1"/>
        <v>#</v>
      </c>
      <c r="O431" s="20"/>
      <c r="P431" s="21"/>
      <c r="Q431" s="14" t="str">
        <f t="shared" si="2"/>
        <v/>
      </c>
      <c r="R431" s="14"/>
    </row>
    <row r="432">
      <c r="A432" s="14"/>
      <c r="B432" s="21"/>
      <c r="C432" s="14"/>
      <c r="D432" s="16"/>
      <c r="E432" s="16"/>
      <c r="F432" s="21"/>
      <c r="G432" s="21"/>
      <c r="H432" s="24"/>
      <c r="I432" s="24"/>
      <c r="J432" s="20"/>
      <c r="K432" s="20"/>
      <c r="L432" s="20"/>
      <c r="M432" s="20"/>
      <c r="N432" s="20" t="str">
        <f t="shared" si="1"/>
        <v>#</v>
      </c>
      <c r="O432" s="20"/>
      <c r="P432" s="21"/>
      <c r="Q432" s="14" t="str">
        <f t="shared" si="2"/>
        <v/>
      </c>
      <c r="R432" s="14"/>
    </row>
    <row r="433">
      <c r="A433" s="14"/>
      <c r="B433" s="21"/>
      <c r="C433" s="14"/>
      <c r="D433" s="16"/>
      <c r="E433" s="16"/>
      <c r="F433" s="21"/>
      <c r="G433" s="21"/>
      <c r="H433" s="24"/>
      <c r="I433" s="24"/>
      <c r="J433" s="20"/>
      <c r="K433" s="20"/>
      <c r="L433" s="20"/>
      <c r="M433" s="20"/>
      <c r="N433" s="20" t="str">
        <f t="shared" si="1"/>
        <v>#</v>
      </c>
      <c r="O433" s="20"/>
      <c r="P433" s="21"/>
      <c r="Q433" s="14" t="str">
        <f t="shared" si="2"/>
        <v/>
      </c>
      <c r="R433" s="14"/>
    </row>
    <row r="434">
      <c r="A434" s="14"/>
      <c r="B434" s="21"/>
      <c r="C434" s="14"/>
      <c r="D434" s="16"/>
      <c r="E434" s="16"/>
      <c r="F434" s="21"/>
      <c r="G434" s="21"/>
      <c r="H434" s="24"/>
      <c r="I434" s="24"/>
      <c r="J434" s="20"/>
      <c r="K434" s="20"/>
      <c r="L434" s="20"/>
      <c r="M434" s="20"/>
      <c r="N434" s="20" t="str">
        <f t="shared" si="1"/>
        <v>#</v>
      </c>
      <c r="O434" s="20"/>
      <c r="P434" s="21"/>
      <c r="Q434" s="14" t="str">
        <f t="shared" si="2"/>
        <v/>
      </c>
      <c r="R434" s="14"/>
    </row>
    <row r="435">
      <c r="A435" s="14"/>
      <c r="B435" s="21"/>
      <c r="C435" s="14"/>
      <c r="D435" s="16"/>
      <c r="E435" s="16"/>
      <c r="F435" s="21"/>
      <c r="G435" s="21"/>
      <c r="H435" s="24"/>
      <c r="I435" s="24"/>
      <c r="J435" s="20"/>
      <c r="K435" s="20"/>
      <c r="L435" s="20"/>
      <c r="M435" s="20"/>
      <c r="N435" s="20" t="str">
        <f t="shared" si="1"/>
        <v>#</v>
      </c>
      <c r="O435" s="20"/>
      <c r="P435" s="21"/>
      <c r="Q435" s="14" t="str">
        <f t="shared" si="2"/>
        <v/>
      </c>
      <c r="R435" s="14"/>
    </row>
    <row r="436">
      <c r="A436" s="14"/>
      <c r="B436" s="21"/>
      <c r="C436" s="14"/>
      <c r="D436" s="16"/>
      <c r="E436" s="16"/>
      <c r="F436" s="21"/>
      <c r="G436" s="21"/>
      <c r="H436" s="24"/>
      <c r="I436" s="24"/>
      <c r="J436" s="20"/>
      <c r="K436" s="20"/>
      <c r="L436" s="20"/>
      <c r="M436" s="20"/>
      <c r="N436" s="20" t="str">
        <f t="shared" si="1"/>
        <v>#</v>
      </c>
      <c r="O436" s="20"/>
      <c r="P436" s="21"/>
      <c r="Q436" s="14" t="str">
        <f t="shared" si="2"/>
        <v/>
      </c>
      <c r="R436" s="14"/>
    </row>
    <row r="437">
      <c r="A437" s="14"/>
      <c r="B437" s="21"/>
      <c r="C437" s="14"/>
      <c r="D437" s="16"/>
      <c r="E437" s="16"/>
      <c r="F437" s="21"/>
      <c r="G437" s="21"/>
      <c r="H437" s="24"/>
      <c r="I437" s="24"/>
      <c r="J437" s="20"/>
      <c r="K437" s="20"/>
      <c r="L437" s="20"/>
      <c r="M437" s="20"/>
      <c r="N437" s="20" t="str">
        <f t="shared" si="1"/>
        <v>#</v>
      </c>
      <c r="O437" s="20"/>
      <c r="P437" s="21"/>
      <c r="Q437" s="14" t="str">
        <f t="shared" si="2"/>
        <v/>
      </c>
      <c r="R437" s="14"/>
    </row>
    <row r="438">
      <c r="A438" s="14"/>
      <c r="B438" s="21"/>
      <c r="C438" s="14"/>
      <c r="D438" s="16"/>
      <c r="E438" s="16"/>
      <c r="F438" s="21"/>
      <c r="G438" s="21"/>
      <c r="H438" s="24"/>
      <c r="I438" s="24"/>
      <c r="J438" s="20"/>
      <c r="K438" s="20"/>
      <c r="L438" s="20"/>
      <c r="M438" s="20"/>
      <c r="N438" s="20" t="str">
        <f t="shared" si="1"/>
        <v>#</v>
      </c>
      <c r="O438" s="20"/>
      <c r="P438" s="21"/>
      <c r="Q438" s="14" t="str">
        <f t="shared" si="2"/>
        <v/>
      </c>
      <c r="R438" s="14"/>
    </row>
    <row r="439">
      <c r="A439" s="14"/>
      <c r="B439" s="21"/>
      <c r="C439" s="14"/>
      <c r="D439" s="16"/>
      <c r="E439" s="16"/>
      <c r="F439" s="21"/>
      <c r="G439" s="21"/>
      <c r="H439" s="24"/>
      <c r="I439" s="24"/>
      <c r="J439" s="20"/>
      <c r="K439" s="20"/>
      <c r="L439" s="20"/>
      <c r="M439" s="20"/>
      <c r="N439" s="20" t="str">
        <f t="shared" si="1"/>
        <v>#</v>
      </c>
      <c r="O439" s="20"/>
      <c r="P439" s="21"/>
      <c r="Q439" s="14" t="str">
        <f t="shared" si="2"/>
        <v/>
      </c>
      <c r="R439" s="14"/>
    </row>
    <row r="440">
      <c r="A440" s="14"/>
      <c r="B440" s="21"/>
      <c r="C440" s="14"/>
      <c r="D440" s="16"/>
      <c r="E440" s="16"/>
      <c r="F440" s="21"/>
      <c r="G440" s="21"/>
      <c r="H440" s="24"/>
      <c r="I440" s="24"/>
      <c r="J440" s="20"/>
      <c r="K440" s="20"/>
      <c r="L440" s="20"/>
      <c r="M440" s="20"/>
      <c r="N440" s="20" t="str">
        <f t="shared" si="1"/>
        <v>#</v>
      </c>
      <c r="O440" s="20"/>
      <c r="P440" s="21"/>
      <c r="Q440" s="14" t="str">
        <f t="shared" si="2"/>
        <v/>
      </c>
      <c r="R440" s="14"/>
    </row>
    <row r="441">
      <c r="A441" s="14"/>
      <c r="B441" s="21"/>
      <c r="C441" s="14"/>
      <c r="D441" s="16"/>
      <c r="E441" s="16"/>
      <c r="F441" s="21"/>
      <c r="G441" s="21"/>
      <c r="H441" s="24"/>
      <c r="I441" s="24"/>
      <c r="J441" s="20"/>
      <c r="K441" s="20"/>
      <c r="L441" s="20"/>
      <c r="M441" s="20"/>
      <c r="N441" s="20" t="str">
        <f t="shared" si="1"/>
        <v>#</v>
      </c>
      <c r="O441" s="20"/>
      <c r="P441" s="21"/>
      <c r="Q441" s="14" t="str">
        <f t="shared" si="2"/>
        <v/>
      </c>
      <c r="R441" s="14"/>
    </row>
    <row r="442">
      <c r="A442" s="14"/>
      <c r="B442" s="21"/>
      <c r="C442" s="14"/>
      <c r="D442" s="16"/>
      <c r="E442" s="16"/>
      <c r="F442" s="21"/>
      <c r="G442" s="21"/>
      <c r="H442" s="24"/>
      <c r="I442" s="24"/>
      <c r="J442" s="20"/>
      <c r="K442" s="20"/>
      <c r="L442" s="20"/>
      <c r="M442" s="20"/>
      <c r="N442" s="20" t="str">
        <f t="shared" si="1"/>
        <v>#</v>
      </c>
      <c r="O442" s="20"/>
      <c r="P442" s="21"/>
      <c r="Q442" s="14" t="str">
        <f t="shared" si="2"/>
        <v/>
      </c>
      <c r="R442" s="14"/>
    </row>
    <row r="443">
      <c r="A443" s="14"/>
      <c r="B443" s="21"/>
      <c r="C443" s="14"/>
      <c r="D443" s="16"/>
      <c r="E443" s="16"/>
      <c r="F443" s="21"/>
      <c r="G443" s="21"/>
      <c r="H443" s="24"/>
      <c r="I443" s="24"/>
      <c r="J443" s="20"/>
      <c r="K443" s="20"/>
      <c r="L443" s="20"/>
      <c r="M443" s="20"/>
      <c r="N443" s="20" t="str">
        <f t="shared" si="1"/>
        <v>#</v>
      </c>
      <c r="O443" s="20"/>
      <c r="P443" s="21"/>
      <c r="Q443" s="14" t="str">
        <f t="shared" si="2"/>
        <v/>
      </c>
      <c r="R443" s="14"/>
    </row>
    <row r="444">
      <c r="A444" s="14"/>
      <c r="B444" s="21"/>
      <c r="C444" s="14"/>
      <c r="D444" s="16"/>
      <c r="E444" s="16"/>
      <c r="F444" s="21"/>
      <c r="G444" s="21"/>
      <c r="H444" s="24"/>
      <c r="I444" s="24"/>
      <c r="J444" s="20"/>
      <c r="K444" s="20"/>
      <c r="L444" s="20"/>
      <c r="M444" s="20"/>
      <c r="N444" s="20" t="str">
        <f t="shared" si="1"/>
        <v>#</v>
      </c>
      <c r="O444" s="20"/>
      <c r="P444" s="21"/>
      <c r="Q444" s="14" t="str">
        <f t="shared" si="2"/>
        <v/>
      </c>
      <c r="R444" s="14"/>
    </row>
    <row r="445">
      <c r="A445" s="14"/>
      <c r="B445" s="21"/>
      <c r="C445" s="14"/>
      <c r="D445" s="16"/>
      <c r="E445" s="16"/>
      <c r="F445" s="21"/>
      <c r="G445" s="21"/>
      <c r="H445" s="24"/>
      <c r="I445" s="24"/>
      <c r="J445" s="20"/>
      <c r="K445" s="20"/>
      <c r="L445" s="20"/>
      <c r="M445" s="20"/>
      <c r="N445" s="20" t="str">
        <f t="shared" si="1"/>
        <v>#</v>
      </c>
      <c r="O445" s="20"/>
      <c r="P445" s="21"/>
      <c r="Q445" s="14" t="str">
        <f t="shared" si="2"/>
        <v/>
      </c>
      <c r="R445" s="14"/>
    </row>
    <row r="446">
      <c r="A446" s="14"/>
      <c r="B446" s="21"/>
      <c r="C446" s="14"/>
      <c r="D446" s="16"/>
      <c r="E446" s="16"/>
      <c r="F446" s="21"/>
      <c r="G446" s="21"/>
      <c r="H446" s="24"/>
      <c r="I446" s="24"/>
      <c r="J446" s="20"/>
      <c r="K446" s="20"/>
      <c r="L446" s="20"/>
      <c r="M446" s="20"/>
      <c r="N446" s="20" t="str">
        <f t="shared" si="1"/>
        <v>#</v>
      </c>
      <c r="O446" s="20"/>
      <c r="P446" s="21"/>
      <c r="Q446" s="14" t="str">
        <f t="shared" si="2"/>
        <v/>
      </c>
      <c r="R446" s="14"/>
    </row>
    <row r="447">
      <c r="A447" s="14"/>
      <c r="B447" s="21"/>
      <c r="C447" s="14"/>
      <c r="D447" s="16"/>
      <c r="E447" s="16"/>
      <c r="F447" s="21"/>
      <c r="G447" s="21"/>
      <c r="H447" s="24"/>
      <c r="I447" s="24"/>
      <c r="J447" s="20"/>
      <c r="K447" s="20"/>
      <c r="L447" s="20"/>
      <c r="M447" s="20"/>
      <c r="N447" s="20" t="str">
        <f t="shared" si="1"/>
        <v>#</v>
      </c>
      <c r="O447" s="20"/>
      <c r="P447" s="21"/>
      <c r="Q447" s="14" t="str">
        <f t="shared" si="2"/>
        <v/>
      </c>
      <c r="R447" s="14"/>
    </row>
    <row r="448">
      <c r="A448" s="14"/>
      <c r="B448" s="21"/>
      <c r="C448" s="14"/>
      <c r="D448" s="16"/>
      <c r="E448" s="16"/>
      <c r="F448" s="21"/>
      <c r="G448" s="21"/>
      <c r="H448" s="24"/>
      <c r="I448" s="24"/>
      <c r="J448" s="20"/>
      <c r="K448" s="20"/>
      <c r="L448" s="20"/>
      <c r="M448" s="20"/>
      <c r="N448" s="20" t="str">
        <f t="shared" si="1"/>
        <v>#</v>
      </c>
      <c r="O448" s="20"/>
      <c r="P448" s="21"/>
      <c r="Q448" s="14" t="str">
        <f t="shared" si="2"/>
        <v/>
      </c>
      <c r="R448" s="14"/>
    </row>
    <row r="449">
      <c r="A449" s="14"/>
      <c r="B449" s="21"/>
      <c r="C449" s="14"/>
      <c r="D449" s="16"/>
      <c r="E449" s="16"/>
      <c r="F449" s="21"/>
      <c r="G449" s="21"/>
      <c r="H449" s="24"/>
      <c r="I449" s="24"/>
      <c r="J449" s="20"/>
      <c r="K449" s="20"/>
      <c r="L449" s="20"/>
      <c r="M449" s="20"/>
      <c r="N449" s="20" t="str">
        <f t="shared" si="1"/>
        <v>#</v>
      </c>
      <c r="O449" s="20"/>
      <c r="P449" s="21"/>
      <c r="Q449" s="14" t="str">
        <f t="shared" si="2"/>
        <v/>
      </c>
      <c r="R449" s="14"/>
    </row>
    <row r="450">
      <c r="A450" s="14"/>
      <c r="B450" s="21"/>
      <c r="C450" s="14"/>
      <c r="D450" s="16"/>
      <c r="E450" s="16"/>
      <c r="F450" s="21"/>
      <c r="G450" s="21"/>
      <c r="H450" s="24"/>
      <c r="I450" s="24"/>
      <c r="J450" s="20"/>
      <c r="K450" s="20"/>
      <c r="L450" s="20"/>
      <c r="M450" s="20"/>
      <c r="N450" s="20" t="str">
        <f t="shared" si="1"/>
        <v>#</v>
      </c>
      <c r="O450" s="20"/>
      <c r="P450" s="21"/>
      <c r="Q450" s="14" t="str">
        <f t="shared" si="2"/>
        <v/>
      </c>
      <c r="R450" s="14"/>
    </row>
    <row r="451">
      <c r="A451" s="14"/>
      <c r="B451" s="21"/>
      <c r="C451" s="14"/>
      <c r="D451" s="16"/>
      <c r="E451" s="16"/>
      <c r="F451" s="21"/>
      <c r="G451" s="21"/>
      <c r="H451" s="24"/>
      <c r="I451" s="24"/>
      <c r="J451" s="20"/>
      <c r="K451" s="20"/>
      <c r="L451" s="20"/>
      <c r="M451" s="20"/>
      <c r="N451" s="20" t="str">
        <f t="shared" si="1"/>
        <v>#</v>
      </c>
      <c r="O451" s="20"/>
      <c r="P451" s="21"/>
      <c r="Q451" s="14" t="str">
        <f t="shared" si="2"/>
        <v/>
      </c>
      <c r="R451" s="14"/>
    </row>
    <row r="452">
      <c r="A452" s="14"/>
      <c r="B452" s="21"/>
      <c r="C452" s="14"/>
      <c r="D452" s="16"/>
      <c r="E452" s="16"/>
      <c r="F452" s="21"/>
      <c r="G452" s="21"/>
      <c r="H452" s="24"/>
      <c r="I452" s="24"/>
      <c r="J452" s="20"/>
      <c r="K452" s="20"/>
      <c r="L452" s="20"/>
      <c r="M452" s="20"/>
      <c r="N452" s="20" t="str">
        <f t="shared" si="1"/>
        <v>#</v>
      </c>
      <c r="O452" s="20"/>
      <c r="P452" s="21"/>
      <c r="Q452" s="14" t="str">
        <f t="shared" si="2"/>
        <v/>
      </c>
      <c r="R452" s="14"/>
    </row>
    <row r="453">
      <c r="A453" s="14"/>
      <c r="B453" s="21"/>
      <c r="C453" s="14"/>
      <c r="D453" s="16"/>
      <c r="E453" s="16"/>
      <c r="F453" s="21"/>
      <c r="G453" s="21"/>
      <c r="H453" s="24"/>
      <c r="I453" s="24"/>
      <c r="J453" s="20"/>
      <c r="K453" s="20"/>
      <c r="L453" s="20"/>
      <c r="M453" s="20"/>
      <c r="N453" s="20" t="str">
        <f t="shared" si="1"/>
        <v>#</v>
      </c>
      <c r="O453" s="20"/>
      <c r="P453" s="21"/>
      <c r="Q453" s="14" t="str">
        <f t="shared" si="2"/>
        <v/>
      </c>
      <c r="R453" s="14"/>
    </row>
    <row r="454">
      <c r="A454" s="14"/>
      <c r="B454" s="21"/>
      <c r="C454" s="14"/>
      <c r="D454" s="16"/>
      <c r="E454" s="16"/>
      <c r="F454" s="21"/>
      <c r="G454" s="21"/>
      <c r="H454" s="24"/>
      <c r="I454" s="24"/>
      <c r="J454" s="20"/>
      <c r="K454" s="20"/>
      <c r="L454" s="20"/>
      <c r="M454" s="20"/>
      <c r="N454" s="20" t="str">
        <f t="shared" si="1"/>
        <v>#</v>
      </c>
      <c r="O454" s="20"/>
      <c r="P454" s="21"/>
      <c r="Q454" s="14" t="str">
        <f t="shared" si="2"/>
        <v/>
      </c>
      <c r="R454" s="14"/>
    </row>
    <row r="455">
      <c r="A455" s="14"/>
      <c r="B455" s="21"/>
      <c r="C455" s="14"/>
      <c r="D455" s="16"/>
      <c r="E455" s="16"/>
      <c r="F455" s="21"/>
      <c r="G455" s="21"/>
      <c r="H455" s="24"/>
      <c r="I455" s="24"/>
      <c r="J455" s="20"/>
      <c r="K455" s="20"/>
      <c r="L455" s="20"/>
      <c r="M455" s="20"/>
      <c r="N455" s="20" t="str">
        <f t="shared" si="1"/>
        <v>#</v>
      </c>
      <c r="O455" s="20"/>
      <c r="P455" s="21"/>
      <c r="Q455" s="14" t="str">
        <f t="shared" si="2"/>
        <v/>
      </c>
      <c r="R455" s="14"/>
    </row>
    <row r="456">
      <c r="A456" s="14"/>
      <c r="B456" s="21"/>
      <c r="C456" s="14"/>
      <c r="D456" s="16"/>
      <c r="E456" s="16"/>
      <c r="F456" s="21"/>
      <c r="G456" s="21"/>
      <c r="H456" s="24"/>
      <c r="I456" s="24"/>
      <c r="J456" s="20"/>
      <c r="K456" s="20"/>
      <c r="L456" s="20"/>
      <c r="M456" s="20"/>
      <c r="N456" s="20" t="str">
        <f t="shared" si="1"/>
        <v>#</v>
      </c>
      <c r="O456" s="20"/>
      <c r="P456" s="21"/>
      <c r="Q456" s="14" t="str">
        <f t="shared" si="2"/>
        <v/>
      </c>
      <c r="R456" s="14"/>
    </row>
    <row r="457">
      <c r="A457" s="14"/>
      <c r="B457" s="21"/>
      <c r="C457" s="14"/>
      <c r="D457" s="16"/>
      <c r="E457" s="16"/>
      <c r="F457" s="21"/>
      <c r="G457" s="21"/>
      <c r="H457" s="24"/>
      <c r="I457" s="24"/>
      <c r="J457" s="20"/>
      <c r="K457" s="20"/>
      <c r="L457" s="20"/>
      <c r="M457" s="20"/>
      <c r="N457" s="20" t="str">
        <f t="shared" si="1"/>
        <v>#</v>
      </c>
      <c r="O457" s="20"/>
      <c r="P457" s="21"/>
      <c r="Q457" s="14" t="str">
        <f t="shared" si="2"/>
        <v/>
      </c>
      <c r="R457" s="14"/>
    </row>
    <row r="458">
      <c r="A458" s="14"/>
      <c r="B458" s="21"/>
      <c r="C458" s="14"/>
      <c r="D458" s="16"/>
      <c r="E458" s="16"/>
      <c r="F458" s="21"/>
      <c r="G458" s="21"/>
      <c r="H458" s="24"/>
      <c r="I458" s="24"/>
      <c r="J458" s="20"/>
      <c r="K458" s="20"/>
      <c r="L458" s="20"/>
      <c r="M458" s="20"/>
      <c r="N458" s="20" t="str">
        <f t="shared" si="1"/>
        <v>#</v>
      </c>
      <c r="O458" s="20"/>
      <c r="P458" s="21"/>
      <c r="Q458" s="14" t="str">
        <f t="shared" si="2"/>
        <v/>
      </c>
      <c r="R458" s="14"/>
    </row>
    <row r="459">
      <c r="A459" s="14"/>
      <c r="B459" s="21"/>
      <c r="C459" s="14"/>
      <c r="D459" s="16"/>
      <c r="E459" s="16"/>
      <c r="F459" s="21"/>
      <c r="G459" s="21"/>
      <c r="H459" s="24"/>
      <c r="I459" s="24"/>
      <c r="J459" s="20"/>
      <c r="K459" s="20"/>
      <c r="L459" s="20"/>
      <c r="M459" s="20"/>
      <c r="N459" s="20" t="str">
        <f t="shared" si="1"/>
        <v>#</v>
      </c>
      <c r="O459" s="20"/>
      <c r="P459" s="21"/>
      <c r="Q459" s="14" t="str">
        <f t="shared" si="2"/>
        <v/>
      </c>
      <c r="R459" s="14"/>
    </row>
    <row r="460">
      <c r="A460" s="14"/>
      <c r="B460" s="21"/>
      <c r="C460" s="14"/>
      <c r="D460" s="16"/>
      <c r="E460" s="16"/>
      <c r="F460" s="21"/>
      <c r="G460" s="21"/>
      <c r="H460" s="24"/>
      <c r="I460" s="24"/>
      <c r="J460" s="20"/>
      <c r="K460" s="20"/>
      <c r="L460" s="20"/>
      <c r="M460" s="20"/>
      <c r="N460" s="20" t="str">
        <f t="shared" si="1"/>
        <v>#</v>
      </c>
      <c r="O460" s="20"/>
      <c r="P460" s="21"/>
      <c r="Q460" s="14" t="str">
        <f t="shared" si="2"/>
        <v/>
      </c>
      <c r="R460" s="14"/>
    </row>
    <row r="461">
      <c r="A461" s="14"/>
      <c r="B461" s="21"/>
      <c r="C461" s="14"/>
      <c r="D461" s="16"/>
      <c r="E461" s="16"/>
      <c r="F461" s="21"/>
      <c r="G461" s="21"/>
      <c r="H461" s="24"/>
      <c r="I461" s="24"/>
      <c r="J461" s="20"/>
      <c r="K461" s="20"/>
      <c r="L461" s="20"/>
      <c r="M461" s="20"/>
      <c r="N461" s="20" t="str">
        <f t="shared" si="1"/>
        <v>#</v>
      </c>
      <c r="O461" s="20"/>
      <c r="P461" s="21"/>
      <c r="Q461" s="14" t="str">
        <f t="shared" si="2"/>
        <v/>
      </c>
      <c r="R461" s="14"/>
    </row>
    <row r="462">
      <c r="A462" s="14"/>
      <c r="B462" s="21"/>
      <c r="C462" s="14"/>
      <c r="D462" s="16"/>
      <c r="E462" s="16"/>
      <c r="F462" s="21"/>
      <c r="G462" s="21"/>
      <c r="H462" s="24"/>
      <c r="I462" s="24"/>
      <c r="J462" s="20"/>
      <c r="K462" s="20"/>
      <c r="L462" s="20"/>
      <c r="M462" s="20"/>
      <c r="N462" s="20" t="str">
        <f t="shared" si="1"/>
        <v>#</v>
      </c>
      <c r="O462" s="20"/>
      <c r="P462" s="21"/>
      <c r="Q462" s="14" t="str">
        <f t="shared" si="2"/>
        <v/>
      </c>
      <c r="R462" s="14"/>
    </row>
    <row r="463">
      <c r="A463" s="14"/>
      <c r="B463" s="21"/>
      <c r="C463" s="14"/>
      <c r="D463" s="16"/>
      <c r="E463" s="16"/>
      <c r="F463" s="21"/>
      <c r="G463" s="21"/>
      <c r="H463" s="24"/>
      <c r="I463" s="24"/>
      <c r="J463" s="20"/>
      <c r="K463" s="20"/>
      <c r="L463" s="20"/>
      <c r="M463" s="20"/>
      <c r="N463" s="20" t="str">
        <f t="shared" si="1"/>
        <v>#</v>
      </c>
      <c r="O463" s="20"/>
      <c r="P463" s="21"/>
      <c r="Q463" s="14" t="str">
        <f t="shared" si="2"/>
        <v/>
      </c>
      <c r="R463" s="14"/>
    </row>
    <row r="464">
      <c r="A464" s="14"/>
      <c r="B464" s="21"/>
      <c r="C464" s="14"/>
      <c r="D464" s="16"/>
      <c r="E464" s="16"/>
      <c r="F464" s="21"/>
      <c r="G464" s="21"/>
      <c r="H464" s="24"/>
      <c r="I464" s="24"/>
      <c r="J464" s="20"/>
      <c r="K464" s="20"/>
      <c r="L464" s="20"/>
      <c r="M464" s="20"/>
      <c r="N464" s="20" t="str">
        <f t="shared" si="1"/>
        <v>#</v>
      </c>
      <c r="O464" s="20"/>
      <c r="P464" s="21"/>
      <c r="Q464" s="14" t="str">
        <f t="shared" si="2"/>
        <v/>
      </c>
      <c r="R464" s="14"/>
    </row>
    <row r="465">
      <c r="A465" s="14"/>
      <c r="B465" s="21"/>
      <c r="C465" s="14"/>
      <c r="D465" s="16"/>
      <c r="E465" s="16"/>
      <c r="F465" s="21"/>
      <c r="G465" s="21"/>
      <c r="H465" s="24"/>
      <c r="I465" s="24"/>
      <c r="J465" s="20"/>
      <c r="K465" s="20"/>
      <c r="L465" s="20"/>
      <c r="M465" s="20"/>
      <c r="N465" s="20" t="str">
        <f t="shared" si="1"/>
        <v>#</v>
      </c>
      <c r="O465" s="20"/>
      <c r="P465" s="21"/>
      <c r="Q465" s="14" t="str">
        <f t="shared" si="2"/>
        <v/>
      </c>
      <c r="R465" s="14"/>
    </row>
    <row r="466">
      <c r="A466" s="14"/>
      <c r="B466" s="21"/>
      <c r="C466" s="14"/>
      <c r="D466" s="16"/>
      <c r="E466" s="16"/>
      <c r="F466" s="21"/>
      <c r="G466" s="21"/>
      <c r="H466" s="24"/>
      <c r="I466" s="24"/>
      <c r="J466" s="20"/>
      <c r="K466" s="20"/>
      <c r="L466" s="20"/>
      <c r="M466" s="20"/>
      <c r="N466" s="20" t="str">
        <f t="shared" si="1"/>
        <v>#</v>
      </c>
      <c r="O466" s="20"/>
      <c r="P466" s="21"/>
      <c r="Q466" s="14" t="str">
        <f t="shared" si="2"/>
        <v/>
      </c>
      <c r="R466" s="14"/>
    </row>
    <row r="467">
      <c r="A467" s="14"/>
      <c r="B467" s="21"/>
      <c r="C467" s="14"/>
      <c r="D467" s="16"/>
      <c r="E467" s="16"/>
      <c r="F467" s="21"/>
      <c r="G467" s="21"/>
      <c r="H467" s="24"/>
      <c r="I467" s="24"/>
      <c r="J467" s="20"/>
      <c r="K467" s="20"/>
      <c r="L467" s="20"/>
      <c r="M467" s="20"/>
      <c r="N467" s="20" t="str">
        <f t="shared" si="1"/>
        <v>#</v>
      </c>
      <c r="O467" s="20"/>
      <c r="P467" s="21"/>
      <c r="Q467" s="14" t="str">
        <f t="shared" si="2"/>
        <v/>
      </c>
      <c r="R467" s="14"/>
    </row>
    <row r="468">
      <c r="A468" s="14"/>
      <c r="B468" s="21"/>
      <c r="C468" s="14"/>
      <c r="D468" s="16"/>
      <c r="E468" s="16"/>
      <c r="F468" s="21"/>
      <c r="G468" s="21"/>
      <c r="H468" s="24"/>
      <c r="I468" s="24"/>
      <c r="J468" s="20"/>
      <c r="K468" s="20"/>
      <c r="L468" s="20"/>
      <c r="M468" s="20"/>
      <c r="N468" s="20" t="str">
        <f t="shared" si="1"/>
        <v>#</v>
      </c>
      <c r="O468" s="20"/>
      <c r="P468" s="21"/>
      <c r="Q468" s="14" t="str">
        <f t="shared" si="2"/>
        <v/>
      </c>
      <c r="R468" s="14"/>
    </row>
    <row r="469">
      <c r="A469" s="14"/>
      <c r="B469" s="21"/>
      <c r="C469" s="14"/>
      <c r="D469" s="16"/>
      <c r="E469" s="16"/>
      <c r="F469" s="21"/>
      <c r="G469" s="21"/>
      <c r="H469" s="24"/>
      <c r="I469" s="24"/>
      <c r="J469" s="20"/>
      <c r="K469" s="20"/>
      <c r="L469" s="20"/>
      <c r="M469" s="20"/>
      <c r="N469" s="20" t="str">
        <f t="shared" si="1"/>
        <v>#</v>
      </c>
      <c r="O469" s="20"/>
      <c r="P469" s="21"/>
      <c r="Q469" s="14" t="str">
        <f t="shared" si="2"/>
        <v/>
      </c>
      <c r="R469" s="14"/>
    </row>
    <row r="470">
      <c r="A470" s="14"/>
      <c r="B470" s="21"/>
      <c r="C470" s="14"/>
      <c r="D470" s="16"/>
      <c r="E470" s="16"/>
      <c r="F470" s="21"/>
      <c r="G470" s="21"/>
      <c r="H470" s="24"/>
      <c r="I470" s="24"/>
      <c r="J470" s="20"/>
      <c r="K470" s="20"/>
      <c r="L470" s="20"/>
      <c r="M470" s="20"/>
      <c r="N470" s="20" t="str">
        <f t="shared" si="1"/>
        <v>#</v>
      </c>
      <c r="O470" s="20"/>
      <c r="P470" s="21"/>
      <c r="Q470" s="14" t="str">
        <f t="shared" si="2"/>
        <v/>
      </c>
      <c r="R470" s="14"/>
    </row>
    <row r="471">
      <c r="A471" s="14"/>
      <c r="B471" s="21"/>
      <c r="C471" s="14"/>
      <c r="D471" s="16"/>
      <c r="E471" s="16"/>
      <c r="F471" s="21"/>
      <c r="G471" s="21"/>
      <c r="H471" s="24"/>
      <c r="I471" s="24"/>
      <c r="J471" s="20"/>
      <c r="K471" s="20"/>
      <c r="L471" s="20"/>
      <c r="M471" s="20"/>
      <c r="N471" s="20" t="str">
        <f t="shared" si="1"/>
        <v>#</v>
      </c>
      <c r="O471" s="20"/>
      <c r="P471" s="21"/>
      <c r="Q471" s="14" t="str">
        <f t="shared" si="2"/>
        <v/>
      </c>
      <c r="R471" s="14"/>
    </row>
    <row r="472">
      <c r="A472" s="14"/>
      <c r="B472" s="21"/>
      <c r="C472" s="14"/>
      <c r="D472" s="16"/>
      <c r="E472" s="16"/>
      <c r="F472" s="21"/>
      <c r="G472" s="21"/>
      <c r="H472" s="24"/>
      <c r="I472" s="24"/>
      <c r="J472" s="20"/>
      <c r="K472" s="20"/>
      <c r="L472" s="20"/>
      <c r="M472" s="20"/>
      <c r="N472" s="20" t="str">
        <f t="shared" si="1"/>
        <v>#</v>
      </c>
      <c r="O472" s="20"/>
      <c r="P472" s="21"/>
      <c r="Q472" s="14" t="str">
        <f t="shared" si="2"/>
        <v/>
      </c>
      <c r="R472" s="14"/>
    </row>
    <row r="473">
      <c r="A473" s="14"/>
      <c r="B473" s="21"/>
      <c r="C473" s="14"/>
      <c r="D473" s="16"/>
      <c r="E473" s="16"/>
      <c r="F473" s="21"/>
      <c r="G473" s="21"/>
      <c r="H473" s="24"/>
      <c r="I473" s="24"/>
      <c r="J473" s="20"/>
      <c r="K473" s="20"/>
      <c r="L473" s="20"/>
      <c r="M473" s="20"/>
      <c r="N473" s="20" t="str">
        <f t="shared" si="1"/>
        <v>#</v>
      </c>
      <c r="O473" s="20"/>
      <c r="P473" s="21"/>
      <c r="Q473" s="14" t="str">
        <f t="shared" si="2"/>
        <v/>
      </c>
      <c r="R473" s="14"/>
    </row>
    <row r="474">
      <c r="A474" s="14"/>
      <c r="B474" s="21"/>
      <c r="C474" s="14"/>
      <c r="D474" s="16"/>
      <c r="E474" s="16"/>
      <c r="F474" s="21"/>
      <c r="G474" s="21"/>
      <c r="H474" s="24"/>
      <c r="I474" s="24"/>
      <c r="J474" s="20"/>
      <c r="K474" s="20"/>
      <c r="L474" s="20"/>
      <c r="M474" s="20"/>
      <c r="N474" s="20" t="str">
        <f t="shared" si="1"/>
        <v>#</v>
      </c>
      <c r="O474" s="20"/>
      <c r="P474" s="21"/>
      <c r="Q474" s="14" t="str">
        <f t="shared" si="2"/>
        <v/>
      </c>
      <c r="R474" s="14"/>
    </row>
    <row r="475">
      <c r="A475" s="14"/>
      <c r="B475" s="21"/>
      <c r="C475" s="14"/>
      <c r="D475" s="16"/>
      <c r="E475" s="16"/>
      <c r="F475" s="21"/>
      <c r="G475" s="21"/>
      <c r="H475" s="24"/>
      <c r="I475" s="24"/>
      <c r="J475" s="20"/>
      <c r="K475" s="20"/>
      <c r="L475" s="20"/>
      <c r="M475" s="20"/>
      <c r="N475" s="20" t="str">
        <f t="shared" si="1"/>
        <v>#</v>
      </c>
      <c r="O475" s="20"/>
      <c r="P475" s="21"/>
      <c r="Q475" s="14" t="str">
        <f t="shared" si="2"/>
        <v/>
      </c>
      <c r="R475" s="14"/>
    </row>
    <row r="476">
      <c r="A476" s="14"/>
      <c r="B476" s="21"/>
      <c r="C476" s="14"/>
      <c r="D476" s="16"/>
      <c r="E476" s="16"/>
      <c r="F476" s="21"/>
      <c r="G476" s="21"/>
      <c r="H476" s="24"/>
      <c r="I476" s="24"/>
      <c r="J476" s="20"/>
      <c r="K476" s="20"/>
      <c r="L476" s="20"/>
      <c r="M476" s="20"/>
      <c r="N476" s="20" t="str">
        <f t="shared" si="1"/>
        <v>#</v>
      </c>
      <c r="O476" s="20"/>
      <c r="P476" s="21"/>
      <c r="Q476" s="14" t="str">
        <f t="shared" si="2"/>
        <v/>
      </c>
      <c r="R476" s="14"/>
    </row>
    <row r="477">
      <c r="A477" s="14"/>
      <c r="B477" s="21"/>
      <c r="C477" s="14"/>
      <c r="D477" s="16"/>
      <c r="E477" s="16"/>
      <c r="F477" s="21"/>
      <c r="G477" s="21"/>
      <c r="H477" s="24"/>
      <c r="I477" s="24"/>
      <c r="J477" s="20"/>
      <c r="K477" s="20"/>
      <c r="L477" s="20"/>
      <c r="M477" s="20"/>
      <c r="N477" s="20" t="str">
        <f t="shared" si="1"/>
        <v>#</v>
      </c>
      <c r="O477" s="20"/>
      <c r="P477" s="21"/>
      <c r="Q477" s="14" t="str">
        <f t="shared" si="2"/>
        <v/>
      </c>
      <c r="R477" s="14"/>
    </row>
    <row r="478">
      <c r="A478" s="14"/>
      <c r="B478" s="21"/>
      <c r="C478" s="14"/>
      <c r="D478" s="16"/>
      <c r="E478" s="16"/>
      <c r="F478" s="21"/>
      <c r="G478" s="21"/>
      <c r="H478" s="24"/>
      <c r="I478" s="24"/>
      <c r="J478" s="20"/>
      <c r="K478" s="20"/>
      <c r="L478" s="20"/>
      <c r="M478" s="20"/>
      <c r="N478" s="20" t="str">
        <f t="shared" si="1"/>
        <v>#</v>
      </c>
      <c r="O478" s="20"/>
      <c r="P478" s="21"/>
      <c r="Q478" s="14" t="str">
        <f t="shared" si="2"/>
        <v/>
      </c>
      <c r="R478" s="14"/>
    </row>
    <row r="479">
      <c r="A479" s="14"/>
      <c r="B479" s="21"/>
      <c r="C479" s="14"/>
      <c r="D479" s="16"/>
      <c r="E479" s="16"/>
      <c r="F479" s="21"/>
      <c r="G479" s="21"/>
      <c r="H479" s="24"/>
      <c r="I479" s="24"/>
      <c r="J479" s="20"/>
      <c r="K479" s="20"/>
      <c r="L479" s="20"/>
      <c r="M479" s="20"/>
      <c r="N479" s="20" t="str">
        <f t="shared" si="1"/>
        <v>#</v>
      </c>
      <c r="O479" s="20"/>
      <c r="P479" s="21"/>
      <c r="Q479" s="14" t="str">
        <f t="shared" si="2"/>
        <v/>
      </c>
      <c r="R479" s="14"/>
    </row>
    <row r="480">
      <c r="A480" s="14"/>
      <c r="B480" s="21"/>
      <c r="C480" s="14"/>
      <c r="D480" s="16"/>
      <c r="E480" s="16"/>
      <c r="F480" s="21"/>
      <c r="G480" s="21"/>
      <c r="H480" s="24"/>
      <c r="I480" s="24"/>
      <c r="J480" s="20"/>
      <c r="K480" s="20"/>
      <c r="L480" s="20"/>
      <c r="M480" s="20"/>
      <c r="N480" s="20" t="str">
        <f t="shared" si="1"/>
        <v>#</v>
      </c>
      <c r="O480" s="20"/>
      <c r="P480" s="21"/>
      <c r="Q480" s="14" t="str">
        <f t="shared" si="2"/>
        <v/>
      </c>
      <c r="R480" s="14"/>
    </row>
    <row r="481">
      <c r="A481" s="14"/>
      <c r="B481" s="21"/>
      <c r="C481" s="14"/>
      <c r="D481" s="16"/>
      <c r="E481" s="16"/>
      <c r="F481" s="21"/>
      <c r="G481" s="21"/>
      <c r="H481" s="24"/>
      <c r="I481" s="24"/>
      <c r="J481" s="20"/>
      <c r="K481" s="20"/>
      <c r="L481" s="20"/>
      <c r="M481" s="20"/>
      <c r="N481" s="20" t="str">
        <f t="shared" si="1"/>
        <v>#</v>
      </c>
      <c r="O481" s="20"/>
      <c r="P481" s="21"/>
      <c r="Q481" s="14" t="str">
        <f t="shared" si="2"/>
        <v/>
      </c>
      <c r="R481" s="14"/>
    </row>
    <row r="482">
      <c r="A482" s="14"/>
      <c r="B482" s="21"/>
      <c r="C482" s="14"/>
      <c r="D482" s="16"/>
      <c r="E482" s="16"/>
      <c r="F482" s="21"/>
      <c r="G482" s="21"/>
      <c r="H482" s="24"/>
      <c r="I482" s="24"/>
      <c r="J482" s="20"/>
      <c r="K482" s="20"/>
      <c r="L482" s="20"/>
      <c r="M482" s="20"/>
      <c r="N482" s="20" t="str">
        <f t="shared" si="1"/>
        <v>#</v>
      </c>
      <c r="O482" s="20"/>
      <c r="P482" s="21"/>
      <c r="Q482" s="14" t="str">
        <f t="shared" si="2"/>
        <v/>
      </c>
      <c r="R482" s="14"/>
    </row>
    <row r="483">
      <c r="A483" s="14"/>
      <c r="B483" s="21"/>
      <c r="C483" s="14"/>
      <c r="D483" s="16"/>
      <c r="E483" s="16"/>
      <c r="F483" s="21"/>
      <c r="G483" s="21"/>
      <c r="H483" s="24"/>
      <c r="I483" s="24"/>
      <c r="J483" s="20"/>
      <c r="K483" s="20"/>
      <c r="L483" s="20"/>
      <c r="M483" s="20"/>
      <c r="N483" s="20" t="str">
        <f t="shared" si="1"/>
        <v>#</v>
      </c>
      <c r="O483" s="20"/>
      <c r="P483" s="21"/>
      <c r="Q483" s="14" t="str">
        <f t="shared" si="2"/>
        <v/>
      </c>
      <c r="R483" s="14"/>
    </row>
    <row r="484">
      <c r="A484" s="14"/>
      <c r="B484" s="21"/>
      <c r="C484" s="14"/>
      <c r="D484" s="16"/>
      <c r="E484" s="16"/>
      <c r="F484" s="21"/>
      <c r="G484" s="21"/>
      <c r="H484" s="24"/>
      <c r="I484" s="24"/>
      <c r="J484" s="20"/>
      <c r="K484" s="20"/>
      <c r="L484" s="20"/>
      <c r="M484" s="20"/>
      <c r="N484" s="20" t="str">
        <f t="shared" si="1"/>
        <v>#</v>
      </c>
      <c r="O484" s="20"/>
      <c r="P484" s="21"/>
      <c r="Q484" s="14" t="str">
        <f t="shared" si="2"/>
        <v/>
      </c>
      <c r="R484" s="14"/>
    </row>
    <row r="485">
      <c r="A485" s="14"/>
      <c r="B485" s="21"/>
      <c r="C485" s="14"/>
      <c r="D485" s="16"/>
      <c r="E485" s="16"/>
      <c r="F485" s="21"/>
      <c r="G485" s="21"/>
      <c r="H485" s="24"/>
      <c r="I485" s="24"/>
      <c r="J485" s="20"/>
      <c r="K485" s="20"/>
      <c r="L485" s="20"/>
      <c r="M485" s="20"/>
      <c r="N485" s="20" t="str">
        <f t="shared" si="1"/>
        <v>#</v>
      </c>
      <c r="O485" s="20"/>
      <c r="P485" s="21"/>
      <c r="Q485" s="14" t="str">
        <f t="shared" si="2"/>
        <v/>
      </c>
      <c r="R485" s="14"/>
    </row>
    <row r="486">
      <c r="A486" s="14"/>
      <c r="B486" s="21"/>
      <c r="C486" s="14"/>
      <c r="D486" s="16"/>
      <c r="E486" s="16"/>
      <c r="F486" s="21"/>
      <c r="G486" s="21"/>
      <c r="H486" s="24"/>
      <c r="I486" s="24"/>
      <c r="J486" s="20"/>
      <c r="K486" s="20"/>
      <c r="L486" s="20"/>
      <c r="M486" s="20"/>
      <c r="N486" s="20" t="str">
        <f t="shared" si="1"/>
        <v>#</v>
      </c>
      <c r="O486" s="20"/>
      <c r="P486" s="21"/>
      <c r="Q486" s="14" t="str">
        <f t="shared" si="2"/>
        <v/>
      </c>
      <c r="R486" s="14"/>
    </row>
    <row r="487">
      <c r="A487" s="14"/>
      <c r="B487" s="21"/>
      <c r="C487" s="14"/>
      <c r="D487" s="16"/>
      <c r="E487" s="16"/>
      <c r="F487" s="21"/>
      <c r="G487" s="21"/>
      <c r="H487" s="24"/>
      <c r="I487" s="24"/>
      <c r="J487" s="20"/>
      <c r="K487" s="20"/>
      <c r="L487" s="20"/>
      <c r="M487" s="20"/>
      <c r="N487" s="20" t="str">
        <f t="shared" si="1"/>
        <v>#</v>
      </c>
      <c r="O487" s="20"/>
      <c r="P487" s="21"/>
      <c r="Q487" s="14" t="str">
        <f t="shared" si="2"/>
        <v/>
      </c>
      <c r="R487" s="14"/>
    </row>
    <row r="488">
      <c r="A488" s="14"/>
      <c r="B488" s="21"/>
      <c r="C488" s="14"/>
      <c r="D488" s="16"/>
      <c r="E488" s="16"/>
      <c r="F488" s="21"/>
      <c r="G488" s="21"/>
      <c r="H488" s="24"/>
      <c r="I488" s="24"/>
      <c r="J488" s="20"/>
      <c r="K488" s="20"/>
      <c r="L488" s="20"/>
      <c r="M488" s="20"/>
      <c r="N488" s="20" t="str">
        <f t="shared" si="1"/>
        <v>#</v>
      </c>
      <c r="O488" s="20"/>
      <c r="P488" s="21"/>
      <c r="Q488" s="14" t="str">
        <f t="shared" si="2"/>
        <v/>
      </c>
      <c r="R488" s="14"/>
    </row>
    <row r="489">
      <c r="A489" s="14"/>
      <c r="B489" s="21"/>
      <c r="C489" s="14"/>
      <c r="D489" s="16"/>
      <c r="E489" s="16"/>
      <c r="F489" s="21"/>
      <c r="G489" s="21"/>
      <c r="H489" s="24"/>
      <c r="I489" s="24"/>
      <c r="J489" s="20"/>
      <c r="K489" s="20"/>
      <c r="L489" s="20"/>
      <c r="M489" s="20"/>
      <c r="N489" s="20" t="str">
        <f t="shared" si="1"/>
        <v>#</v>
      </c>
      <c r="O489" s="20"/>
      <c r="P489" s="21"/>
      <c r="Q489" s="14" t="str">
        <f t="shared" si="2"/>
        <v/>
      </c>
      <c r="R489" s="14"/>
    </row>
    <row r="490">
      <c r="A490" s="14"/>
      <c r="B490" s="21"/>
      <c r="C490" s="14"/>
      <c r="D490" s="16"/>
      <c r="E490" s="16"/>
      <c r="F490" s="21"/>
      <c r="G490" s="21"/>
      <c r="H490" s="24"/>
      <c r="I490" s="24"/>
      <c r="J490" s="20"/>
      <c r="K490" s="20"/>
      <c r="L490" s="20"/>
      <c r="M490" s="20"/>
      <c r="N490" s="20" t="str">
        <f t="shared" si="1"/>
        <v>#</v>
      </c>
      <c r="O490" s="20"/>
      <c r="P490" s="21"/>
      <c r="Q490" s="14" t="str">
        <f t="shared" si="2"/>
        <v/>
      </c>
      <c r="R490" s="14"/>
    </row>
    <row r="491">
      <c r="A491" s="14"/>
      <c r="B491" s="21"/>
      <c r="C491" s="14"/>
      <c r="D491" s="16"/>
      <c r="E491" s="16"/>
      <c r="F491" s="21"/>
      <c r="G491" s="21"/>
      <c r="H491" s="24"/>
      <c r="I491" s="24"/>
      <c r="J491" s="20"/>
      <c r="K491" s="20"/>
      <c r="L491" s="20"/>
      <c r="M491" s="20"/>
      <c r="N491" s="20" t="str">
        <f t="shared" si="1"/>
        <v>#</v>
      </c>
      <c r="O491" s="20"/>
      <c r="P491" s="21"/>
      <c r="Q491" s="14" t="str">
        <f t="shared" si="2"/>
        <v/>
      </c>
      <c r="R491" s="14"/>
    </row>
    <row r="492">
      <c r="A492" s="14"/>
      <c r="B492" s="21"/>
      <c r="C492" s="14"/>
      <c r="D492" s="16"/>
      <c r="E492" s="16"/>
      <c r="F492" s="21"/>
      <c r="G492" s="21"/>
      <c r="H492" s="24"/>
      <c r="I492" s="24"/>
      <c r="J492" s="20"/>
      <c r="K492" s="20"/>
      <c r="L492" s="20"/>
      <c r="M492" s="20"/>
      <c r="N492" s="20" t="str">
        <f t="shared" si="1"/>
        <v>#</v>
      </c>
      <c r="O492" s="20"/>
      <c r="P492" s="21"/>
      <c r="Q492" s="14" t="str">
        <f t="shared" si="2"/>
        <v/>
      </c>
      <c r="R492" s="14"/>
    </row>
    <row r="493">
      <c r="A493" s="14"/>
      <c r="B493" s="21"/>
      <c r="C493" s="14"/>
      <c r="D493" s="16"/>
      <c r="E493" s="16"/>
      <c r="F493" s="21"/>
      <c r="G493" s="21"/>
      <c r="H493" s="24"/>
      <c r="I493" s="24"/>
      <c r="J493" s="20"/>
      <c r="K493" s="20"/>
      <c r="L493" s="20"/>
      <c r="M493" s="20"/>
      <c r="N493" s="20" t="str">
        <f t="shared" si="1"/>
        <v>#</v>
      </c>
      <c r="O493" s="20"/>
      <c r="P493" s="21"/>
      <c r="Q493" s="14" t="str">
        <f t="shared" si="2"/>
        <v/>
      </c>
      <c r="R493" s="14"/>
    </row>
    <row r="494">
      <c r="A494" s="14"/>
      <c r="B494" s="21"/>
      <c r="C494" s="14"/>
      <c r="D494" s="16"/>
      <c r="E494" s="16"/>
      <c r="F494" s="21"/>
      <c r="G494" s="21"/>
      <c r="H494" s="24"/>
      <c r="I494" s="24"/>
      <c r="J494" s="20"/>
      <c r="K494" s="20"/>
      <c r="L494" s="20"/>
      <c r="M494" s="20"/>
      <c r="N494" s="20" t="str">
        <f t="shared" si="1"/>
        <v>#</v>
      </c>
      <c r="O494" s="20"/>
      <c r="P494" s="21"/>
      <c r="Q494" s="14" t="str">
        <f t="shared" si="2"/>
        <v/>
      </c>
      <c r="R494" s="14"/>
    </row>
    <row r="495">
      <c r="A495" s="14"/>
      <c r="B495" s="21"/>
      <c r="C495" s="14"/>
      <c r="D495" s="16"/>
      <c r="E495" s="16"/>
      <c r="F495" s="21"/>
      <c r="G495" s="21"/>
      <c r="H495" s="24"/>
      <c r="I495" s="24"/>
      <c r="J495" s="20"/>
      <c r="K495" s="20"/>
      <c r="L495" s="20"/>
      <c r="M495" s="20"/>
      <c r="N495" s="20" t="str">
        <f t="shared" si="1"/>
        <v>#</v>
      </c>
      <c r="O495" s="20"/>
      <c r="P495" s="21"/>
      <c r="Q495" s="14" t="str">
        <f t="shared" si="2"/>
        <v/>
      </c>
      <c r="R495" s="14"/>
    </row>
    <row r="496">
      <c r="A496" s="14"/>
      <c r="B496" s="21"/>
      <c r="C496" s="14"/>
      <c r="D496" s="16"/>
      <c r="E496" s="16"/>
      <c r="F496" s="21"/>
      <c r="G496" s="21"/>
      <c r="H496" s="24"/>
      <c r="I496" s="24"/>
      <c r="J496" s="20"/>
      <c r="K496" s="20"/>
      <c r="L496" s="20"/>
      <c r="M496" s="20"/>
      <c r="N496" s="20" t="str">
        <f t="shared" si="1"/>
        <v>#</v>
      </c>
      <c r="O496" s="20"/>
      <c r="P496" s="21"/>
      <c r="Q496" s="14" t="str">
        <f t="shared" si="2"/>
        <v/>
      </c>
      <c r="R496" s="14"/>
    </row>
    <row r="497">
      <c r="A497" s="14"/>
      <c r="B497" s="21"/>
      <c r="C497" s="14"/>
      <c r="D497" s="16"/>
      <c r="E497" s="16"/>
      <c r="F497" s="21"/>
      <c r="G497" s="21"/>
      <c r="H497" s="24"/>
      <c r="I497" s="24"/>
      <c r="J497" s="20"/>
      <c r="K497" s="20"/>
      <c r="L497" s="20"/>
      <c r="M497" s="20"/>
      <c r="N497" s="20" t="str">
        <f t="shared" si="1"/>
        <v>#</v>
      </c>
      <c r="O497" s="20"/>
      <c r="P497" s="21"/>
      <c r="Q497" s="14" t="str">
        <f t="shared" si="2"/>
        <v/>
      </c>
      <c r="R497" s="14"/>
    </row>
    <row r="498">
      <c r="A498" s="14"/>
      <c r="B498" s="21"/>
      <c r="C498" s="14"/>
      <c r="D498" s="16"/>
      <c r="E498" s="16"/>
      <c r="F498" s="21"/>
      <c r="G498" s="21"/>
      <c r="H498" s="24"/>
      <c r="I498" s="24"/>
      <c r="J498" s="20"/>
      <c r="K498" s="20"/>
      <c r="L498" s="20"/>
      <c r="M498" s="20"/>
      <c r="N498" s="20" t="str">
        <f t="shared" si="1"/>
        <v>#</v>
      </c>
      <c r="O498" s="20"/>
      <c r="P498" s="21"/>
      <c r="Q498" s="14" t="str">
        <f t="shared" si="2"/>
        <v/>
      </c>
      <c r="R498" s="14"/>
    </row>
    <row r="499">
      <c r="A499" s="14"/>
      <c r="B499" s="21"/>
      <c r="C499" s="14"/>
      <c r="D499" s="16"/>
      <c r="E499" s="16"/>
      <c r="F499" s="21"/>
      <c r="G499" s="21"/>
      <c r="H499" s="24"/>
      <c r="I499" s="24"/>
      <c r="J499" s="20"/>
      <c r="K499" s="20"/>
      <c r="L499" s="20"/>
      <c r="M499" s="20"/>
      <c r="N499" s="20" t="str">
        <f t="shared" si="1"/>
        <v>#</v>
      </c>
      <c r="O499" s="20"/>
      <c r="P499" s="21"/>
      <c r="Q499" s="14" t="str">
        <f t="shared" si="2"/>
        <v/>
      </c>
      <c r="R499" s="14"/>
    </row>
    <row r="500">
      <c r="A500" s="14"/>
      <c r="B500" s="21"/>
      <c r="C500" s="14"/>
      <c r="D500" s="16"/>
      <c r="E500" s="16"/>
      <c r="F500" s="21"/>
      <c r="G500" s="21"/>
      <c r="H500" s="24"/>
      <c r="I500" s="24"/>
      <c r="J500" s="20"/>
      <c r="K500" s="20"/>
      <c r="L500" s="20"/>
      <c r="M500" s="20"/>
      <c r="N500" s="20" t="str">
        <f t="shared" si="1"/>
        <v>#</v>
      </c>
      <c r="O500" s="20"/>
      <c r="P500" s="21"/>
      <c r="Q500" s="14" t="str">
        <f t="shared" si="2"/>
        <v/>
      </c>
      <c r="R500" s="14"/>
    </row>
    <row r="501">
      <c r="A501" s="14"/>
      <c r="B501" s="21"/>
      <c r="C501" s="14"/>
      <c r="D501" s="16"/>
      <c r="E501" s="16"/>
      <c r="F501" s="21"/>
      <c r="G501" s="21"/>
      <c r="H501" s="24"/>
      <c r="I501" s="24"/>
      <c r="J501" s="20"/>
      <c r="K501" s="20"/>
      <c r="L501" s="20"/>
      <c r="M501" s="20"/>
      <c r="N501" s="20" t="str">
        <f t="shared" si="1"/>
        <v>#</v>
      </c>
      <c r="O501" s="20"/>
      <c r="P501" s="21"/>
      <c r="Q501" s="14" t="str">
        <f t="shared" si="2"/>
        <v/>
      </c>
      <c r="R501" s="14"/>
    </row>
    <row r="502">
      <c r="A502" s="14"/>
      <c r="B502" s="21"/>
      <c r="C502" s="14"/>
      <c r="D502" s="16"/>
      <c r="E502" s="16"/>
      <c r="F502" s="21"/>
      <c r="G502" s="21"/>
      <c r="H502" s="24"/>
      <c r="I502" s="24"/>
      <c r="J502" s="20"/>
      <c r="K502" s="20"/>
      <c r="L502" s="20"/>
      <c r="M502" s="20"/>
      <c r="N502" s="20" t="str">
        <f t="shared" si="1"/>
        <v>#</v>
      </c>
      <c r="O502" s="20"/>
      <c r="P502" s="21"/>
      <c r="Q502" s="14" t="str">
        <f t="shared" si="2"/>
        <v/>
      </c>
      <c r="R502" s="14"/>
    </row>
    <row r="503">
      <c r="A503" s="14"/>
      <c r="B503" s="21"/>
      <c r="C503" s="14"/>
      <c r="D503" s="16"/>
      <c r="E503" s="16"/>
      <c r="F503" s="21"/>
      <c r="G503" s="21"/>
      <c r="H503" s="24"/>
      <c r="I503" s="24"/>
      <c r="J503" s="20"/>
      <c r="K503" s="20"/>
      <c r="L503" s="20"/>
      <c r="M503" s="20"/>
      <c r="N503" s="20" t="str">
        <f t="shared" si="1"/>
        <v>#</v>
      </c>
      <c r="O503" s="20"/>
      <c r="P503" s="21"/>
      <c r="Q503" s="14" t="str">
        <f t="shared" si="2"/>
        <v/>
      </c>
      <c r="R503" s="14"/>
    </row>
    <row r="504">
      <c r="A504" s="14"/>
      <c r="B504" s="21"/>
      <c r="C504" s="14"/>
      <c r="D504" s="16"/>
      <c r="E504" s="16"/>
      <c r="F504" s="21"/>
      <c r="G504" s="21"/>
      <c r="H504" s="24"/>
      <c r="I504" s="24"/>
      <c r="J504" s="20"/>
      <c r="K504" s="20"/>
      <c r="L504" s="20"/>
      <c r="M504" s="20"/>
      <c r="N504" s="20" t="str">
        <f t="shared" si="1"/>
        <v>#</v>
      </c>
      <c r="O504" s="20"/>
      <c r="P504" s="21"/>
      <c r="Q504" s="14" t="str">
        <f t="shared" si="2"/>
        <v/>
      </c>
      <c r="R504" s="14"/>
    </row>
    <row r="505">
      <c r="A505" s="14"/>
      <c r="B505" s="21"/>
      <c r="C505" s="14"/>
      <c r="D505" s="16"/>
      <c r="E505" s="16"/>
      <c r="F505" s="21"/>
      <c r="G505" s="21"/>
      <c r="H505" s="24"/>
      <c r="I505" s="24"/>
      <c r="J505" s="20"/>
      <c r="K505" s="20"/>
      <c r="L505" s="20"/>
      <c r="M505" s="20"/>
      <c r="N505" s="20" t="str">
        <f t="shared" si="1"/>
        <v>#</v>
      </c>
      <c r="O505" s="20"/>
      <c r="P505" s="21"/>
      <c r="Q505" s="14" t="str">
        <f t="shared" si="2"/>
        <v/>
      </c>
      <c r="R505" s="14"/>
    </row>
    <row r="506">
      <c r="A506" s="14"/>
      <c r="B506" s="21"/>
      <c r="C506" s="14"/>
      <c r="D506" s="16"/>
      <c r="E506" s="16"/>
      <c r="F506" s="21"/>
      <c r="G506" s="21"/>
      <c r="H506" s="24"/>
      <c r="I506" s="24"/>
      <c r="J506" s="20"/>
      <c r="K506" s="20"/>
      <c r="L506" s="20"/>
      <c r="M506" s="20"/>
      <c r="N506" s="20" t="str">
        <f t="shared" si="1"/>
        <v>#</v>
      </c>
      <c r="O506" s="20"/>
      <c r="P506" s="21"/>
      <c r="Q506" s="14" t="str">
        <f t="shared" si="2"/>
        <v/>
      </c>
      <c r="R506" s="14"/>
    </row>
    <row r="507">
      <c r="A507" s="14"/>
      <c r="B507" s="21"/>
      <c r="C507" s="14"/>
      <c r="D507" s="16"/>
      <c r="E507" s="16"/>
      <c r="F507" s="21"/>
      <c r="G507" s="21"/>
      <c r="H507" s="24"/>
      <c r="I507" s="24"/>
      <c r="J507" s="20"/>
      <c r="K507" s="20"/>
      <c r="L507" s="20"/>
      <c r="M507" s="20"/>
      <c r="N507" s="20" t="str">
        <f t="shared" si="1"/>
        <v>#</v>
      </c>
      <c r="O507" s="20"/>
      <c r="P507" s="21"/>
      <c r="Q507" s="14" t="str">
        <f t="shared" si="2"/>
        <v/>
      </c>
      <c r="R507" s="14"/>
    </row>
    <row r="508">
      <c r="A508" s="14"/>
      <c r="B508" s="21"/>
      <c r="C508" s="14"/>
      <c r="D508" s="16"/>
      <c r="E508" s="16"/>
      <c r="F508" s="21"/>
      <c r="G508" s="21"/>
      <c r="H508" s="24"/>
      <c r="I508" s="24"/>
      <c r="J508" s="20"/>
      <c r="K508" s="20"/>
      <c r="L508" s="20"/>
      <c r="M508" s="20"/>
      <c r="N508" s="20" t="str">
        <f t="shared" si="1"/>
        <v>#</v>
      </c>
      <c r="O508" s="20"/>
      <c r="P508" s="21"/>
      <c r="Q508" s="14" t="str">
        <f t="shared" si="2"/>
        <v/>
      </c>
      <c r="R508" s="14"/>
    </row>
    <row r="509">
      <c r="A509" s="14"/>
      <c r="B509" s="21"/>
      <c r="C509" s="14"/>
      <c r="D509" s="16"/>
      <c r="E509" s="16"/>
      <c r="F509" s="21"/>
      <c r="G509" s="21"/>
      <c r="H509" s="24"/>
      <c r="I509" s="24"/>
      <c r="J509" s="20"/>
      <c r="K509" s="20"/>
      <c r="L509" s="20"/>
      <c r="M509" s="20"/>
      <c r="N509" s="20" t="str">
        <f t="shared" si="1"/>
        <v>#</v>
      </c>
      <c r="O509" s="20"/>
      <c r="P509" s="21"/>
      <c r="Q509" s="14" t="str">
        <f t="shared" si="2"/>
        <v/>
      </c>
      <c r="R509" s="14"/>
    </row>
    <row r="510">
      <c r="A510" s="14"/>
      <c r="B510" s="21"/>
      <c r="C510" s="14"/>
      <c r="D510" s="16"/>
      <c r="E510" s="16"/>
      <c r="F510" s="21"/>
      <c r="G510" s="21"/>
      <c r="H510" s="24"/>
      <c r="I510" s="24"/>
      <c r="J510" s="20"/>
      <c r="K510" s="20"/>
      <c r="L510" s="20"/>
      <c r="M510" s="20"/>
      <c r="N510" s="20" t="str">
        <f t="shared" si="1"/>
        <v>#</v>
      </c>
      <c r="O510" s="20"/>
      <c r="P510" s="21"/>
      <c r="Q510" s="14" t="str">
        <f t="shared" si="2"/>
        <v/>
      </c>
      <c r="R510" s="14"/>
    </row>
    <row r="511">
      <c r="A511" s="14"/>
      <c r="B511" s="21"/>
      <c r="C511" s="14"/>
      <c r="D511" s="16"/>
      <c r="E511" s="16"/>
      <c r="F511" s="21"/>
      <c r="G511" s="21"/>
      <c r="H511" s="24"/>
      <c r="I511" s="24"/>
      <c r="J511" s="20"/>
      <c r="K511" s="20"/>
      <c r="L511" s="20"/>
      <c r="M511" s="20"/>
      <c r="N511" s="20" t="str">
        <f t="shared" si="1"/>
        <v>#</v>
      </c>
      <c r="O511" s="20"/>
      <c r="P511" s="21"/>
      <c r="Q511" s="14" t="str">
        <f t="shared" si="2"/>
        <v/>
      </c>
      <c r="R511" s="14"/>
    </row>
    <row r="512">
      <c r="A512" s="14"/>
      <c r="B512" s="21"/>
      <c r="C512" s="14"/>
      <c r="D512" s="16"/>
      <c r="E512" s="16"/>
      <c r="F512" s="21"/>
      <c r="G512" s="21"/>
      <c r="H512" s="24"/>
      <c r="I512" s="24"/>
      <c r="J512" s="20"/>
      <c r="K512" s="20"/>
      <c r="L512" s="20"/>
      <c r="M512" s="20"/>
      <c r="N512" s="20" t="str">
        <f t="shared" si="1"/>
        <v>#</v>
      </c>
      <c r="O512" s="20"/>
      <c r="P512" s="21"/>
      <c r="Q512" s="14" t="str">
        <f t="shared" si="2"/>
        <v/>
      </c>
      <c r="R512" s="14"/>
    </row>
    <row r="513">
      <c r="A513" s="14"/>
      <c r="B513" s="21"/>
      <c r="C513" s="14"/>
      <c r="D513" s="16"/>
      <c r="E513" s="16"/>
      <c r="F513" s="21"/>
      <c r="G513" s="21"/>
      <c r="H513" s="24"/>
      <c r="I513" s="24"/>
      <c r="J513" s="20"/>
      <c r="K513" s="20"/>
      <c r="L513" s="20"/>
      <c r="M513" s="20"/>
      <c r="N513" s="20" t="str">
        <f t="shared" si="1"/>
        <v>#</v>
      </c>
      <c r="O513" s="20"/>
      <c r="P513" s="21"/>
      <c r="Q513" s="14" t="str">
        <f t="shared" si="2"/>
        <v/>
      </c>
      <c r="R513" s="14"/>
    </row>
    <row r="514">
      <c r="A514" s="14"/>
      <c r="B514" s="21"/>
      <c r="C514" s="14"/>
      <c r="D514" s="16"/>
      <c r="E514" s="16"/>
      <c r="F514" s="21"/>
      <c r="G514" s="21"/>
      <c r="H514" s="24"/>
      <c r="I514" s="24"/>
      <c r="J514" s="20"/>
      <c r="K514" s="20"/>
      <c r="L514" s="20"/>
      <c r="M514" s="20"/>
      <c r="N514" s="20" t="str">
        <f t="shared" si="1"/>
        <v>#</v>
      </c>
      <c r="O514" s="20"/>
      <c r="P514" s="21"/>
      <c r="Q514" s="14" t="str">
        <f t="shared" si="2"/>
        <v/>
      </c>
      <c r="R514" s="14"/>
    </row>
    <row r="515">
      <c r="A515" s="14"/>
      <c r="B515" s="21"/>
      <c r="C515" s="14"/>
      <c r="D515" s="16"/>
      <c r="E515" s="16"/>
      <c r="F515" s="21"/>
      <c r="G515" s="21"/>
      <c r="H515" s="24"/>
      <c r="I515" s="24"/>
      <c r="J515" s="20"/>
      <c r="K515" s="20"/>
      <c r="L515" s="20"/>
      <c r="M515" s="20"/>
      <c r="N515" s="20" t="str">
        <f t="shared" si="1"/>
        <v>#</v>
      </c>
      <c r="O515" s="20"/>
      <c r="P515" s="21"/>
      <c r="Q515" s="14" t="str">
        <f t="shared" si="2"/>
        <v/>
      </c>
      <c r="R515" s="14"/>
    </row>
    <row r="516">
      <c r="A516" s="14"/>
      <c r="B516" s="21"/>
      <c r="C516" s="14"/>
      <c r="D516" s="16"/>
      <c r="E516" s="16"/>
      <c r="F516" s="21"/>
      <c r="G516" s="21"/>
      <c r="H516" s="24"/>
      <c r="I516" s="24"/>
      <c r="J516" s="20"/>
      <c r="K516" s="20"/>
      <c r="L516" s="20"/>
      <c r="M516" s="20"/>
      <c r="N516" s="20" t="str">
        <f t="shared" si="1"/>
        <v>#</v>
      </c>
      <c r="O516" s="20"/>
      <c r="P516" s="21"/>
      <c r="Q516" s="14" t="str">
        <f t="shared" si="2"/>
        <v/>
      </c>
      <c r="R516" s="14"/>
    </row>
    <row r="517">
      <c r="A517" s="14"/>
      <c r="B517" s="21"/>
      <c r="C517" s="14"/>
      <c r="D517" s="16"/>
      <c r="E517" s="16"/>
      <c r="F517" s="21"/>
      <c r="G517" s="21"/>
      <c r="H517" s="24"/>
      <c r="I517" s="24"/>
      <c r="J517" s="20"/>
      <c r="K517" s="20"/>
      <c r="L517" s="20"/>
      <c r="M517" s="20"/>
      <c r="N517" s="20" t="str">
        <f t="shared" si="1"/>
        <v>#</v>
      </c>
      <c r="O517" s="20"/>
      <c r="P517" s="21"/>
      <c r="Q517" s="14" t="str">
        <f t="shared" si="2"/>
        <v/>
      </c>
      <c r="R517" s="14"/>
    </row>
    <row r="518">
      <c r="A518" s="14"/>
      <c r="B518" s="21"/>
      <c r="C518" s="14"/>
      <c r="D518" s="16"/>
      <c r="E518" s="16"/>
      <c r="F518" s="21"/>
      <c r="G518" s="21"/>
      <c r="H518" s="24"/>
      <c r="I518" s="24"/>
      <c r="J518" s="20"/>
      <c r="K518" s="20"/>
      <c r="L518" s="20"/>
      <c r="M518" s="20"/>
      <c r="N518" s="20" t="str">
        <f t="shared" si="1"/>
        <v>#</v>
      </c>
      <c r="O518" s="20"/>
      <c r="P518" s="21"/>
      <c r="Q518" s="14" t="str">
        <f t="shared" si="2"/>
        <v/>
      </c>
      <c r="R518" s="14"/>
    </row>
    <row r="519">
      <c r="A519" s="14"/>
      <c r="B519" s="21"/>
      <c r="C519" s="14"/>
      <c r="D519" s="16"/>
      <c r="E519" s="16"/>
      <c r="F519" s="21"/>
      <c r="G519" s="21"/>
      <c r="H519" s="24"/>
      <c r="I519" s="24"/>
      <c r="J519" s="20"/>
      <c r="K519" s="20"/>
      <c r="L519" s="20"/>
      <c r="M519" s="20"/>
      <c r="N519" s="20" t="str">
        <f t="shared" si="1"/>
        <v>#</v>
      </c>
      <c r="O519" s="20"/>
      <c r="P519" s="21"/>
      <c r="Q519" s="14" t="str">
        <f t="shared" si="2"/>
        <v/>
      </c>
      <c r="R519" s="14"/>
    </row>
    <row r="520">
      <c r="A520" s="14"/>
      <c r="B520" s="21"/>
      <c r="C520" s="14"/>
      <c r="D520" s="16"/>
      <c r="E520" s="16"/>
      <c r="F520" s="21"/>
      <c r="G520" s="21"/>
      <c r="H520" s="24"/>
      <c r="I520" s="24"/>
      <c r="J520" s="20"/>
      <c r="K520" s="20"/>
      <c r="L520" s="20"/>
      <c r="M520" s="20"/>
      <c r="N520" s="20" t="str">
        <f t="shared" si="1"/>
        <v>#</v>
      </c>
      <c r="O520" s="20"/>
      <c r="P520" s="21"/>
      <c r="Q520" s="14" t="str">
        <f t="shared" si="2"/>
        <v/>
      </c>
      <c r="R520" s="14"/>
    </row>
    <row r="521">
      <c r="A521" s="14"/>
      <c r="B521" s="21"/>
      <c r="C521" s="14"/>
      <c r="D521" s="16"/>
      <c r="E521" s="16"/>
      <c r="F521" s="21"/>
      <c r="G521" s="21"/>
      <c r="H521" s="24"/>
      <c r="I521" s="24"/>
      <c r="J521" s="20"/>
      <c r="K521" s="20"/>
      <c r="L521" s="20"/>
      <c r="M521" s="20"/>
      <c r="N521" s="20" t="str">
        <f t="shared" si="1"/>
        <v>#</v>
      </c>
      <c r="O521" s="20"/>
      <c r="P521" s="21"/>
      <c r="Q521" s="14" t="str">
        <f t="shared" si="2"/>
        <v/>
      </c>
      <c r="R521" s="14"/>
    </row>
    <row r="522">
      <c r="A522" s="14"/>
      <c r="B522" s="21"/>
      <c r="C522" s="14"/>
      <c r="D522" s="16"/>
      <c r="E522" s="16"/>
      <c r="F522" s="21"/>
      <c r="G522" s="21"/>
      <c r="H522" s="24"/>
      <c r="I522" s="24"/>
      <c r="J522" s="20"/>
      <c r="K522" s="20"/>
      <c r="L522" s="20"/>
      <c r="M522" s="20"/>
      <c r="N522" s="20" t="str">
        <f t="shared" si="1"/>
        <v>#</v>
      </c>
      <c r="O522" s="20"/>
      <c r="P522" s="21"/>
      <c r="Q522" s="14" t="str">
        <f t="shared" si="2"/>
        <v/>
      </c>
      <c r="R522" s="14"/>
    </row>
    <row r="523">
      <c r="A523" s="14"/>
      <c r="B523" s="21"/>
      <c r="C523" s="14"/>
      <c r="D523" s="16"/>
      <c r="E523" s="16"/>
      <c r="F523" s="21"/>
      <c r="G523" s="21"/>
      <c r="H523" s="24"/>
      <c r="I523" s="24"/>
      <c r="J523" s="20"/>
      <c r="K523" s="20"/>
      <c r="L523" s="20"/>
      <c r="M523" s="20"/>
      <c r="N523" s="20" t="str">
        <f t="shared" si="1"/>
        <v>#</v>
      </c>
      <c r="O523" s="20"/>
      <c r="P523" s="21"/>
      <c r="Q523" s="14" t="str">
        <f t="shared" si="2"/>
        <v/>
      </c>
      <c r="R523" s="14"/>
    </row>
    <row r="524">
      <c r="A524" s="14"/>
      <c r="B524" s="21"/>
      <c r="C524" s="14"/>
      <c r="D524" s="16"/>
      <c r="E524" s="16"/>
      <c r="F524" s="21"/>
      <c r="G524" s="21"/>
      <c r="H524" s="24"/>
      <c r="I524" s="24"/>
      <c r="J524" s="20"/>
      <c r="K524" s="20"/>
      <c r="L524" s="20"/>
      <c r="M524" s="20"/>
      <c r="N524" s="20" t="str">
        <f t="shared" si="1"/>
        <v>#</v>
      </c>
      <c r="O524" s="20"/>
      <c r="P524" s="21"/>
      <c r="Q524" s="14" t="str">
        <f t="shared" si="2"/>
        <v/>
      </c>
      <c r="R524" s="14"/>
    </row>
    <row r="525">
      <c r="A525" s="14"/>
      <c r="B525" s="21"/>
      <c r="C525" s="14"/>
      <c r="D525" s="16"/>
      <c r="E525" s="16"/>
      <c r="F525" s="21"/>
      <c r="G525" s="21"/>
      <c r="H525" s="24"/>
      <c r="I525" s="24"/>
      <c r="J525" s="20"/>
      <c r="K525" s="20"/>
      <c r="L525" s="20"/>
      <c r="M525" s="20"/>
      <c r="N525" s="20" t="str">
        <f t="shared" si="1"/>
        <v>#</v>
      </c>
      <c r="O525" s="20"/>
      <c r="P525" s="21"/>
      <c r="Q525" s="14" t="str">
        <f t="shared" si="2"/>
        <v/>
      </c>
      <c r="R525" s="14"/>
    </row>
    <row r="526">
      <c r="A526" s="14"/>
      <c r="B526" s="21"/>
      <c r="C526" s="14"/>
      <c r="D526" s="16"/>
      <c r="E526" s="16"/>
      <c r="F526" s="21"/>
      <c r="G526" s="21"/>
      <c r="H526" s="24"/>
      <c r="I526" s="24"/>
      <c r="J526" s="20"/>
      <c r="K526" s="20"/>
      <c r="L526" s="20"/>
      <c r="M526" s="20"/>
      <c r="N526" s="20" t="str">
        <f t="shared" si="1"/>
        <v>#</v>
      </c>
      <c r="O526" s="20"/>
      <c r="P526" s="21"/>
      <c r="Q526" s="14" t="str">
        <f t="shared" si="2"/>
        <v/>
      </c>
      <c r="R526" s="14"/>
    </row>
    <row r="527">
      <c r="A527" s="14"/>
      <c r="B527" s="21"/>
      <c r="C527" s="14"/>
      <c r="D527" s="16"/>
      <c r="E527" s="16"/>
      <c r="F527" s="21"/>
      <c r="G527" s="21"/>
      <c r="H527" s="24"/>
      <c r="I527" s="24"/>
      <c r="J527" s="20"/>
      <c r="K527" s="20"/>
      <c r="L527" s="20"/>
      <c r="M527" s="20"/>
      <c r="N527" s="20" t="str">
        <f t="shared" si="1"/>
        <v>#</v>
      </c>
      <c r="O527" s="20"/>
      <c r="P527" s="21"/>
      <c r="Q527" s="14" t="str">
        <f t="shared" si="2"/>
        <v/>
      </c>
      <c r="R527" s="14"/>
    </row>
    <row r="528">
      <c r="A528" s="14"/>
      <c r="B528" s="21"/>
      <c r="C528" s="14"/>
      <c r="D528" s="16"/>
      <c r="E528" s="16"/>
      <c r="F528" s="21"/>
      <c r="G528" s="21"/>
      <c r="H528" s="24"/>
      <c r="I528" s="24"/>
      <c r="J528" s="20"/>
      <c r="K528" s="20"/>
      <c r="L528" s="20"/>
      <c r="M528" s="20"/>
      <c r="N528" s="20" t="str">
        <f t="shared" si="1"/>
        <v>#</v>
      </c>
      <c r="O528" s="20"/>
      <c r="P528" s="21"/>
      <c r="Q528" s="14" t="str">
        <f t="shared" si="2"/>
        <v/>
      </c>
      <c r="R528" s="14"/>
    </row>
    <row r="529">
      <c r="A529" s="14"/>
      <c r="B529" s="21"/>
      <c r="C529" s="14"/>
      <c r="D529" s="16"/>
      <c r="E529" s="16"/>
      <c r="F529" s="21"/>
      <c r="G529" s="21"/>
      <c r="H529" s="24"/>
      <c r="I529" s="24"/>
      <c r="J529" s="20"/>
      <c r="K529" s="20"/>
      <c r="L529" s="20"/>
      <c r="M529" s="20"/>
      <c r="N529" s="20" t="str">
        <f t="shared" si="1"/>
        <v>#</v>
      </c>
      <c r="O529" s="20"/>
      <c r="P529" s="21"/>
      <c r="Q529" s="14" t="str">
        <f t="shared" si="2"/>
        <v/>
      </c>
      <c r="R529" s="14"/>
    </row>
    <row r="530">
      <c r="A530" s="14"/>
      <c r="B530" s="21"/>
      <c r="C530" s="14"/>
      <c r="D530" s="16"/>
      <c r="E530" s="16"/>
      <c r="F530" s="21"/>
      <c r="G530" s="21"/>
      <c r="H530" s="24"/>
      <c r="I530" s="24"/>
      <c r="J530" s="20"/>
      <c r="K530" s="20"/>
      <c r="L530" s="20"/>
      <c r="M530" s="20"/>
      <c r="N530" s="20" t="str">
        <f t="shared" si="1"/>
        <v>#</v>
      </c>
      <c r="O530" s="20"/>
      <c r="P530" s="21"/>
      <c r="Q530" s="14" t="str">
        <f t="shared" si="2"/>
        <v/>
      </c>
      <c r="R530" s="14"/>
    </row>
    <row r="531">
      <c r="A531" s="14"/>
      <c r="B531" s="21"/>
      <c r="C531" s="14"/>
      <c r="D531" s="16"/>
      <c r="E531" s="16"/>
      <c r="F531" s="21"/>
      <c r="G531" s="21"/>
      <c r="H531" s="24"/>
      <c r="I531" s="24"/>
      <c r="J531" s="20"/>
      <c r="K531" s="20"/>
      <c r="L531" s="20"/>
      <c r="M531" s="20"/>
      <c r="N531" s="20" t="str">
        <f t="shared" si="1"/>
        <v>#</v>
      </c>
      <c r="O531" s="20"/>
      <c r="P531" s="21"/>
      <c r="Q531" s="14" t="str">
        <f t="shared" si="2"/>
        <v/>
      </c>
      <c r="R531" s="14"/>
    </row>
    <row r="532">
      <c r="A532" s="14"/>
      <c r="B532" s="21"/>
      <c r="C532" s="14"/>
      <c r="D532" s="16"/>
      <c r="E532" s="16"/>
      <c r="F532" s="21"/>
      <c r="G532" s="21"/>
      <c r="H532" s="24"/>
      <c r="I532" s="24"/>
      <c r="J532" s="20"/>
      <c r="K532" s="20"/>
      <c r="L532" s="20"/>
      <c r="M532" s="20"/>
      <c r="N532" s="20" t="str">
        <f t="shared" si="1"/>
        <v>#</v>
      </c>
      <c r="O532" s="20"/>
      <c r="P532" s="21"/>
      <c r="Q532" s="14" t="str">
        <f t="shared" si="2"/>
        <v/>
      </c>
      <c r="R532" s="14"/>
    </row>
    <row r="533">
      <c r="A533" s="14"/>
      <c r="B533" s="21"/>
      <c r="C533" s="14"/>
      <c r="D533" s="16"/>
      <c r="E533" s="16"/>
      <c r="F533" s="21"/>
      <c r="G533" s="21"/>
      <c r="H533" s="24"/>
      <c r="I533" s="24"/>
      <c r="J533" s="20"/>
      <c r="K533" s="20"/>
      <c r="L533" s="20"/>
      <c r="M533" s="20"/>
      <c r="N533" s="20" t="str">
        <f t="shared" si="1"/>
        <v>#</v>
      </c>
      <c r="O533" s="20"/>
      <c r="P533" s="21"/>
      <c r="Q533" s="14" t="str">
        <f t="shared" si="2"/>
        <v/>
      </c>
      <c r="R533" s="14"/>
    </row>
    <row r="534">
      <c r="A534" s="14"/>
      <c r="B534" s="21"/>
      <c r="C534" s="14"/>
      <c r="D534" s="16"/>
      <c r="E534" s="16"/>
      <c r="F534" s="21"/>
      <c r="G534" s="21"/>
      <c r="H534" s="24"/>
      <c r="I534" s="24"/>
      <c r="J534" s="20"/>
      <c r="K534" s="20"/>
      <c r="L534" s="20"/>
      <c r="M534" s="20"/>
      <c r="N534" s="20" t="str">
        <f t="shared" si="1"/>
        <v>#</v>
      </c>
      <c r="O534" s="20"/>
      <c r="P534" s="21"/>
      <c r="Q534" s="14" t="str">
        <f t="shared" si="2"/>
        <v/>
      </c>
      <c r="R534" s="14"/>
    </row>
    <row r="535">
      <c r="A535" s="14"/>
      <c r="B535" s="21"/>
      <c r="C535" s="14"/>
      <c r="D535" s="16"/>
      <c r="E535" s="16"/>
      <c r="F535" s="21"/>
      <c r="G535" s="21"/>
      <c r="H535" s="24"/>
      <c r="I535" s="24"/>
      <c r="J535" s="20"/>
      <c r="K535" s="20"/>
      <c r="L535" s="20"/>
      <c r="M535" s="20"/>
      <c r="N535" s="20" t="str">
        <f t="shared" si="1"/>
        <v>#</v>
      </c>
      <c r="O535" s="20"/>
      <c r="P535" s="21"/>
      <c r="Q535" s="14" t="str">
        <f t="shared" si="2"/>
        <v/>
      </c>
      <c r="R535" s="14"/>
    </row>
    <row r="536">
      <c r="A536" s="14"/>
      <c r="B536" s="21"/>
      <c r="C536" s="14"/>
      <c r="D536" s="16"/>
      <c r="E536" s="16"/>
      <c r="F536" s="21"/>
      <c r="G536" s="21"/>
      <c r="H536" s="24"/>
      <c r="I536" s="24"/>
      <c r="J536" s="20"/>
      <c r="K536" s="20"/>
      <c r="L536" s="20"/>
      <c r="M536" s="20"/>
      <c r="N536" s="20" t="str">
        <f t="shared" si="1"/>
        <v>#</v>
      </c>
      <c r="O536" s="20"/>
      <c r="P536" s="21"/>
      <c r="Q536" s="14" t="str">
        <f t="shared" si="2"/>
        <v/>
      </c>
      <c r="R536" s="14"/>
    </row>
    <row r="537">
      <c r="A537" s="14"/>
      <c r="B537" s="21"/>
      <c r="C537" s="14"/>
      <c r="D537" s="16"/>
      <c r="E537" s="16"/>
      <c r="F537" s="21"/>
      <c r="G537" s="21"/>
      <c r="H537" s="24"/>
      <c r="I537" s="24"/>
      <c r="J537" s="20"/>
      <c r="K537" s="20"/>
      <c r="L537" s="20"/>
      <c r="M537" s="20"/>
      <c r="N537" s="20" t="str">
        <f t="shared" si="1"/>
        <v>#</v>
      </c>
      <c r="O537" s="20"/>
      <c r="P537" s="21"/>
      <c r="Q537" s="14" t="str">
        <f t="shared" si="2"/>
        <v/>
      </c>
      <c r="R537" s="14"/>
    </row>
    <row r="538">
      <c r="A538" s="14"/>
      <c r="B538" s="21"/>
      <c r="C538" s="14"/>
      <c r="D538" s="16"/>
      <c r="E538" s="16"/>
      <c r="F538" s="21"/>
      <c r="G538" s="21"/>
      <c r="H538" s="24"/>
      <c r="I538" s="24"/>
      <c r="J538" s="20"/>
      <c r="K538" s="20"/>
      <c r="L538" s="20"/>
      <c r="M538" s="20"/>
      <c r="N538" s="20" t="str">
        <f t="shared" si="1"/>
        <v>#</v>
      </c>
      <c r="O538" s="20"/>
      <c r="P538" s="21"/>
      <c r="Q538" s="14" t="str">
        <f t="shared" si="2"/>
        <v/>
      </c>
      <c r="R538" s="14"/>
    </row>
    <row r="539">
      <c r="A539" s="14"/>
      <c r="B539" s="21"/>
      <c r="C539" s="14"/>
      <c r="D539" s="16"/>
      <c r="E539" s="16"/>
      <c r="F539" s="21"/>
      <c r="G539" s="21"/>
      <c r="H539" s="24"/>
      <c r="I539" s="24"/>
      <c r="J539" s="20"/>
      <c r="K539" s="20"/>
      <c r="L539" s="20"/>
      <c r="M539" s="20"/>
      <c r="N539" s="20" t="str">
        <f t="shared" si="1"/>
        <v>#</v>
      </c>
      <c r="O539" s="20"/>
      <c r="P539" s="21"/>
      <c r="Q539" s="14" t="str">
        <f t="shared" si="2"/>
        <v/>
      </c>
      <c r="R539" s="14"/>
    </row>
    <row r="540">
      <c r="A540" s="14"/>
      <c r="B540" s="21"/>
      <c r="C540" s="14"/>
      <c r="D540" s="16"/>
      <c r="E540" s="16"/>
      <c r="F540" s="21"/>
      <c r="G540" s="21"/>
      <c r="H540" s="24"/>
      <c r="I540" s="24"/>
      <c r="J540" s="20"/>
      <c r="K540" s="20"/>
      <c r="L540" s="20"/>
      <c r="M540" s="20"/>
      <c r="N540" s="20" t="str">
        <f t="shared" si="1"/>
        <v>#</v>
      </c>
      <c r="O540" s="20"/>
      <c r="P540" s="21"/>
      <c r="Q540" s="14" t="str">
        <f t="shared" si="2"/>
        <v/>
      </c>
      <c r="R540" s="14"/>
    </row>
    <row r="541">
      <c r="A541" s="14"/>
      <c r="B541" s="21"/>
      <c r="C541" s="14"/>
      <c r="D541" s="16"/>
      <c r="E541" s="16"/>
      <c r="F541" s="21"/>
      <c r="G541" s="21"/>
      <c r="H541" s="24"/>
      <c r="I541" s="24"/>
      <c r="J541" s="20"/>
      <c r="K541" s="20"/>
      <c r="L541" s="20"/>
      <c r="M541" s="20"/>
      <c r="N541" s="20" t="str">
        <f t="shared" si="1"/>
        <v>#</v>
      </c>
      <c r="O541" s="20"/>
      <c r="P541" s="21"/>
      <c r="Q541" s="14" t="str">
        <f t="shared" si="2"/>
        <v/>
      </c>
      <c r="R541" s="14"/>
    </row>
    <row r="542">
      <c r="A542" s="14"/>
      <c r="B542" s="21"/>
      <c r="C542" s="14"/>
      <c r="D542" s="16"/>
      <c r="E542" s="16"/>
      <c r="F542" s="21"/>
      <c r="G542" s="21"/>
      <c r="H542" s="24"/>
      <c r="I542" s="24"/>
      <c r="J542" s="20"/>
      <c r="K542" s="20"/>
      <c r="L542" s="20"/>
      <c r="M542" s="20"/>
      <c r="N542" s="20" t="str">
        <f t="shared" si="1"/>
        <v>#</v>
      </c>
      <c r="O542" s="20"/>
      <c r="P542" s="21"/>
      <c r="Q542" s="14" t="str">
        <f t="shared" si="2"/>
        <v/>
      </c>
      <c r="R542" s="14"/>
    </row>
    <row r="543">
      <c r="A543" s="14"/>
      <c r="B543" s="21"/>
      <c r="C543" s="14"/>
      <c r="D543" s="16"/>
      <c r="E543" s="16"/>
      <c r="F543" s="21"/>
      <c r="G543" s="21"/>
      <c r="H543" s="24"/>
      <c r="I543" s="24"/>
      <c r="J543" s="20"/>
      <c r="K543" s="20"/>
      <c r="L543" s="20"/>
      <c r="M543" s="20"/>
      <c r="N543" s="20" t="str">
        <f t="shared" si="1"/>
        <v>#</v>
      </c>
      <c r="O543" s="20"/>
      <c r="P543" s="21"/>
      <c r="Q543" s="14" t="str">
        <f t="shared" si="2"/>
        <v/>
      </c>
      <c r="R543" s="14"/>
    </row>
    <row r="544">
      <c r="A544" s="14"/>
      <c r="B544" s="21"/>
      <c r="C544" s="14"/>
      <c r="D544" s="16"/>
      <c r="E544" s="16"/>
      <c r="F544" s="21"/>
      <c r="G544" s="21"/>
      <c r="H544" s="24"/>
      <c r="I544" s="24"/>
      <c r="J544" s="20"/>
      <c r="K544" s="20"/>
      <c r="L544" s="20"/>
      <c r="M544" s="20"/>
      <c r="N544" s="20" t="str">
        <f t="shared" si="1"/>
        <v>#</v>
      </c>
      <c r="O544" s="20"/>
      <c r="P544" s="21"/>
      <c r="Q544" s="14" t="str">
        <f t="shared" si="2"/>
        <v/>
      </c>
      <c r="R544" s="14"/>
    </row>
    <row r="545">
      <c r="A545" s="14"/>
      <c r="B545" s="21"/>
      <c r="C545" s="14"/>
      <c r="D545" s="16"/>
      <c r="E545" s="16"/>
      <c r="F545" s="21"/>
      <c r="G545" s="21"/>
      <c r="H545" s="24"/>
      <c r="I545" s="24"/>
      <c r="J545" s="20"/>
      <c r="K545" s="20"/>
      <c r="L545" s="20"/>
      <c r="M545" s="20"/>
      <c r="N545" s="20" t="str">
        <f t="shared" si="1"/>
        <v>#</v>
      </c>
      <c r="O545" s="20"/>
      <c r="P545" s="21"/>
      <c r="Q545" s="14" t="str">
        <f t="shared" si="2"/>
        <v/>
      </c>
      <c r="R545" s="14"/>
    </row>
    <row r="546">
      <c r="A546" s="14"/>
      <c r="B546" s="21"/>
      <c r="C546" s="14"/>
      <c r="D546" s="16"/>
      <c r="E546" s="16"/>
      <c r="F546" s="21"/>
      <c r="G546" s="21"/>
      <c r="H546" s="24"/>
      <c r="I546" s="24"/>
      <c r="J546" s="20"/>
      <c r="K546" s="20"/>
      <c r="L546" s="20"/>
      <c r="M546" s="20"/>
      <c r="N546" s="20" t="str">
        <f t="shared" si="1"/>
        <v>#</v>
      </c>
      <c r="O546" s="20"/>
      <c r="P546" s="21"/>
      <c r="Q546" s="14" t="str">
        <f t="shared" si="2"/>
        <v/>
      </c>
      <c r="R546" s="14"/>
    </row>
    <row r="547">
      <c r="A547" s="14"/>
      <c r="B547" s="21"/>
      <c r="C547" s="14"/>
      <c r="D547" s="16"/>
      <c r="E547" s="16"/>
      <c r="F547" s="21"/>
      <c r="G547" s="21"/>
      <c r="H547" s="24"/>
      <c r="I547" s="24"/>
      <c r="J547" s="20"/>
      <c r="K547" s="20"/>
      <c r="L547" s="20"/>
      <c r="M547" s="20"/>
      <c r="N547" s="20" t="str">
        <f t="shared" si="1"/>
        <v>#</v>
      </c>
      <c r="O547" s="20"/>
      <c r="P547" s="21"/>
      <c r="Q547" s="14" t="str">
        <f t="shared" si="2"/>
        <v/>
      </c>
      <c r="R547" s="14"/>
    </row>
    <row r="548">
      <c r="A548" s="14"/>
      <c r="B548" s="21"/>
      <c r="C548" s="14"/>
      <c r="D548" s="16"/>
      <c r="E548" s="16"/>
      <c r="F548" s="21"/>
      <c r="G548" s="21"/>
      <c r="H548" s="24"/>
      <c r="I548" s="24"/>
      <c r="J548" s="20"/>
      <c r="K548" s="20"/>
      <c r="L548" s="20"/>
      <c r="M548" s="20"/>
      <c r="N548" s="20" t="str">
        <f t="shared" si="1"/>
        <v>#</v>
      </c>
      <c r="O548" s="20"/>
      <c r="P548" s="21"/>
      <c r="Q548" s="14" t="str">
        <f t="shared" si="2"/>
        <v/>
      </c>
      <c r="R548" s="14"/>
    </row>
    <row r="549">
      <c r="A549" s="14"/>
      <c r="B549" s="21"/>
      <c r="C549" s="14"/>
      <c r="D549" s="16"/>
      <c r="E549" s="16"/>
      <c r="F549" s="21"/>
      <c r="G549" s="21"/>
      <c r="H549" s="24"/>
      <c r="I549" s="24"/>
      <c r="J549" s="20"/>
      <c r="K549" s="20"/>
      <c r="L549" s="20"/>
      <c r="M549" s="20"/>
      <c r="N549" s="20" t="str">
        <f t="shared" si="1"/>
        <v>#</v>
      </c>
      <c r="O549" s="20"/>
      <c r="P549" s="21"/>
      <c r="Q549" s="14" t="str">
        <f t="shared" si="2"/>
        <v/>
      </c>
      <c r="R549" s="14"/>
    </row>
    <row r="550">
      <c r="A550" s="14"/>
      <c r="B550" s="21"/>
      <c r="C550" s="14"/>
      <c r="D550" s="16"/>
      <c r="E550" s="16"/>
      <c r="F550" s="21"/>
      <c r="G550" s="21"/>
      <c r="H550" s="24"/>
      <c r="I550" s="24"/>
      <c r="J550" s="20"/>
      <c r="K550" s="20"/>
      <c r="L550" s="20"/>
      <c r="M550" s="20"/>
      <c r="N550" s="20" t="str">
        <f t="shared" si="1"/>
        <v>#</v>
      </c>
      <c r="O550" s="20"/>
      <c r="P550" s="21"/>
      <c r="Q550" s="14" t="str">
        <f t="shared" si="2"/>
        <v/>
      </c>
      <c r="R550" s="14"/>
    </row>
    <row r="551">
      <c r="A551" s="14"/>
      <c r="B551" s="21"/>
      <c r="C551" s="14"/>
      <c r="D551" s="16"/>
      <c r="E551" s="16"/>
      <c r="F551" s="21"/>
      <c r="G551" s="21"/>
      <c r="H551" s="24"/>
      <c r="I551" s="24"/>
      <c r="J551" s="20"/>
      <c r="K551" s="20"/>
      <c r="L551" s="20"/>
      <c r="M551" s="20"/>
      <c r="N551" s="20" t="str">
        <f t="shared" si="1"/>
        <v>#</v>
      </c>
      <c r="O551" s="20"/>
      <c r="P551" s="21"/>
      <c r="Q551" s="14" t="str">
        <f t="shared" si="2"/>
        <v/>
      </c>
      <c r="R551" s="14"/>
    </row>
    <row r="552">
      <c r="A552" s="14"/>
      <c r="B552" s="21"/>
      <c r="C552" s="14"/>
      <c r="D552" s="16"/>
      <c r="E552" s="16"/>
      <c r="F552" s="21"/>
      <c r="G552" s="21"/>
      <c r="H552" s="24"/>
      <c r="I552" s="24"/>
      <c r="J552" s="20"/>
      <c r="K552" s="20"/>
      <c r="L552" s="20"/>
      <c r="M552" s="20"/>
      <c r="N552" s="20" t="str">
        <f t="shared" si="1"/>
        <v>#</v>
      </c>
      <c r="O552" s="20"/>
      <c r="P552" s="21"/>
      <c r="Q552" s="14" t="str">
        <f t="shared" si="2"/>
        <v/>
      </c>
      <c r="R552" s="14"/>
    </row>
    <row r="553">
      <c r="A553" s="14"/>
      <c r="B553" s="21"/>
      <c r="C553" s="14"/>
      <c r="D553" s="16"/>
      <c r="E553" s="16"/>
      <c r="F553" s="21"/>
      <c r="G553" s="21"/>
      <c r="H553" s="24"/>
      <c r="I553" s="24"/>
      <c r="J553" s="20"/>
      <c r="K553" s="20"/>
      <c r="L553" s="20"/>
      <c r="M553" s="20"/>
      <c r="N553" s="20" t="str">
        <f t="shared" si="1"/>
        <v>#</v>
      </c>
      <c r="O553" s="20"/>
      <c r="P553" s="21"/>
      <c r="Q553" s="14" t="str">
        <f t="shared" si="2"/>
        <v/>
      </c>
      <c r="R553" s="14"/>
    </row>
    <row r="554">
      <c r="A554" s="14"/>
      <c r="B554" s="21"/>
      <c r="C554" s="14"/>
      <c r="D554" s="16"/>
      <c r="E554" s="16"/>
      <c r="F554" s="21"/>
      <c r="G554" s="21"/>
      <c r="H554" s="24"/>
      <c r="I554" s="24"/>
      <c r="J554" s="20"/>
      <c r="K554" s="20"/>
      <c r="L554" s="20"/>
      <c r="M554" s="20"/>
      <c r="N554" s="20" t="str">
        <f t="shared" si="1"/>
        <v>#</v>
      </c>
      <c r="O554" s="20"/>
      <c r="P554" s="21"/>
      <c r="Q554" s="14" t="str">
        <f t="shared" si="2"/>
        <v/>
      </c>
      <c r="R554" s="14"/>
    </row>
    <row r="555">
      <c r="A555" s="14"/>
      <c r="B555" s="21"/>
      <c r="C555" s="14"/>
      <c r="D555" s="16"/>
      <c r="E555" s="16"/>
      <c r="F555" s="21"/>
      <c r="G555" s="21"/>
      <c r="H555" s="24"/>
      <c r="I555" s="24"/>
      <c r="J555" s="20"/>
      <c r="K555" s="20"/>
      <c r="L555" s="20"/>
      <c r="M555" s="20"/>
      <c r="N555" s="20" t="str">
        <f t="shared" si="1"/>
        <v>#</v>
      </c>
      <c r="O555" s="20"/>
      <c r="P555" s="21"/>
      <c r="Q555" s="14" t="str">
        <f t="shared" si="2"/>
        <v/>
      </c>
      <c r="R555" s="14"/>
    </row>
    <row r="556">
      <c r="A556" s="14"/>
      <c r="B556" s="21"/>
      <c r="C556" s="14"/>
      <c r="D556" s="16"/>
      <c r="E556" s="16"/>
      <c r="F556" s="21"/>
      <c r="G556" s="21"/>
      <c r="H556" s="24"/>
      <c r="I556" s="24"/>
      <c r="J556" s="20"/>
      <c r="K556" s="20"/>
      <c r="L556" s="20"/>
      <c r="M556" s="20"/>
      <c r="N556" s="20" t="str">
        <f t="shared" si="1"/>
        <v>#</v>
      </c>
      <c r="O556" s="20"/>
      <c r="P556" s="21"/>
      <c r="Q556" s="14" t="str">
        <f t="shared" si="2"/>
        <v/>
      </c>
      <c r="R556" s="14"/>
    </row>
    <row r="557">
      <c r="A557" s="14"/>
      <c r="B557" s="21"/>
      <c r="C557" s="14"/>
      <c r="D557" s="16"/>
      <c r="E557" s="16"/>
      <c r="F557" s="21"/>
      <c r="G557" s="21"/>
      <c r="H557" s="24"/>
      <c r="I557" s="24"/>
      <c r="J557" s="20"/>
      <c r="K557" s="20"/>
      <c r="L557" s="20"/>
      <c r="M557" s="20"/>
      <c r="N557" s="20" t="str">
        <f t="shared" si="1"/>
        <v>#</v>
      </c>
      <c r="O557" s="20"/>
      <c r="P557" s="21"/>
      <c r="Q557" s="14" t="str">
        <f t="shared" si="2"/>
        <v/>
      </c>
      <c r="R557" s="14"/>
    </row>
    <row r="558">
      <c r="A558" s="14"/>
      <c r="B558" s="21"/>
      <c r="C558" s="14"/>
      <c r="D558" s="16"/>
      <c r="E558" s="16"/>
      <c r="F558" s="21"/>
      <c r="G558" s="21"/>
      <c r="H558" s="24"/>
      <c r="I558" s="24"/>
      <c r="J558" s="20"/>
      <c r="K558" s="20"/>
      <c r="L558" s="20"/>
      <c r="M558" s="20"/>
      <c r="N558" s="20" t="str">
        <f t="shared" si="1"/>
        <v>#</v>
      </c>
      <c r="O558" s="20"/>
      <c r="P558" s="21"/>
      <c r="Q558" s="14" t="str">
        <f t="shared" si="2"/>
        <v/>
      </c>
      <c r="R558" s="14"/>
    </row>
    <row r="559">
      <c r="A559" s="14"/>
      <c r="B559" s="21"/>
      <c r="C559" s="14"/>
      <c r="D559" s="16"/>
      <c r="E559" s="16"/>
      <c r="F559" s="21"/>
      <c r="G559" s="21"/>
      <c r="H559" s="24"/>
      <c r="I559" s="24"/>
      <c r="J559" s="20"/>
      <c r="K559" s="20"/>
      <c r="L559" s="20"/>
      <c r="M559" s="20"/>
      <c r="N559" s="20" t="str">
        <f t="shared" si="1"/>
        <v>#</v>
      </c>
      <c r="O559" s="20"/>
      <c r="P559" s="21"/>
      <c r="Q559" s="14" t="str">
        <f t="shared" si="2"/>
        <v/>
      </c>
      <c r="R559" s="14"/>
    </row>
    <row r="560">
      <c r="A560" s="14"/>
      <c r="B560" s="21"/>
      <c r="C560" s="14"/>
      <c r="D560" s="16"/>
      <c r="E560" s="16"/>
      <c r="F560" s="21"/>
      <c r="G560" s="21"/>
      <c r="H560" s="24"/>
      <c r="I560" s="24"/>
      <c r="J560" s="20"/>
      <c r="K560" s="20"/>
      <c r="L560" s="20"/>
      <c r="M560" s="20"/>
      <c r="N560" s="20" t="str">
        <f t="shared" si="1"/>
        <v>#</v>
      </c>
      <c r="O560" s="20"/>
      <c r="P560" s="21"/>
      <c r="Q560" s="14" t="str">
        <f t="shared" si="2"/>
        <v/>
      </c>
      <c r="R560" s="14"/>
    </row>
    <row r="561">
      <c r="A561" s="14"/>
      <c r="B561" s="21"/>
      <c r="C561" s="14"/>
      <c r="D561" s="16"/>
      <c r="E561" s="16"/>
      <c r="F561" s="21"/>
      <c r="G561" s="21"/>
      <c r="H561" s="24"/>
      <c r="I561" s="24"/>
      <c r="J561" s="20"/>
      <c r="K561" s="20"/>
      <c r="L561" s="20"/>
      <c r="M561" s="20"/>
      <c r="N561" s="20" t="str">
        <f t="shared" si="1"/>
        <v>#</v>
      </c>
      <c r="O561" s="20"/>
      <c r="P561" s="21"/>
      <c r="Q561" s="14" t="str">
        <f t="shared" si="2"/>
        <v/>
      </c>
      <c r="R561" s="14"/>
    </row>
    <row r="562">
      <c r="A562" s="14"/>
      <c r="B562" s="21"/>
      <c r="C562" s="14"/>
      <c r="D562" s="16"/>
      <c r="E562" s="16"/>
      <c r="F562" s="21"/>
      <c r="G562" s="21"/>
      <c r="H562" s="24"/>
      <c r="I562" s="24"/>
      <c r="J562" s="20"/>
      <c r="K562" s="20"/>
      <c r="L562" s="20"/>
      <c r="M562" s="20"/>
      <c r="N562" s="20" t="str">
        <f t="shared" si="1"/>
        <v>#</v>
      </c>
      <c r="O562" s="20"/>
      <c r="P562" s="21"/>
      <c r="Q562" s="14" t="str">
        <f t="shared" si="2"/>
        <v/>
      </c>
      <c r="R562" s="14"/>
    </row>
    <row r="563">
      <c r="A563" s="14"/>
      <c r="B563" s="21"/>
      <c r="C563" s="14"/>
      <c r="D563" s="16"/>
      <c r="E563" s="16"/>
      <c r="F563" s="21"/>
      <c r="G563" s="21"/>
      <c r="H563" s="24"/>
      <c r="I563" s="24"/>
      <c r="J563" s="20"/>
      <c r="K563" s="20"/>
      <c r="L563" s="20"/>
      <c r="M563" s="20"/>
      <c r="N563" s="20" t="str">
        <f t="shared" si="1"/>
        <v>#</v>
      </c>
      <c r="O563" s="20"/>
      <c r="P563" s="21"/>
      <c r="Q563" s="14" t="str">
        <f t="shared" si="2"/>
        <v/>
      </c>
      <c r="R563" s="14"/>
    </row>
    <row r="564">
      <c r="A564" s="14"/>
      <c r="B564" s="21"/>
      <c r="C564" s="14"/>
      <c r="D564" s="16"/>
      <c r="E564" s="16"/>
      <c r="F564" s="21"/>
      <c r="G564" s="21"/>
      <c r="H564" s="24"/>
      <c r="I564" s="24"/>
      <c r="J564" s="20"/>
      <c r="K564" s="20"/>
      <c r="L564" s="20"/>
      <c r="M564" s="20"/>
      <c r="N564" s="20" t="str">
        <f t="shared" si="1"/>
        <v>#</v>
      </c>
      <c r="O564" s="20"/>
      <c r="P564" s="21"/>
      <c r="Q564" s="14" t="str">
        <f t="shared" si="2"/>
        <v/>
      </c>
      <c r="R564" s="14"/>
    </row>
    <row r="565">
      <c r="A565" s="14"/>
      <c r="B565" s="21"/>
      <c r="C565" s="14"/>
      <c r="D565" s="16"/>
      <c r="E565" s="16"/>
      <c r="F565" s="21"/>
      <c r="G565" s="21"/>
      <c r="H565" s="24"/>
      <c r="I565" s="24"/>
      <c r="J565" s="20"/>
      <c r="K565" s="20"/>
      <c r="L565" s="20"/>
      <c r="M565" s="20"/>
      <c r="N565" s="20" t="str">
        <f t="shared" si="1"/>
        <v>#</v>
      </c>
      <c r="O565" s="20"/>
      <c r="P565" s="21"/>
      <c r="Q565" s="14" t="str">
        <f t="shared" si="2"/>
        <v/>
      </c>
      <c r="R565" s="14"/>
    </row>
    <row r="566">
      <c r="A566" s="14"/>
      <c r="B566" s="21"/>
      <c r="C566" s="14"/>
      <c r="D566" s="16"/>
      <c r="E566" s="16"/>
      <c r="F566" s="21"/>
      <c r="G566" s="21"/>
      <c r="H566" s="24"/>
      <c r="I566" s="24"/>
      <c r="J566" s="20"/>
      <c r="K566" s="20"/>
      <c r="L566" s="20"/>
      <c r="M566" s="20"/>
      <c r="N566" s="20" t="str">
        <f t="shared" si="1"/>
        <v>#</v>
      </c>
      <c r="O566" s="20"/>
      <c r="P566" s="21"/>
      <c r="Q566" s="14" t="str">
        <f t="shared" si="2"/>
        <v/>
      </c>
      <c r="R566" s="14"/>
    </row>
    <row r="567">
      <c r="A567" s="14"/>
      <c r="B567" s="21"/>
      <c r="C567" s="14"/>
      <c r="D567" s="16"/>
      <c r="E567" s="16"/>
      <c r="F567" s="21"/>
      <c r="G567" s="21"/>
      <c r="H567" s="24"/>
      <c r="I567" s="24"/>
      <c r="J567" s="20"/>
      <c r="K567" s="20"/>
      <c r="L567" s="20"/>
      <c r="M567" s="20"/>
      <c r="N567" s="20" t="str">
        <f t="shared" si="1"/>
        <v>#</v>
      </c>
      <c r="O567" s="20"/>
      <c r="P567" s="21"/>
      <c r="Q567" s="14" t="str">
        <f t="shared" si="2"/>
        <v/>
      </c>
      <c r="R567" s="14"/>
    </row>
    <row r="568">
      <c r="A568" s="14"/>
      <c r="B568" s="21"/>
      <c r="C568" s="14"/>
      <c r="D568" s="16"/>
      <c r="E568" s="16"/>
      <c r="F568" s="21"/>
      <c r="G568" s="21"/>
      <c r="H568" s="24"/>
      <c r="I568" s="24"/>
      <c r="J568" s="20"/>
      <c r="K568" s="20"/>
      <c r="L568" s="20"/>
      <c r="M568" s="20"/>
      <c r="N568" s="20" t="str">
        <f t="shared" si="1"/>
        <v>#</v>
      </c>
      <c r="O568" s="20"/>
      <c r="P568" s="21"/>
      <c r="Q568" s="14" t="str">
        <f t="shared" si="2"/>
        <v/>
      </c>
      <c r="R568" s="14"/>
    </row>
    <row r="569">
      <c r="A569" s="14"/>
      <c r="B569" s="21"/>
      <c r="C569" s="14"/>
      <c r="D569" s="16"/>
      <c r="E569" s="16"/>
      <c r="F569" s="21"/>
      <c r="G569" s="21"/>
      <c r="H569" s="24"/>
      <c r="I569" s="24"/>
      <c r="J569" s="20"/>
      <c r="K569" s="20"/>
      <c r="L569" s="20"/>
      <c r="M569" s="20"/>
      <c r="N569" s="20" t="str">
        <f t="shared" si="1"/>
        <v>#</v>
      </c>
      <c r="O569" s="20"/>
      <c r="P569" s="21"/>
      <c r="Q569" s="14" t="str">
        <f t="shared" si="2"/>
        <v/>
      </c>
      <c r="R569" s="14"/>
    </row>
    <row r="570">
      <c r="A570" s="14"/>
      <c r="B570" s="21"/>
      <c r="C570" s="14"/>
      <c r="D570" s="16"/>
      <c r="E570" s="16"/>
      <c r="F570" s="21"/>
      <c r="G570" s="21"/>
      <c r="H570" s="24"/>
      <c r="I570" s="24"/>
      <c r="J570" s="20"/>
      <c r="K570" s="20"/>
      <c r="L570" s="20"/>
      <c r="M570" s="20"/>
      <c r="N570" s="20" t="str">
        <f t="shared" si="1"/>
        <v>#</v>
      </c>
      <c r="O570" s="20"/>
      <c r="P570" s="21"/>
      <c r="Q570" s="14" t="str">
        <f t="shared" si="2"/>
        <v/>
      </c>
      <c r="R570" s="14"/>
    </row>
    <row r="571">
      <c r="A571" s="14"/>
      <c r="B571" s="21"/>
      <c r="C571" s="14"/>
      <c r="D571" s="16"/>
      <c r="E571" s="16"/>
      <c r="F571" s="21"/>
      <c r="G571" s="21"/>
      <c r="H571" s="24"/>
      <c r="I571" s="24"/>
      <c r="J571" s="20"/>
      <c r="K571" s="20"/>
      <c r="L571" s="20"/>
      <c r="M571" s="20"/>
      <c r="N571" s="20" t="str">
        <f t="shared" si="1"/>
        <v>#</v>
      </c>
      <c r="O571" s="20"/>
      <c r="P571" s="21"/>
      <c r="Q571" s="14" t="str">
        <f t="shared" si="2"/>
        <v/>
      </c>
      <c r="R571" s="14"/>
    </row>
    <row r="572">
      <c r="A572" s="14"/>
      <c r="B572" s="21"/>
      <c r="C572" s="14"/>
      <c r="D572" s="16"/>
      <c r="E572" s="16"/>
      <c r="F572" s="21"/>
      <c r="G572" s="21"/>
      <c r="H572" s="24"/>
      <c r="I572" s="24"/>
      <c r="J572" s="20"/>
      <c r="K572" s="20"/>
      <c r="L572" s="20"/>
      <c r="M572" s="20"/>
      <c r="N572" s="20" t="str">
        <f t="shared" si="1"/>
        <v>#</v>
      </c>
      <c r="O572" s="20"/>
      <c r="P572" s="21"/>
      <c r="Q572" s="14" t="str">
        <f t="shared" si="2"/>
        <v/>
      </c>
      <c r="R572" s="14"/>
    </row>
    <row r="573">
      <c r="A573" s="14"/>
      <c r="B573" s="21"/>
      <c r="C573" s="14"/>
      <c r="D573" s="16"/>
      <c r="E573" s="16"/>
      <c r="F573" s="21"/>
      <c r="G573" s="21"/>
      <c r="H573" s="24"/>
      <c r="I573" s="24"/>
      <c r="J573" s="20"/>
      <c r="K573" s="20"/>
      <c r="L573" s="20"/>
      <c r="M573" s="20"/>
      <c r="N573" s="20" t="str">
        <f t="shared" si="1"/>
        <v>#</v>
      </c>
      <c r="O573" s="20"/>
      <c r="P573" s="21"/>
      <c r="Q573" s="14" t="str">
        <f t="shared" si="2"/>
        <v/>
      </c>
      <c r="R573" s="14"/>
    </row>
    <row r="574">
      <c r="A574" s="14"/>
      <c r="B574" s="21"/>
      <c r="C574" s="14"/>
      <c r="D574" s="16"/>
      <c r="E574" s="16"/>
      <c r="F574" s="21"/>
      <c r="G574" s="21"/>
      <c r="H574" s="24"/>
      <c r="I574" s="24"/>
      <c r="J574" s="20"/>
      <c r="K574" s="20"/>
      <c r="L574" s="20"/>
      <c r="M574" s="20"/>
      <c r="N574" s="20" t="str">
        <f t="shared" si="1"/>
        <v>#</v>
      </c>
      <c r="O574" s="20"/>
      <c r="P574" s="21"/>
      <c r="Q574" s="14" t="str">
        <f t="shared" si="2"/>
        <v/>
      </c>
      <c r="R574" s="14"/>
    </row>
    <row r="575">
      <c r="A575" s="14"/>
      <c r="B575" s="21"/>
      <c r="C575" s="14"/>
      <c r="D575" s="16"/>
      <c r="E575" s="16"/>
      <c r="F575" s="21"/>
      <c r="G575" s="21"/>
      <c r="H575" s="24"/>
      <c r="I575" s="24"/>
      <c r="J575" s="20"/>
      <c r="K575" s="20"/>
      <c r="L575" s="20"/>
      <c r="M575" s="20"/>
      <c r="N575" s="20" t="str">
        <f t="shared" si="1"/>
        <v>#</v>
      </c>
      <c r="O575" s="20"/>
      <c r="P575" s="21"/>
      <c r="Q575" s="14" t="str">
        <f t="shared" si="2"/>
        <v/>
      </c>
      <c r="R575" s="14"/>
    </row>
    <row r="576">
      <c r="A576" s="14"/>
      <c r="B576" s="21"/>
      <c r="C576" s="14"/>
      <c r="D576" s="16"/>
      <c r="E576" s="16"/>
      <c r="F576" s="21"/>
      <c r="G576" s="21"/>
      <c r="H576" s="24"/>
      <c r="I576" s="24"/>
      <c r="J576" s="20"/>
      <c r="K576" s="20"/>
      <c r="L576" s="20"/>
      <c r="M576" s="20"/>
      <c r="N576" s="20" t="str">
        <f t="shared" si="1"/>
        <v>#</v>
      </c>
      <c r="O576" s="20"/>
      <c r="P576" s="21"/>
      <c r="Q576" s="14" t="str">
        <f t="shared" si="2"/>
        <v/>
      </c>
      <c r="R576" s="14"/>
    </row>
    <row r="577">
      <c r="A577" s="14"/>
      <c r="B577" s="21"/>
      <c r="C577" s="14"/>
      <c r="D577" s="16"/>
      <c r="E577" s="16"/>
      <c r="F577" s="21"/>
      <c r="G577" s="21"/>
      <c r="H577" s="24"/>
      <c r="I577" s="24"/>
      <c r="J577" s="20"/>
      <c r="K577" s="20"/>
      <c r="L577" s="20"/>
      <c r="M577" s="20"/>
      <c r="N577" s="20" t="str">
        <f t="shared" si="1"/>
        <v>#</v>
      </c>
      <c r="O577" s="20"/>
      <c r="P577" s="21"/>
      <c r="Q577" s="14" t="str">
        <f t="shared" si="2"/>
        <v/>
      </c>
      <c r="R577" s="14"/>
    </row>
    <row r="578">
      <c r="A578" s="14"/>
      <c r="B578" s="21"/>
      <c r="C578" s="14"/>
      <c r="D578" s="16"/>
      <c r="E578" s="16"/>
      <c r="F578" s="21"/>
      <c r="G578" s="21"/>
      <c r="H578" s="24"/>
      <c r="I578" s="24"/>
      <c r="J578" s="20"/>
      <c r="K578" s="20"/>
      <c r="L578" s="20"/>
      <c r="M578" s="20"/>
      <c r="N578" s="20" t="str">
        <f t="shared" si="1"/>
        <v>#</v>
      </c>
      <c r="O578" s="20"/>
      <c r="P578" s="21"/>
      <c r="Q578" s="14" t="str">
        <f t="shared" si="2"/>
        <v/>
      </c>
      <c r="R578" s="14"/>
    </row>
    <row r="579">
      <c r="A579" s="14"/>
      <c r="B579" s="21"/>
      <c r="C579" s="14"/>
      <c r="D579" s="16"/>
      <c r="E579" s="16"/>
      <c r="F579" s="21"/>
      <c r="G579" s="21"/>
      <c r="H579" s="24"/>
      <c r="I579" s="24"/>
      <c r="J579" s="20"/>
      <c r="K579" s="20"/>
      <c r="L579" s="20"/>
      <c r="M579" s="20"/>
      <c r="N579" s="20" t="str">
        <f t="shared" si="1"/>
        <v>#</v>
      </c>
      <c r="O579" s="20"/>
      <c r="P579" s="21"/>
      <c r="Q579" s="14" t="str">
        <f t="shared" si="2"/>
        <v/>
      </c>
      <c r="R579" s="14"/>
    </row>
    <row r="580">
      <c r="A580" s="14"/>
      <c r="B580" s="21"/>
      <c r="C580" s="14"/>
      <c r="D580" s="16"/>
      <c r="E580" s="16"/>
      <c r="F580" s="21"/>
      <c r="G580" s="21"/>
      <c r="H580" s="24"/>
      <c r="I580" s="24"/>
      <c r="J580" s="20"/>
      <c r="K580" s="20"/>
      <c r="L580" s="20"/>
      <c r="M580" s="20"/>
      <c r="N580" s="20" t="str">
        <f t="shared" si="1"/>
        <v>#</v>
      </c>
      <c r="O580" s="20"/>
      <c r="P580" s="21"/>
      <c r="Q580" s="14" t="str">
        <f t="shared" si="2"/>
        <v/>
      </c>
      <c r="R580" s="14"/>
    </row>
    <row r="581">
      <c r="A581" s="14"/>
      <c r="B581" s="21"/>
      <c r="C581" s="14"/>
      <c r="D581" s="16"/>
      <c r="E581" s="16"/>
      <c r="F581" s="21"/>
      <c r="G581" s="21"/>
      <c r="H581" s="24"/>
      <c r="I581" s="24"/>
      <c r="J581" s="20"/>
      <c r="K581" s="20"/>
      <c r="L581" s="20"/>
      <c r="M581" s="20"/>
      <c r="N581" s="20" t="str">
        <f t="shared" si="1"/>
        <v>#</v>
      </c>
      <c r="O581" s="20"/>
      <c r="P581" s="21"/>
      <c r="Q581" s="14" t="str">
        <f t="shared" si="2"/>
        <v/>
      </c>
      <c r="R581" s="14"/>
    </row>
    <row r="582">
      <c r="A582" s="14"/>
      <c r="B582" s="21"/>
      <c r="C582" s="14"/>
      <c r="D582" s="16"/>
      <c r="E582" s="16"/>
      <c r="F582" s="21"/>
      <c r="G582" s="21"/>
      <c r="H582" s="24"/>
      <c r="I582" s="24"/>
      <c r="J582" s="20"/>
      <c r="K582" s="20"/>
      <c r="L582" s="20"/>
      <c r="M582" s="20"/>
      <c r="N582" s="20" t="str">
        <f t="shared" si="1"/>
        <v>#</v>
      </c>
      <c r="O582" s="20"/>
      <c r="P582" s="21"/>
      <c r="Q582" s="14" t="str">
        <f t="shared" si="2"/>
        <v/>
      </c>
      <c r="R582" s="14"/>
    </row>
    <row r="583">
      <c r="A583" s="14"/>
      <c r="B583" s="21"/>
      <c r="C583" s="14"/>
      <c r="D583" s="16"/>
      <c r="E583" s="16"/>
      <c r="F583" s="21"/>
      <c r="G583" s="21"/>
      <c r="H583" s="24"/>
      <c r="I583" s="24"/>
      <c r="J583" s="20"/>
      <c r="K583" s="20"/>
      <c r="L583" s="20"/>
      <c r="M583" s="20"/>
      <c r="N583" s="20" t="str">
        <f t="shared" si="1"/>
        <v>#</v>
      </c>
      <c r="O583" s="20"/>
      <c r="P583" s="21"/>
      <c r="Q583" s="14" t="str">
        <f t="shared" si="2"/>
        <v/>
      </c>
      <c r="R583" s="14"/>
    </row>
    <row r="584">
      <c r="A584" s="14"/>
      <c r="B584" s="21"/>
      <c r="C584" s="14"/>
      <c r="D584" s="16"/>
      <c r="E584" s="16"/>
      <c r="F584" s="21"/>
      <c r="G584" s="21"/>
      <c r="H584" s="24"/>
      <c r="I584" s="24"/>
      <c r="J584" s="20"/>
      <c r="K584" s="20"/>
      <c r="L584" s="20"/>
      <c r="M584" s="20"/>
      <c r="N584" s="20" t="str">
        <f t="shared" si="1"/>
        <v>#</v>
      </c>
      <c r="O584" s="20"/>
      <c r="P584" s="21"/>
      <c r="Q584" s="14" t="str">
        <f t="shared" si="2"/>
        <v/>
      </c>
      <c r="R584" s="14"/>
    </row>
    <row r="585">
      <c r="A585" s="14"/>
      <c r="B585" s="21"/>
      <c r="C585" s="14"/>
      <c r="D585" s="16"/>
      <c r="E585" s="16"/>
      <c r="F585" s="21"/>
      <c r="G585" s="21"/>
      <c r="H585" s="24"/>
      <c r="I585" s="24"/>
      <c r="J585" s="20"/>
      <c r="K585" s="20"/>
      <c r="L585" s="20"/>
      <c r="M585" s="20"/>
      <c r="N585" s="20" t="str">
        <f t="shared" si="1"/>
        <v>#</v>
      </c>
      <c r="O585" s="20"/>
      <c r="P585" s="21"/>
      <c r="Q585" s="14" t="str">
        <f t="shared" si="2"/>
        <v/>
      </c>
      <c r="R585" s="14"/>
    </row>
    <row r="586">
      <c r="A586" s="14"/>
      <c r="B586" s="21"/>
      <c r="C586" s="14"/>
      <c r="D586" s="16"/>
      <c r="E586" s="16"/>
      <c r="F586" s="21"/>
      <c r="G586" s="21"/>
      <c r="H586" s="24"/>
      <c r="I586" s="24"/>
      <c r="J586" s="20"/>
      <c r="K586" s="20"/>
      <c r="L586" s="20"/>
      <c r="M586" s="20"/>
      <c r="N586" s="20" t="str">
        <f t="shared" si="1"/>
        <v>#</v>
      </c>
      <c r="O586" s="20"/>
      <c r="P586" s="21"/>
      <c r="Q586" s="14" t="str">
        <f t="shared" si="2"/>
        <v/>
      </c>
      <c r="R586" s="14"/>
    </row>
    <row r="587">
      <c r="A587" s="14"/>
      <c r="B587" s="21"/>
      <c r="C587" s="14"/>
      <c r="D587" s="16"/>
      <c r="E587" s="16"/>
      <c r="F587" s="21"/>
      <c r="G587" s="21"/>
      <c r="H587" s="24"/>
      <c r="I587" s="24"/>
      <c r="J587" s="20"/>
      <c r="K587" s="20"/>
      <c r="L587" s="20"/>
      <c r="M587" s="20"/>
      <c r="N587" s="20" t="str">
        <f t="shared" si="1"/>
        <v>#</v>
      </c>
      <c r="O587" s="20"/>
      <c r="P587" s="21"/>
      <c r="Q587" s="14" t="str">
        <f t="shared" si="2"/>
        <v/>
      </c>
      <c r="R587" s="14"/>
    </row>
    <row r="588">
      <c r="A588" s="14"/>
      <c r="B588" s="21"/>
      <c r="C588" s="14"/>
      <c r="D588" s="16"/>
      <c r="E588" s="16"/>
      <c r="F588" s="21"/>
      <c r="G588" s="21"/>
      <c r="H588" s="24"/>
      <c r="I588" s="24"/>
      <c r="J588" s="20"/>
      <c r="K588" s="20"/>
      <c r="L588" s="20"/>
      <c r="M588" s="20"/>
      <c r="N588" s="20" t="str">
        <f t="shared" si="1"/>
        <v>#</v>
      </c>
      <c r="O588" s="20"/>
      <c r="P588" s="21"/>
      <c r="Q588" s="14" t="str">
        <f t="shared" si="2"/>
        <v/>
      </c>
      <c r="R588" s="14"/>
    </row>
    <row r="589">
      <c r="A589" s="14"/>
      <c r="B589" s="21"/>
      <c r="C589" s="14"/>
      <c r="D589" s="16"/>
      <c r="E589" s="16"/>
      <c r="F589" s="21"/>
      <c r="G589" s="21"/>
      <c r="H589" s="24"/>
      <c r="I589" s="24"/>
      <c r="J589" s="20"/>
      <c r="K589" s="20"/>
      <c r="L589" s="20"/>
      <c r="M589" s="20"/>
      <c r="N589" s="20" t="str">
        <f t="shared" si="1"/>
        <v>#</v>
      </c>
      <c r="O589" s="20"/>
      <c r="P589" s="21"/>
      <c r="Q589" s="14" t="str">
        <f t="shared" si="2"/>
        <v/>
      </c>
      <c r="R589" s="14"/>
    </row>
    <row r="590">
      <c r="A590" s="14"/>
      <c r="B590" s="21"/>
      <c r="C590" s="14"/>
      <c r="D590" s="16"/>
      <c r="E590" s="16"/>
      <c r="F590" s="21"/>
      <c r="G590" s="21"/>
      <c r="H590" s="24"/>
      <c r="I590" s="24"/>
      <c r="J590" s="20"/>
      <c r="K590" s="20"/>
      <c r="L590" s="20"/>
      <c r="M590" s="20"/>
      <c r="N590" s="20" t="str">
        <f t="shared" si="1"/>
        <v>#</v>
      </c>
      <c r="O590" s="20"/>
      <c r="P590" s="21"/>
      <c r="Q590" s="14" t="str">
        <f t="shared" si="2"/>
        <v/>
      </c>
      <c r="R590" s="14"/>
    </row>
    <row r="591">
      <c r="A591" s="14"/>
      <c r="B591" s="21"/>
      <c r="C591" s="14"/>
      <c r="D591" s="16"/>
      <c r="E591" s="16"/>
      <c r="F591" s="21"/>
      <c r="G591" s="21"/>
      <c r="H591" s="24"/>
      <c r="I591" s="24"/>
      <c r="J591" s="20"/>
      <c r="K591" s="20"/>
      <c r="L591" s="20"/>
      <c r="M591" s="20"/>
      <c r="N591" s="20" t="str">
        <f t="shared" si="1"/>
        <v>#</v>
      </c>
      <c r="O591" s="20"/>
      <c r="P591" s="21"/>
      <c r="Q591" s="14" t="str">
        <f t="shared" si="2"/>
        <v/>
      </c>
      <c r="R591" s="14"/>
    </row>
    <row r="592">
      <c r="A592" s="14"/>
      <c r="B592" s="21"/>
      <c r="C592" s="14"/>
      <c r="D592" s="16"/>
      <c r="E592" s="16"/>
      <c r="F592" s="21"/>
      <c r="G592" s="21"/>
      <c r="H592" s="24"/>
      <c r="I592" s="24"/>
      <c r="J592" s="20"/>
      <c r="K592" s="20"/>
      <c r="L592" s="20"/>
      <c r="M592" s="20"/>
      <c r="N592" s="20" t="str">
        <f t="shared" si="1"/>
        <v>#</v>
      </c>
      <c r="O592" s="20"/>
      <c r="P592" s="21"/>
      <c r="Q592" s="14" t="str">
        <f t="shared" si="2"/>
        <v/>
      </c>
      <c r="R592" s="14"/>
    </row>
    <row r="593">
      <c r="A593" s="14"/>
      <c r="B593" s="21"/>
      <c r="C593" s="14"/>
      <c r="D593" s="16"/>
      <c r="E593" s="16"/>
      <c r="F593" s="21"/>
      <c r="G593" s="21"/>
      <c r="H593" s="24"/>
      <c r="I593" s="24"/>
      <c r="J593" s="20"/>
      <c r="K593" s="20"/>
      <c r="L593" s="20"/>
      <c r="M593" s="20"/>
      <c r="N593" s="20" t="str">
        <f t="shared" si="1"/>
        <v>#</v>
      </c>
      <c r="O593" s="20"/>
      <c r="P593" s="21"/>
      <c r="Q593" s="14" t="str">
        <f t="shared" si="2"/>
        <v/>
      </c>
      <c r="R593" s="14"/>
    </row>
    <row r="594">
      <c r="A594" s="14"/>
      <c r="B594" s="21"/>
      <c r="C594" s="14"/>
      <c r="D594" s="16"/>
      <c r="E594" s="16"/>
      <c r="F594" s="21"/>
      <c r="G594" s="21"/>
      <c r="H594" s="24"/>
      <c r="I594" s="24"/>
      <c r="J594" s="20"/>
      <c r="K594" s="20"/>
      <c r="L594" s="20"/>
      <c r="M594" s="20"/>
      <c r="N594" s="20" t="str">
        <f t="shared" si="1"/>
        <v>#</v>
      </c>
      <c r="O594" s="20"/>
      <c r="P594" s="21"/>
      <c r="Q594" s="14" t="str">
        <f t="shared" si="2"/>
        <v/>
      </c>
      <c r="R594" s="14"/>
    </row>
    <row r="595">
      <c r="A595" s="14"/>
      <c r="B595" s="21"/>
      <c r="C595" s="14"/>
      <c r="D595" s="16"/>
      <c r="E595" s="16"/>
      <c r="F595" s="21"/>
      <c r="G595" s="21"/>
      <c r="H595" s="24"/>
      <c r="I595" s="24"/>
      <c r="J595" s="20"/>
      <c r="K595" s="20"/>
      <c r="L595" s="20"/>
      <c r="M595" s="20"/>
      <c r="N595" s="20" t="str">
        <f t="shared" si="1"/>
        <v>#</v>
      </c>
      <c r="O595" s="20"/>
      <c r="P595" s="21"/>
      <c r="Q595" s="14" t="str">
        <f t="shared" si="2"/>
        <v/>
      </c>
      <c r="R595" s="14"/>
    </row>
    <row r="596">
      <c r="A596" s="14"/>
      <c r="B596" s="21"/>
      <c r="C596" s="14"/>
      <c r="D596" s="16"/>
      <c r="E596" s="16"/>
      <c r="F596" s="21"/>
      <c r="G596" s="21"/>
      <c r="H596" s="24"/>
      <c r="I596" s="24"/>
      <c r="J596" s="20"/>
      <c r="K596" s="20"/>
      <c r="L596" s="20"/>
      <c r="M596" s="20"/>
      <c r="N596" s="20" t="str">
        <f t="shared" si="1"/>
        <v>#</v>
      </c>
      <c r="O596" s="20"/>
      <c r="P596" s="21"/>
      <c r="Q596" s="14" t="str">
        <f t="shared" si="2"/>
        <v/>
      </c>
      <c r="R596" s="14"/>
    </row>
    <row r="597">
      <c r="A597" s="14"/>
      <c r="B597" s="21"/>
      <c r="C597" s="14"/>
      <c r="D597" s="16"/>
      <c r="E597" s="16"/>
      <c r="F597" s="21"/>
      <c r="G597" s="21"/>
      <c r="H597" s="24"/>
      <c r="I597" s="24"/>
      <c r="J597" s="20"/>
      <c r="K597" s="20"/>
      <c r="L597" s="20"/>
      <c r="M597" s="20"/>
      <c r="N597" s="20" t="str">
        <f t="shared" si="1"/>
        <v>#</v>
      </c>
      <c r="O597" s="20"/>
      <c r="P597" s="21"/>
      <c r="Q597" s="14" t="str">
        <f t="shared" si="2"/>
        <v/>
      </c>
      <c r="R597" s="14"/>
    </row>
    <row r="598">
      <c r="A598" s="14"/>
      <c r="B598" s="21"/>
      <c r="C598" s="14"/>
      <c r="D598" s="16"/>
      <c r="E598" s="16"/>
      <c r="F598" s="21"/>
      <c r="G598" s="21"/>
      <c r="H598" s="24"/>
      <c r="I598" s="24"/>
      <c r="J598" s="20"/>
      <c r="K598" s="20"/>
      <c r="L598" s="20"/>
      <c r="M598" s="20"/>
      <c r="N598" s="20" t="str">
        <f t="shared" si="1"/>
        <v>#</v>
      </c>
      <c r="O598" s="20"/>
      <c r="P598" s="21"/>
      <c r="Q598" s="14" t="str">
        <f t="shared" si="2"/>
        <v/>
      </c>
      <c r="R598" s="14"/>
    </row>
    <row r="599">
      <c r="A599" s="14"/>
      <c r="B599" s="21"/>
      <c r="C599" s="14"/>
      <c r="D599" s="16"/>
      <c r="E599" s="16"/>
      <c r="F599" s="21"/>
      <c r="G599" s="21"/>
      <c r="H599" s="24"/>
      <c r="I599" s="24"/>
      <c r="J599" s="20"/>
      <c r="K599" s="20"/>
      <c r="L599" s="20"/>
      <c r="M599" s="20"/>
      <c r="N599" s="20" t="str">
        <f t="shared" si="1"/>
        <v>#</v>
      </c>
      <c r="O599" s="20"/>
      <c r="P599" s="21"/>
      <c r="Q599" s="14" t="str">
        <f t="shared" si="2"/>
        <v/>
      </c>
      <c r="R599" s="14"/>
    </row>
    <row r="600">
      <c r="A600" s="14"/>
      <c r="B600" s="21"/>
      <c r="C600" s="14"/>
      <c r="D600" s="16"/>
      <c r="E600" s="16"/>
      <c r="F600" s="21"/>
      <c r="G600" s="21"/>
      <c r="H600" s="24"/>
      <c r="I600" s="24"/>
      <c r="J600" s="20"/>
      <c r="K600" s="20"/>
      <c r="L600" s="20"/>
      <c r="M600" s="20"/>
      <c r="N600" s="20" t="str">
        <f t="shared" si="1"/>
        <v>#</v>
      </c>
      <c r="O600" s="20"/>
      <c r="P600" s="21"/>
      <c r="Q600" s="14" t="str">
        <f t="shared" si="2"/>
        <v/>
      </c>
      <c r="R600" s="14"/>
    </row>
    <row r="601">
      <c r="A601" s="14"/>
      <c r="B601" s="21"/>
      <c r="C601" s="14"/>
      <c r="D601" s="16"/>
      <c r="E601" s="16"/>
      <c r="F601" s="21"/>
      <c r="G601" s="21"/>
      <c r="H601" s="24"/>
      <c r="I601" s="24"/>
      <c r="J601" s="20"/>
      <c r="K601" s="20"/>
      <c r="L601" s="20"/>
      <c r="M601" s="20"/>
      <c r="N601" s="20" t="str">
        <f t="shared" si="1"/>
        <v>#</v>
      </c>
      <c r="O601" s="20"/>
      <c r="P601" s="21"/>
      <c r="Q601" s="14" t="str">
        <f t="shared" si="2"/>
        <v/>
      </c>
      <c r="R601" s="14"/>
    </row>
    <row r="602">
      <c r="A602" s="14"/>
      <c r="B602" s="21"/>
      <c r="C602" s="14"/>
      <c r="D602" s="16"/>
      <c r="E602" s="16"/>
      <c r="F602" s="21"/>
      <c r="G602" s="21"/>
      <c r="H602" s="24"/>
      <c r="I602" s="24"/>
      <c r="J602" s="20"/>
      <c r="K602" s="20"/>
      <c r="L602" s="20"/>
      <c r="M602" s="20"/>
      <c r="N602" s="20" t="str">
        <f t="shared" si="1"/>
        <v>#</v>
      </c>
      <c r="O602" s="20"/>
      <c r="P602" s="21"/>
      <c r="Q602" s="14" t="str">
        <f t="shared" si="2"/>
        <v/>
      </c>
      <c r="R602" s="14"/>
    </row>
    <row r="603">
      <c r="A603" s="14"/>
      <c r="B603" s="21"/>
      <c r="C603" s="14"/>
      <c r="D603" s="16"/>
      <c r="E603" s="16"/>
      <c r="F603" s="21"/>
      <c r="G603" s="21"/>
      <c r="H603" s="24"/>
      <c r="I603" s="24"/>
      <c r="J603" s="20"/>
      <c r="K603" s="20"/>
      <c r="L603" s="20"/>
      <c r="M603" s="20"/>
      <c r="N603" s="20" t="str">
        <f t="shared" si="1"/>
        <v>#</v>
      </c>
      <c r="O603" s="20"/>
      <c r="P603" s="21"/>
      <c r="Q603" s="14" t="str">
        <f t="shared" si="2"/>
        <v/>
      </c>
      <c r="R603" s="14"/>
    </row>
    <row r="604">
      <c r="A604" s="14"/>
      <c r="B604" s="21"/>
      <c r="C604" s="14"/>
      <c r="D604" s="16"/>
      <c r="E604" s="16"/>
      <c r="F604" s="21"/>
      <c r="G604" s="21"/>
      <c r="H604" s="24"/>
      <c r="I604" s="24"/>
      <c r="J604" s="20"/>
      <c r="K604" s="20"/>
      <c r="L604" s="20"/>
      <c r="M604" s="20"/>
      <c r="N604" s="20" t="str">
        <f t="shared" si="1"/>
        <v>#</v>
      </c>
      <c r="O604" s="20"/>
      <c r="P604" s="21"/>
      <c r="Q604" s="14" t="str">
        <f t="shared" si="2"/>
        <v/>
      </c>
      <c r="R604" s="14"/>
    </row>
    <row r="605">
      <c r="A605" s="14"/>
      <c r="B605" s="21"/>
      <c r="C605" s="14"/>
      <c r="D605" s="16"/>
      <c r="E605" s="16"/>
      <c r="F605" s="21"/>
      <c r="G605" s="21"/>
      <c r="H605" s="24"/>
      <c r="I605" s="24"/>
      <c r="J605" s="20"/>
      <c r="K605" s="20"/>
      <c r="L605" s="20"/>
      <c r="M605" s="20"/>
      <c r="N605" s="20" t="str">
        <f t="shared" si="1"/>
        <v>#</v>
      </c>
      <c r="O605" s="20"/>
      <c r="P605" s="21"/>
      <c r="Q605" s="14" t="str">
        <f t="shared" si="2"/>
        <v/>
      </c>
      <c r="R605" s="14"/>
    </row>
    <row r="606">
      <c r="A606" s="14"/>
      <c r="B606" s="21"/>
      <c r="C606" s="14"/>
      <c r="D606" s="16"/>
      <c r="E606" s="16"/>
      <c r="F606" s="21"/>
      <c r="G606" s="21"/>
      <c r="H606" s="24"/>
      <c r="I606" s="24"/>
      <c r="J606" s="20"/>
      <c r="K606" s="20"/>
      <c r="L606" s="20"/>
      <c r="M606" s="20"/>
      <c r="N606" s="20" t="str">
        <f t="shared" si="1"/>
        <v>#</v>
      </c>
      <c r="O606" s="20"/>
      <c r="P606" s="21"/>
      <c r="Q606" s="14" t="str">
        <f t="shared" si="2"/>
        <v/>
      </c>
      <c r="R606" s="14"/>
    </row>
    <row r="607">
      <c r="A607" s="14"/>
      <c r="B607" s="21"/>
      <c r="C607" s="14"/>
      <c r="D607" s="16"/>
      <c r="E607" s="16"/>
      <c r="F607" s="21"/>
      <c r="G607" s="21"/>
      <c r="H607" s="24"/>
      <c r="I607" s="24"/>
      <c r="J607" s="20"/>
      <c r="K607" s="20"/>
      <c r="L607" s="20"/>
      <c r="M607" s="20"/>
      <c r="N607" s="20" t="str">
        <f t="shared" si="1"/>
        <v>#</v>
      </c>
      <c r="O607" s="20"/>
      <c r="P607" s="21"/>
      <c r="Q607" s="14" t="str">
        <f t="shared" si="2"/>
        <v/>
      </c>
      <c r="R607" s="14"/>
    </row>
    <row r="608">
      <c r="A608" s="14"/>
      <c r="B608" s="21"/>
      <c r="C608" s="14"/>
      <c r="D608" s="16"/>
      <c r="E608" s="16"/>
      <c r="F608" s="21"/>
      <c r="G608" s="21"/>
      <c r="H608" s="24"/>
      <c r="I608" s="24"/>
      <c r="J608" s="20"/>
      <c r="K608" s="20"/>
      <c r="L608" s="20"/>
      <c r="M608" s="20"/>
      <c r="N608" s="20" t="str">
        <f t="shared" si="1"/>
        <v>#</v>
      </c>
      <c r="O608" s="20"/>
      <c r="P608" s="21"/>
      <c r="Q608" s="14" t="str">
        <f t="shared" si="2"/>
        <v/>
      </c>
      <c r="R608" s="14"/>
    </row>
    <row r="609">
      <c r="A609" s="14"/>
      <c r="B609" s="21"/>
      <c r="C609" s="14"/>
      <c r="D609" s="16"/>
      <c r="E609" s="16"/>
      <c r="F609" s="21"/>
      <c r="G609" s="21"/>
      <c r="H609" s="24"/>
      <c r="I609" s="24"/>
      <c r="J609" s="20"/>
      <c r="K609" s="20"/>
      <c r="L609" s="20"/>
      <c r="M609" s="20"/>
      <c r="N609" s="20" t="str">
        <f t="shared" si="1"/>
        <v>#</v>
      </c>
      <c r="O609" s="20"/>
      <c r="P609" s="21"/>
      <c r="Q609" s="14" t="str">
        <f t="shared" si="2"/>
        <v/>
      </c>
      <c r="R609" s="14"/>
    </row>
    <row r="610">
      <c r="A610" s="14"/>
      <c r="B610" s="21"/>
      <c r="C610" s="14"/>
      <c r="D610" s="16"/>
      <c r="E610" s="16"/>
      <c r="F610" s="21"/>
      <c r="G610" s="21"/>
      <c r="H610" s="24"/>
      <c r="I610" s="24"/>
      <c r="J610" s="20"/>
      <c r="K610" s="20"/>
      <c r="L610" s="20"/>
      <c r="M610" s="20"/>
      <c r="N610" s="20" t="str">
        <f t="shared" si="1"/>
        <v>#</v>
      </c>
      <c r="O610" s="20"/>
      <c r="P610" s="21"/>
      <c r="Q610" s="14" t="str">
        <f t="shared" si="2"/>
        <v/>
      </c>
      <c r="R610" s="14"/>
    </row>
    <row r="611">
      <c r="A611" s="14"/>
      <c r="B611" s="21"/>
      <c r="C611" s="14"/>
      <c r="D611" s="16"/>
      <c r="E611" s="16"/>
      <c r="F611" s="21"/>
      <c r="G611" s="21"/>
      <c r="H611" s="24"/>
      <c r="I611" s="24"/>
      <c r="J611" s="20"/>
      <c r="K611" s="20"/>
      <c r="L611" s="20"/>
      <c r="M611" s="20"/>
      <c r="N611" s="20" t="str">
        <f t="shared" si="1"/>
        <v>#</v>
      </c>
      <c r="O611" s="20"/>
      <c r="P611" s="21"/>
      <c r="Q611" s="14" t="str">
        <f t="shared" si="2"/>
        <v/>
      </c>
      <c r="R611" s="14"/>
    </row>
    <row r="612">
      <c r="A612" s="14"/>
      <c r="B612" s="21"/>
      <c r="C612" s="14"/>
      <c r="D612" s="16"/>
      <c r="E612" s="16"/>
      <c r="F612" s="21"/>
      <c r="G612" s="21"/>
      <c r="H612" s="24"/>
      <c r="I612" s="24"/>
      <c r="J612" s="20"/>
      <c r="K612" s="20"/>
      <c r="L612" s="20"/>
      <c r="M612" s="20"/>
      <c r="N612" s="20" t="str">
        <f t="shared" si="1"/>
        <v>#</v>
      </c>
      <c r="O612" s="20"/>
      <c r="P612" s="21"/>
      <c r="Q612" s="14" t="str">
        <f t="shared" si="2"/>
        <v/>
      </c>
      <c r="R612" s="14"/>
    </row>
    <row r="613">
      <c r="A613" s="14"/>
      <c r="B613" s="21"/>
      <c r="C613" s="14"/>
      <c r="D613" s="16"/>
      <c r="E613" s="16"/>
      <c r="F613" s="21"/>
      <c r="G613" s="21"/>
      <c r="H613" s="24"/>
      <c r="I613" s="24"/>
      <c r="J613" s="20"/>
      <c r="K613" s="20"/>
      <c r="L613" s="20"/>
      <c r="M613" s="20"/>
      <c r="N613" s="20" t="str">
        <f t="shared" si="1"/>
        <v>#</v>
      </c>
      <c r="O613" s="20"/>
      <c r="P613" s="21"/>
      <c r="Q613" s="14" t="str">
        <f t="shared" si="2"/>
        <v/>
      </c>
      <c r="R613" s="14"/>
    </row>
    <row r="614">
      <c r="A614" s="14"/>
      <c r="B614" s="21"/>
      <c r="C614" s="14"/>
      <c r="D614" s="16"/>
      <c r="E614" s="16"/>
      <c r="F614" s="21"/>
      <c r="G614" s="21"/>
      <c r="H614" s="24"/>
      <c r="I614" s="24"/>
      <c r="J614" s="20"/>
      <c r="K614" s="20"/>
      <c r="L614" s="20"/>
      <c r="M614" s="20"/>
      <c r="N614" s="20" t="str">
        <f t="shared" si="1"/>
        <v>#</v>
      </c>
      <c r="O614" s="20"/>
      <c r="P614" s="21"/>
      <c r="Q614" s="14" t="str">
        <f t="shared" si="2"/>
        <v/>
      </c>
      <c r="R614" s="14"/>
    </row>
    <row r="615">
      <c r="A615" s="14"/>
      <c r="B615" s="21"/>
      <c r="C615" s="14"/>
      <c r="D615" s="16"/>
      <c r="E615" s="16"/>
      <c r="F615" s="21"/>
      <c r="G615" s="21"/>
      <c r="H615" s="24"/>
      <c r="I615" s="24"/>
      <c r="J615" s="20"/>
      <c r="K615" s="20"/>
      <c r="L615" s="20"/>
      <c r="M615" s="20"/>
      <c r="N615" s="20" t="str">
        <f t="shared" si="1"/>
        <v>#</v>
      </c>
      <c r="O615" s="20"/>
      <c r="P615" s="21"/>
      <c r="Q615" s="14" t="str">
        <f t="shared" si="2"/>
        <v/>
      </c>
      <c r="R615" s="14"/>
    </row>
    <row r="616">
      <c r="A616" s="14"/>
      <c r="B616" s="21"/>
      <c r="C616" s="14"/>
      <c r="D616" s="16"/>
      <c r="E616" s="16"/>
      <c r="F616" s="21"/>
      <c r="G616" s="21"/>
      <c r="H616" s="24"/>
      <c r="I616" s="24"/>
      <c r="J616" s="20"/>
      <c r="K616" s="20"/>
      <c r="L616" s="20"/>
      <c r="M616" s="20"/>
      <c r="N616" s="20" t="str">
        <f t="shared" si="1"/>
        <v>#</v>
      </c>
      <c r="O616" s="20"/>
      <c r="P616" s="21"/>
      <c r="Q616" s="14" t="str">
        <f t="shared" si="2"/>
        <v/>
      </c>
      <c r="R616" s="14"/>
    </row>
    <row r="617">
      <c r="A617" s="14"/>
      <c r="B617" s="21"/>
      <c r="C617" s="14"/>
      <c r="D617" s="16"/>
      <c r="E617" s="16"/>
      <c r="F617" s="21"/>
      <c r="G617" s="21"/>
      <c r="H617" s="24"/>
      <c r="I617" s="24"/>
      <c r="J617" s="20"/>
      <c r="K617" s="20"/>
      <c r="L617" s="20"/>
      <c r="M617" s="20"/>
      <c r="N617" s="20" t="str">
        <f t="shared" si="1"/>
        <v>#</v>
      </c>
      <c r="O617" s="20"/>
      <c r="P617" s="21"/>
      <c r="Q617" s="14" t="str">
        <f t="shared" si="2"/>
        <v/>
      </c>
      <c r="R617" s="14"/>
    </row>
    <row r="618">
      <c r="A618" s="14"/>
      <c r="B618" s="21"/>
      <c r="C618" s="14"/>
      <c r="D618" s="16"/>
      <c r="E618" s="16"/>
      <c r="F618" s="21"/>
      <c r="G618" s="21"/>
      <c r="H618" s="24"/>
      <c r="I618" s="24"/>
      <c r="J618" s="20"/>
      <c r="K618" s="20"/>
      <c r="L618" s="20"/>
      <c r="M618" s="20"/>
      <c r="N618" s="20" t="str">
        <f t="shared" si="1"/>
        <v>#</v>
      </c>
      <c r="O618" s="20"/>
      <c r="P618" s="21"/>
      <c r="Q618" s="14" t="str">
        <f t="shared" si="2"/>
        <v/>
      </c>
      <c r="R618" s="14"/>
    </row>
    <row r="619">
      <c r="A619" s="14"/>
      <c r="B619" s="21"/>
      <c r="C619" s="14"/>
      <c r="D619" s="16"/>
      <c r="E619" s="16"/>
      <c r="F619" s="21"/>
      <c r="G619" s="21"/>
      <c r="H619" s="24"/>
      <c r="I619" s="24"/>
      <c r="J619" s="20"/>
      <c r="K619" s="20"/>
      <c r="L619" s="20"/>
      <c r="M619" s="20"/>
      <c r="N619" s="20" t="str">
        <f t="shared" si="1"/>
        <v>#</v>
      </c>
      <c r="O619" s="20"/>
      <c r="P619" s="21"/>
      <c r="Q619" s="14" t="str">
        <f t="shared" si="2"/>
        <v/>
      </c>
      <c r="R619" s="14"/>
    </row>
    <row r="620">
      <c r="A620" s="14"/>
      <c r="B620" s="21"/>
      <c r="C620" s="14"/>
      <c r="D620" s="16"/>
      <c r="E620" s="16"/>
      <c r="F620" s="21"/>
      <c r="G620" s="21"/>
      <c r="H620" s="24"/>
      <c r="I620" s="24"/>
      <c r="J620" s="20"/>
      <c r="K620" s="20"/>
      <c r="L620" s="20"/>
      <c r="M620" s="20"/>
      <c r="N620" s="20" t="str">
        <f t="shared" si="1"/>
        <v>#</v>
      </c>
      <c r="O620" s="20"/>
      <c r="P620" s="21"/>
      <c r="Q620" s="14" t="str">
        <f t="shared" si="2"/>
        <v/>
      </c>
      <c r="R620" s="14"/>
    </row>
    <row r="621">
      <c r="A621" s="14"/>
      <c r="B621" s="21"/>
      <c r="C621" s="14"/>
      <c r="D621" s="16"/>
      <c r="E621" s="16"/>
      <c r="F621" s="21"/>
      <c r="G621" s="21"/>
      <c r="H621" s="24"/>
      <c r="I621" s="24"/>
      <c r="J621" s="20"/>
      <c r="K621" s="20"/>
      <c r="L621" s="20"/>
      <c r="M621" s="20"/>
      <c r="N621" s="20" t="str">
        <f t="shared" si="1"/>
        <v>#</v>
      </c>
      <c r="O621" s="20"/>
      <c r="P621" s="21"/>
      <c r="Q621" s="14" t="str">
        <f t="shared" si="2"/>
        <v/>
      </c>
      <c r="R621" s="14"/>
    </row>
    <row r="622">
      <c r="A622" s="14"/>
      <c r="B622" s="21"/>
      <c r="C622" s="14"/>
      <c r="D622" s="16"/>
      <c r="E622" s="16"/>
      <c r="F622" s="21"/>
      <c r="G622" s="21"/>
      <c r="H622" s="24"/>
      <c r="I622" s="24"/>
      <c r="J622" s="20"/>
      <c r="K622" s="20"/>
      <c r="L622" s="20"/>
      <c r="M622" s="20"/>
      <c r="N622" s="20" t="str">
        <f t="shared" si="1"/>
        <v>#</v>
      </c>
      <c r="O622" s="20"/>
      <c r="P622" s="21"/>
      <c r="Q622" s="14" t="str">
        <f t="shared" si="2"/>
        <v/>
      </c>
      <c r="R622" s="14"/>
    </row>
    <row r="623">
      <c r="A623" s="14"/>
      <c r="B623" s="21"/>
      <c r="C623" s="14"/>
      <c r="D623" s="16"/>
      <c r="E623" s="16"/>
      <c r="F623" s="21"/>
      <c r="G623" s="21"/>
      <c r="H623" s="24"/>
      <c r="I623" s="24"/>
      <c r="J623" s="20"/>
      <c r="K623" s="20"/>
      <c r="L623" s="20"/>
      <c r="M623" s="20"/>
      <c r="N623" s="20" t="str">
        <f t="shared" si="1"/>
        <v>#</v>
      </c>
      <c r="O623" s="20"/>
      <c r="P623" s="21"/>
      <c r="Q623" s="14" t="str">
        <f t="shared" si="2"/>
        <v/>
      </c>
      <c r="R623" s="14"/>
    </row>
    <row r="624">
      <c r="A624" s="14"/>
      <c r="B624" s="21"/>
      <c r="C624" s="14"/>
      <c r="D624" s="16"/>
      <c r="E624" s="16"/>
      <c r="F624" s="21"/>
      <c r="G624" s="21"/>
      <c r="H624" s="24"/>
      <c r="I624" s="24"/>
      <c r="J624" s="20"/>
      <c r="K624" s="20"/>
      <c r="L624" s="20"/>
      <c r="M624" s="20"/>
      <c r="N624" s="20" t="str">
        <f t="shared" si="1"/>
        <v>#</v>
      </c>
      <c r="O624" s="20"/>
      <c r="P624" s="21"/>
      <c r="Q624" s="14" t="str">
        <f t="shared" si="2"/>
        <v/>
      </c>
      <c r="R624" s="14"/>
    </row>
    <row r="625">
      <c r="A625" s="14"/>
      <c r="B625" s="21"/>
      <c r="C625" s="14"/>
      <c r="D625" s="16"/>
      <c r="E625" s="16"/>
      <c r="F625" s="21"/>
      <c r="G625" s="21"/>
      <c r="H625" s="24"/>
      <c r="I625" s="24"/>
      <c r="J625" s="20"/>
      <c r="K625" s="20"/>
      <c r="L625" s="20"/>
      <c r="M625" s="20"/>
      <c r="N625" s="20" t="str">
        <f t="shared" si="1"/>
        <v>#</v>
      </c>
      <c r="O625" s="20"/>
      <c r="P625" s="21"/>
      <c r="Q625" s="14" t="str">
        <f t="shared" si="2"/>
        <v/>
      </c>
      <c r="R625" s="14"/>
    </row>
    <row r="626">
      <c r="A626" s="14"/>
      <c r="B626" s="21"/>
      <c r="C626" s="14"/>
      <c r="D626" s="16"/>
      <c r="E626" s="16"/>
      <c r="F626" s="21"/>
      <c r="G626" s="21"/>
      <c r="H626" s="24"/>
      <c r="I626" s="24"/>
      <c r="J626" s="20"/>
      <c r="K626" s="20"/>
      <c r="L626" s="20"/>
      <c r="M626" s="20"/>
      <c r="N626" s="20" t="str">
        <f t="shared" si="1"/>
        <v>#</v>
      </c>
      <c r="O626" s="20"/>
      <c r="P626" s="21"/>
      <c r="Q626" s="14" t="str">
        <f t="shared" si="2"/>
        <v/>
      </c>
      <c r="R626" s="14"/>
    </row>
    <row r="627">
      <c r="A627" s="14"/>
      <c r="B627" s="21"/>
      <c r="C627" s="14"/>
      <c r="D627" s="16"/>
      <c r="E627" s="16"/>
      <c r="F627" s="21"/>
      <c r="G627" s="21"/>
      <c r="H627" s="24"/>
      <c r="I627" s="24"/>
      <c r="J627" s="20"/>
      <c r="K627" s="20"/>
      <c r="L627" s="20"/>
      <c r="M627" s="20"/>
      <c r="N627" s="20" t="str">
        <f t="shared" si="1"/>
        <v>#</v>
      </c>
      <c r="O627" s="20"/>
      <c r="P627" s="21"/>
      <c r="Q627" s="14" t="str">
        <f t="shared" si="2"/>
        <v/>
      </c>
      <c r="R627" s="14"/>
    </row>
    <row r="628">
      <c r="A628" s="14"/>
      <c r="B628" s="21"/>
      <c r="C628" s="14"/>
      <c r="D628" s="16"/>
      <c r="E628" s="16"/>
      <c r="F628" s="21"/>
      <c r="G628" s="21"/>
      <c r="H628" s="24"/>
      <c r="I628" s="24"/>
      <c r="J628" s="20"/>
      <c r="K628" s="20"/>
      <c r="L628" s="20"/>
      <c r="M628" s="20"/>
      <c r="N628" s="20" t="str">
        <f t="shared" si="1"/>
        <v>#</v>
      </c>
      <c r="O628" s="20"/>
      <c r="P628" s="21"/>
      <c r="Q628" s="14" t="str">
        <f t="shared" si="2"/>
        <v/>
      </c>
      <c r="R628" s="14"/>
    </row>
    <row r="629">
      <c r="A629" s="14"/>
      <c r="B629" s="21"/>
      <c r="C629" s="14"/>
      <c r="D629" s="16"/>
      <c r="E629" s="16"/>
      <c r="F629" s="21"/>
      <c r="G629" s="21"/>
      <c r="H629" s="24"/>
      <c r="I629" s="24"/>
      <c r="J629" s="20"/>
      <c r="K629" s="20"/>
      <c r="L629" s="20"/>
      <c r="M629" s="20"/>
      <c r="N629" s="20" t="str">
        <f t="shared" si="1"/>
        <v>#</v>
      </c>
      <c r="O629" s="20"/>
      <c r="P629" s="21"/>
      <c r="Q629" s="14" t="str">
        <f t="shared" si="2"/>
        <v/>
      </c>
      <c r="R629" s="14"/>
    </row>
    <row r="630">
      <c r="A630" s="14"/>
      <c r="B630" s="21"/>
      <c r="C630" s="14"/>
      <c r="D630" s="16"/>
      <c r="E630" s="16"/>
      <c r="F630" s="21"/>
      <c r="G630" s="21"/>
      <c r="H630" s="24"/>
      <c r="I630" s="24"/>
      <c r="J630" s="20"/>
      <c r="K630" s="20"/>
      <c r="L630" s="20"/>
      <c r="M630" s="20"/>
      <c r="N630" s="20" t="str">
        <f t="shared" si="1"/>
        <v>#</v>
      </c>
      <c r="O630" s="20"/>
      <c r="P630" s="21"/>
      <c r="Q630" s="14" t="str">
        <f t="shared" si="2"/>
        <v/>
      </c>
      <c r="R630" s="14"/>
    </row>
    <row r="631">
      <c r="A631" s="14"/>
      <c r="B631" s="21"/>
      <c r="C631" s="14"/>
      <c r="D631" s="16"/>
      <c r="E631" s="16"/>
      <c r="F631" s="21"/>
      <c r="G631" s="21"/>
      <c r="H631" s="24"/>
      <c r="I631" s="24"/>
      <c r="J631" s="20"/>
      <c r="K631" s="20"/>
      <c r="L631" s="20"/>
      <c r="M631" s="20"/>
      <c r="N631" s="20" t="str">
        <f t="shared" si="1"/>
        <v>#</v>
      </c>
      <c r="O631" s="20"/>
      <c r="P631" s="21"/>
      <c r="Q631" s="14" t="str">
        <f t="shared" si="2"/>
        <v/>
      </c>
      <c r="R631" s="14"/>
    </row>
    <row r="632">
      <c r="A632" s="14"/>
      <c r="B632" s="21"/>
      <c r="C632" s="14"/>
      <c r="D632" s="16"/>
      <c r="E632" s="16"/>
      <c r="F632" s="21"/>
      <c r="G632" s="21"/>
      <c r="H632" s="24"/>
      <c r="I632" s="24"/>
      <c r="J632" s="20"/>
      <c r="K632" s="20"/>
      <c r="L632" s="20"/>
      <c r="M632" s="20"/>
      <c r="N632" s="20" t="str">
        <f t="shared" si="1"/>
        <v>#</v>
      </c>
      <c r="O632" s="20"/>
      <c r="P632" s="21"/>
      <c r="Q632" s="14" t="str">
        <f t="shared" si="2"/>
        <v/>
      </c>
      <c r="R632" s="14"/>
    </row>
    <row r="633">
      <c r="A633" s="14"/>
      <c r="B633" s="21"/>
      <c r="C633" s="14"/>
      <c r="D633" s="16"/>
      <c r="E633" s="16"/>
      <c r="F633" s="21"/>
      <c r="G633" s="21"/>
      <c r="H633" s="24"/>
      <c r="I633" s="24"/>
      <c r="J633" s="20"/>
      <c r="K633" s="20"/>
      <c r="L633" s="20"/>
      <c r="M633" s="20"/>
      <c r="N633" s="20" t="str">
        <f t="shared" si="1"/>
        <v>#</v>
      </c>
      <c r="O633" s="20"/>
      <c r="P633" s="21"/>
      <c r="Q633" s="14" t="str">
        <f t="shared" si="2"/>
        <v/>
      </c>
      <c r="R633" s="14"/>
    </row>
    <row r="634">
      <c r="A634" s="14"/>
      <c r="B634" s="21"/>
      <c r="C634" s="14"/>
      <c r="D634" s="16"/>
      <c r="E634" s="16"/>
      <c r="F634" s="21"/>
      <c r="G634" s="21"/>
      <c r="H634" s="24"/>
      <c r="I634" s="24"/>
      <c r="J634" s="20"/>
      <c r="K634" s="20"/>
      <c r="L634" s="20"/>
      <c r="M634" s="20"/>
      <c r="N634" s="20" t="str">
        <f t="shared" si="1"/>
        <v>#</v>
      </c>
      <c r="O634" s="20"/>
      <c r="P634" s="21"/>
      <c r="Q634" s="14" t="str">
        <f t="shared" si="2"/>
        <v/>
      </c>
      <c r="R634" s="14"/>
    </row>
    <row r="635">
      <c r="A635" s="14"/>
      <c r="B635" s="21"/>
      <c r="C635" s="14"/>
      <c r="D635" s="16"/>
      <c r="E635" s="16"/>
      <c r="F635" s="21"/>
      <c r="G635" s="21"/>
      <c r="H635" s="24"/>
      <c r="I635" s="24"/>
      <c r="J635" s="20"/>
      <c r="K635" s="20"/>
      <c r="L635" s="20"/>
      <c r="M635" s="20"/>
      <c r="N635" s="20" t="str">
        <f t="shared" si="1"/>
        <v>#</v>
      </c>
      <c r="O635" s="20"/>
      <c r="P635" s="21"/>
      <c r="Q635" s="14" t="str">
        <f t="shared" si="2"/>
        <v/>
      </c>
      <c r="R635" s="14"/>
    </row>
    <row r="636">
      <c r="A636" s="14"/>
      <c r="B636" s="21"/>
      <c r="C636" s="14"/>
      <c r="D636" s="16"/>
      <c r="E636" s="16"/>
      <c r="F636" s="21"/>
      <c r="G636" s="21"/>
      <c r="H636" s="24"/>
      <c r="I636" s="24"/>
      <c r="J636" s="20"/>
      <c r="K636" s="20"/>
      <c r="L636" s="20"/>
      <c r="M636" s="20"/>
      <c r="N636" s="20" t="str">
        <f t="shared" si="1"/>
        <v>#</v>
      </c>
      <c r="O636" s="20"/>
      <c r="P636" s="21"/>
      <c r="Q636" s="14" t="str">
        <f t="shared" si="2"/>
        <v/>
      </c>
      <c r="R636" s="14"/>
    </row>
    <row r="637">
      <c r="A637" s="14"/>
      <c r="B637" s="21"/>
      <c r="C637" s="14"/>
      <c r="D637" s="16"/>
      <c r="E637" s="16"/>
      <c r="F637" s="21"/>
      <c r="G637" s="21"/>
      <c r="H637" s="24"/>
      <c r="I637" s="24"/>
      <c r="J637" s="20"/>
      <c r="K637" s="20"/>
      <c r="L637" s="20"/>
      <c r="M637" s="20"/>
      <c r="N637" s="20" t="str">
        <f t="shared" si="1"/>
        <v>#</v>
      </c>
      <c r="O637" s="20"/>
      <c r="P637" s="21"/>
      <c r="Q637" s="14" t="str">
        <f t="shared" si="2"/>
        <v/>
      </c>
      <c r="R637" s="14"/>
    </row>
    <row r="638">
      <c r="A638" s="14"/>
      <c r="B638" s="21"/>
      <c r="C638" s="14"/>
      <c r="D638" s="16"/>
      <c r="E638" s="16"/>
      <c r="F638" s="21"/>
      <c r="G638" s="21"/>
      <c r="H638" s="24"/>
      <c r="I638" s="24"/>
      <c r="J638" s="20"/>
      <c r="K638" s="20"/>
      <c r="L638" s="20"/>
      <c r="M638" s="20"/>
      <c r="N638" s="20" t="str">
        <f t="shared" si="1"/>
        <v>#</v>
      </c>
      <c r="O638" s="20"/>
      <c r="P638" s="21"/>
      <c r="Q638" s="14" t="str">
        <f t="shared" si="2"/>
        <v/>
      </c>
      <c r="R638" s="14"/>
    </row>
    <row r="639">
      <c r="A639" s="14"/>
      <c r="B639" s="21"/>
      <c r="C639" s="14"/>
      <c r="D639" s="16"/>
      <c r="E639" s="16"/>
      <c r="F639" s="21"/>
      <c r="G639" s="21"/>
      <c r="H639" s="24"/>
      <c r="I639" s="24"/>
      <c r="J639" s="20"/>
      <c r="K639" s="20"/>
      <c r="L639" s="20"/>
      <c r="M639" s="20"/>
      <c r="N639" s="20" t="str">
        <f t="shared" si="1"/>
        <v>#</v>
      </c>
      <c r="O639" s="20"/>
      <c r="P639" s="21"/>
      <c r="Q639" s="14" t="str">
        <f t="shared" si="2"/>
        <v/>
      </c>
      <c r="R639" s="14"/>
    </row>
    <row r="640">
      <c r="A640" s="14"/>
      <c r="B640" s="21"/>
      <c r="C640" s="14"/>
      <c r="D640" s="16"/>
      <c r="E640" s="16"/>
      <c r="F640" s="21"/>
      <c r="G640" s="21"/>
      <c r="H640" s="24"/>
      <c r="I640" s="24"/>
      <c r="J640" s="20"/>
      <c r="K640" s="20"/>
      <c r="L640" s="20"/>
      <c r="M640" s="20"/>
      <c r="N640" s="20" t="str">
        <f t="shared" si="1"/>
        <v>#</v>
      </c>
      <c r="O640" s="20"/>
      <c r="P640" s="21"/>
      <c r="Q640" s="14" t="str">
        <f t="shared" si="2"/>
        <v/>
      </c>
      <c r="R640" s="14"/>
    </row>
    <row r="641">
      <c r="A641" s="14"/>
      <c r="B641" s="21"/>
      <c r="C641" s="14"/>
      <c r="D641" s="16"/>
      <c r="E641" s="16"/>
      <c r="F641" s="21"/>
      <c r="G641" s="21"/>
      <c r="H641" s="24"/>
      <c r="I641" s="24"/>
      <c r="J641" s="20"/>
      <c r="K641" s="20"/>
      <c r="L641" s="20"/>
      <c r="M641" s="20"/>
      <c r="N641" s="20" t="str">
        <f t="shared" si="1"/>
        <v>#</v>
      </c>
      <c r="O641" s="20"/>
      <c r="P641" s="21"/>
      <c r="Q641" s="14" t="str">
        <f t="shared" si="2"/>
        <v/>
      </c>
      <c r="R641" s="14"/>
    </row>
    <row r="642">
      <c r="A642" s="14"/>
      <c r="B642" s="21"/>
      <c r="C642" s="14"/>
      <c r="D642" s="16"/>
      <c r="E642" s="16"/>
      <c r="F642" s="21"/>
      <c r="G642" s="21"/>
      <c r="H642" s="24"/>
      <c r="I642" s="24"/>
      <c r="J642" s="20"/>
      <c r="K642" s="20"/>
      <c r="L642" s="20"/>
      <c r="M642" s="20"/>
      <c r="N642" s="20" t="str">
        <f t="shared" si="1"/>
        <v>#</v>
      </c>
      <c r="O642" s="20"/>
      <c r="P642" s="21"/>
      <c r="Q642" s="14" t="str">
        <f t="shared" si="2"/>
        <v/>
      </c>
      <c r="R642" s="14"/>
    </row>
    <row r="643">
      <c r="A643" s="14"/>
      <c r="B643" s="21"/>
      <c r="C643" s="14"/>
      <c r="D643" s="16"/>
      <c r="E643" s="16"/>
      <c r="F643" s="21"/>
      <c r="G643" s="21"/>
      <c r="H643" s="24"/>
      <c r="I643" s="24"/>
      <c r="J643" s="20"/>
      <c r="K643" s="20"/>
      <c r="L643" s="20"/>
      <c r="M643" s="20"/>
      <c r="N643" s="20" t="str">
        <f t="shared" si="1"/>
        <v>#</v>
      </c>
      <c r="O643" s="20"/>
      <c r="P643" s="21"/>
      <c r="Q643" s="14" t="str">
        <f t="shared" si="2"/>
        <v/>
      </c>
      <c r="R643" s="14"/>
    </row>
    <row r="644">
      <c r="A644" s="14"/>
      <c r="B644" s="21"/>
      <c r="C644" s="14"/>
      <c r="D644" s="16"/>
      <c r="E644" s="16"/>
      <c r="F644" s="21"/>
      <c r="G644" s="21"/>
      <c r="H644" s="24"/>
      <c r="I644" s="24"/>
      <c r="J644" s="20"/>
      <c r="K644" s="20"/>
      <c r="L644" s="20"/>
      <c r="M644" s="20"/>
      <c r="N644" s="20" t="str">
        <f t="shared" si="1"/>
        <v>#</v>
      </c>
      <c r="O644" s="20"/>
      <c r="P644" s="21"/>
      <c r="Q644" s="14" t="str">
        <f t="shared" si="2"/>
        <v/>
      </c>
      <c r="R644" s="14"/>
    </row>
    <row r="645">
      <c r="A645" s="14"/>
      <c r="B645" s="21"/>
      <c r="C645" s="14"/>
      <c r="D645" s="16"/>
      <c r="E645" s="16"/>
      <c r="F645" s="21"/>
      <c r="G645" s="21"/>
      <c r="H645" s="24"/>
      <c r="I645" s="24"/>
      <c r="J645" s="20"/>
      <c r="K645" s="20"/>
      <c r="L645" s="20"/>
      <c r="M645" s="20"/>
      <c r="N645" s="20" t="str">
        <f t="shared" si="1"/>
        <v>#</v>
      </c>
      <c r="O645" s="20"/>
      <c r="P645" s="21"/>
      <c r="Q645" s="14" t="str">
        <f t="shared" si="2"/>
        <v/>
      </c>
      <c r="R645" s="14"/>
    </row>
    <row r="646">
      <c r="A646" s="14"/>
      <c r="B646" s="21"/>
      <c r="C646" s="14"/>
      <c r="D646" s="16"/>
      <c r="E646" s="16"/>
      <c r="F646" s="21"/>
      <c r="G646" s="21"/>
      <c r="H646" s="24"/>
      <c r="I646" s="24"/>
      <c r="J646" s="20"/>
      <c r="K646" s="20"/>
      <c r="L646" s="20"/>
      <c r="M646" s="20"/>
      <c r="N646" s="20" t="str">
        <f t="shared" si="1"/>
        <v>#</v>
      </c>
      <c r="O646" s="20"/>
      <c r="P646" s="21"/>
      <c r="Q646" s="14" t="str">
        <f t="shared" si="2"/>
        <v/>
      </c>
      <c r="R646" s="14"/>
    </row>
    <row r="647">
      <c r="A647" s="14"/>
      <c r="B647" s="21"/>
      <c r="C647" s="14"/>
      <c r="D647" s="16"/>
      <c r="E647" s="16"/>
      <c r="F647" s="21"/>
      <c r="G647" s="21"/>
      <c r="H647" s="24"/>
      <c r="I647" s="24"/>
      <c r="J647" s="20"/>
      <c r="K647" s="20"/>
      <c r="L647" s="20"/>
      <c r="M647" s="20"/>
      <c r="N647" s="20" t="str">
        <f t="shared" si="1"/>
        <v>#</v>
      </c>
      <c r="O647" s="20"/>
      <c r="P647" s="21"/>
      <c r="Q647" s="14" t="str">
        <f t="shared" si="2"/>
        <v/>
      </c>
      <c r="R647" s="14"/>
    </row>
    <row r="648">
      <c r="A648" s="14"/>
      <c r="B648" s="21"/>
      <c r="C648" s="14"/>
      <c r="D648" s="16"/>
      <c r="E648" s="16"/>
      <c r="F648" s="21"/>
      <c r="G648" s="21"/>
      <c r="H648" s="24"/>
      <c r="I648" s="24"/>
      <c r="J648" s="20"/>
      <c r="K648" s="20"/>
      <c r="L648" s="20"/>
      <c r="M648" s="20"/>
      <c r="N648" s="20" t="str">
        <f t="shared" si="1"/>
        <v>#</v>
      </c>
      <c r="O648" s="20"/>
      <c r="P648" s="21"/>
      <c r="Q648" s="14" t="str">
        <f t="shared" si="2"/>
        <v/>
      </c>
      <c r="R648" s="14"/>
    </row>
    <row r="649">
      <c r="A649" s="14"/>
      <c r="B649" s="21"/>
      <c r="C649" s="14"/>
      <c r="D649" s="16"/>
      <c r="E649" s="16"/>
      <c r="F649" s="21"/>
      <c r="G649" s="21"/>
      <c r="H649" s="24"/>
      <c r="I649" s="24"/>
      <c r="J649" s="20"/>
      <c r="K649" s="20"/>
      <c r="L649" s="20"/>
      <c r="M649" s="20"/>
      <c r="N649" s="20" t="str">
        <f t="shared" si="1"/>
        <v>#</v>
      </c>
      <c r="O649" s="20"/>
      <c r="P649" s="21"/>
      <c r="Q649" s="14" t="str">
        <f t="shared" si="2"/>
        <v/>
      </c>
      <c r="R649" s="14"/>
    </row>
    <row r="650">
      <c r="A650" s="14"/>
      <c r="B650" s="21"/>
      <c r="C650" s="14"/>
      <c r="D650" s="16"/>
      <c r="E650" s="16"/>
      <c r="F650" s="21"/>
      <c r="G650" s="21"/>
      <c r="H650" s="24"/>
      <c r="I650" s="24"/>
      <c r="J650" s="20"/>
      <c r="K650" s="20"/>
      <c r="L650" s="20"/>
      <c r="M650" s="20"/>
      <c r="N650" s="20" t="str">
        <f t="shared" si="1"/>
        <v>#</v>
      </c>
      <c r="O650" s="20"/>
      <c r="P650" s="21"/>
      <c r="Q650" s="14" t="str">
        <f t="shared" si="2"/>
        <v/>
      </c>
      <c r="R650" s="14"/>
    </row>
    <row r="651">
      <c r="A651" s="14"/>
      <c r="B651" s="21"/>
      <c r="C651" s="14"/>
      <c r="D651" s="16"/>
      <c r="E651" s="16"/>
      <c r="F651" s="21"/>
      <c r="G651" s="21"/>
      <c r="H651" s="24"/>
      <c r="I651" s="24"/>
      <c r="J651" s="20"/>
      <c r="K651" s="20"/>
      <c r="L651" s="20"/>
      <c r="M651" s="20"/>
      <c r="N651" s="20" t="str">
        <f t="shared" si="1"/>
        <v>#</v>
      </c>
      <c r="O651" s="20"/>
      <c r="P651" s="21"/>
      <c r="Q651" s="14" t="str">
        <f t="shared" si="2"/>
        <v/>
      </c>
      <c r="R651" s="14"/>
    </row>
    <row r="652">
      <c r="A652" s="14"/>
      <c r="B652" s="21"/>
      <c r="C652" s="14"/>
      <c r="D652" s="16"/>
      <c r="E652" s="16"/>
      <c r="F652" s="21"/>
      <c r="G652" s="21"/>
      <c r="H652" s="24"/>
      <c r="I652" s="24"/>
      <c r="J652" s="20"/>
      <c r="K652" s="20"/>
      <c r="L652" s="20"/>
      <c r="M652" s="20"/>
      <c r="N652" s="20" t="str">
        <f t="shared" si="1"/>
        <v>#</v>
      </c>
      <c r="O652" s="20"/>
      <c r="P652" s="21"/>
      <c r="Q652" s="14" t="str">
        <f t="shared" si="2"/>
        <v/>
      </c>
      <c r="R652" s="14"/>
    </row>
    <row r="653">
      <c r="A653" s="14"/>
      <c r="B653" s="21"/>
      <c r="C653" s="14"/>
      <c r="D653" s="16"/>
      <c r="E653" s="16"/>
      <c r="F653" s="21"/>
      <c r="G653" s="21"/>
      <c r="H653" s="24"/>
      <c r="I653" s="24"/>
      <c r="J653" s="20"/>
      <c r="K653" s="20"/>
      <c r="L653" s="20"/>
      <c r="M653" s="20"/>
      <c r="N653" s="20" t="str">
        <f t="shared" si="1"/>
        <v>#</v>
      </c>
      <c r="O653" s="20"/>
      <c r="P653" s="21"/>
      <c r="Q653" s="14" t="str">
        <f t="shared" si="2"/>
        <v/>
      </c>
      <c r="R653" s="14"/>
    </row>
    <row r="654">
      <c r="A654" s="14"/>
      <c r="B654" s="21"/>
      <c r="C654" s="14"/>
      <c r="D654" s="16"/>
      <c r="E654" s="16"/>
      <c r="F654" s="21"/>
      <c r="G654" s="21"/>
      <c r="H654" s="24"/>
      <c r="I654" s="24"/>
      <c r="J654" s="20"/>
      <c r="K654" s="20"/>
      <c r="L654" s="20"/>
      <c r="M654" s="20"/>
      <c r="N654" s="20" t="str">
        <f t="shared" si="1"/>
        <v>#</v>
      </c>
      <c r="O654" s="20"/>
      <c r="P654" s="21"/>
      <c r="Q654" s="14" t="str">
        <f t="shared" si="2"/>
        <v/>
      </c>
      <c r="R654" s="14"/>
    </row>
    <row r="655">
      <c r="A655" s="14"/>
      <c r="B655" s="21"/>
      <c r="C655" s="14"/>
      <c r="D655" s="16"/>
      <c r="E655" s="16"/>
      <c r="F655" s="21"/>
      <c r="G655" s="21"/>
      <c r="H655" s="24"/>
      <c r="I655" s="24"/>
      <c r="J655" s="20"/>
      <c r="K655" s="20"/>
      <c r="L655" s="20"/>
      <c r="M655" s="20"/>
      <c r="N655" s="20" t="str">
        <f t="shared" si="1"/>
        <v>#</v>
      </c>
      <c r="O655" s="20"/>
      <c r="P655" s="21"/>
      <c r="Q655" s="14" t="str">
        <f t="shared" si="2"/>
        <v/>
      </c>
      <c r="R655" s="14"/>
    </row>
    <row r="656">
      <c r="A656" s="14"/>
      <c r="B656" s="21"/>
      <c r="C656" s="14"/>
      <c r="D656" s="16"/>
      <c r="E656" s="16"/>
      <c r="F656" s="21"/>
      <c r="G656" s="21"/>
      <c r="H656" s="24"/>
      <c r="I656" s="24"/>
      <c r="J656" s="20"/>
      <c r="K656" s="20"/>
      <c r="L656" s="20"/>
      <c r="M656" s="20"/>
      <c r="N656" s="20" t="str">
        <f t="shared" si="1"/>
        <v>#</v>
      </c>
      <c r="O656" s="20"/>
      <c r="P656" s="21"/>
      <c r="Q656" s="14" t="str">
        <f t="shared" si="2"/>
        <v/>
      </c>
      <c r="R656" s="14"/>
    </row>
    <row r="657">
      <c r="A657" s="14"/>
      <c r="B657" s="21"/>
      <c r="C657" s="14"/>
      <c r="D657" s="16"/>
      <c r="E657" s="16"/>
      <c r="F657" s="21"/>
      <c r="G657" s="21"/>
      <c r="H657" s="24"/>
      <c r="I657" s="24"/>
      <c r="J657" s="20"/>
      <c r="K657" s="20"/>
      <c r="L657" s="20"/>
      <c r="M657" s="20"/>
      <c r="N657" s="20" t="str">
        <f t="shared" si="1"/>
        <v>#</v>
      </c>
      <c r="O657" s="20"/>
      <c r="P657" s="21"/>
      <c r="Q657" s="14" t="str">
        <f t="shared" si="2"/>
        <v/>
      </c>
      <c r="R657" s="14"/>
    </row>
    <row r="658">
      <c r="A658" s="14"/>
      <c r="B658" s="21"/>
      <c r="C658" s="14"/>
      <c r="D658" s="16"/>
      <c r="E658" s="16"/>
      <c r="F658" s="21"/>
      <c r="G658" s="21"/>
      <c r="H658" s="24"/>
      <c r="I658" s="24"/>
      <c r="J658" s="20"/>
      <c r="K658" s="20"/>
      <c r="L658" s="20"/>
      <c r="M658" s="20"/>
      <c r="N658" s="20" t="str">
        <f t="shared" si="1"/>
        <v>#</v>
      </c>
      <c r="O658" s="20"/>
      <c r="P658" s="21"/>
      <c r="Q658" s="14" t="str">
        <f t="shared" si="2"/>
        <v/>
      </c>
      <c r="R658" s="14"/>
    </row>
    <row r="659">
      <c r="A659" s="14"/>
      <c r="B659" s="21"/>
      <c r="C659" s="14"/>
      <c r="D659" s="16"/>
      <c r="E659" s="16"/>
      <c r="F659" s="21"/>
      <c r="G659" s="21"/>
      <c r="H659" s="24"/>
      <c r="I659" s="24"/>
      <c r="J659" s="20"/>
      <c r="K659" s="20"/>
      <c r="L659" s="20"/>
      <c r="M659" s="20"/>
      <c r="N659" s="20" t="str">
        <f t="shared" si="1"/>
        <v>#</v>
      </c>
      <c r="O659" s="20"/>
      <c r="P659" s="21"/>
      <c r="Q659" s="14" t="str">
        <f t="shared" si="2"/>
        <v/>
      </c>
      <c r="R659" s="14"/>
    </row>
    <row r="660">
      <c r="A660" s="14"/>
      <c r="B660" s="21"/>
      <c r="C660" s="14"/>
      <c r="D660" s="16"/>
      <c r="E660" s="16"/>
      <c r="F660" s="21"/>
      <c r="G660" s="21"/>
      <c r="H660" s="24"/>
      <c r="I660" s="24"/>
      <c r="J660" s="20"/>
      <c r="K660" s="20"/>
      <c r="L660" s="20"/>
      <c r="M660" s="20"/>
      <c r="N660" s="20" t="str">
        <f t="shared" si="1"/>
        <v>#</v>
      </c>
      <c r="O660" s="20"/>
      <c r="P660" s="21"/>
      <c r="Q660" s="14" t="str">
        <f t="shared" si="2"/>
        <v/>
      </c>
      <c r="R660" s="14"/>
    </row>
    <row r="661">
      <c r="A661" s="14"/>
      <c r="B661" s="21"/>
      <c r="C661" s="14"/>
      <c r="D661" s="16"/>
      <c r="E661" s="16"/>
      <c r="F661" s="21"/>
      <c r="G661" s="21"/>
      <c r="H661" s="24"/>
      <c r="I661" s="24"/>
      <c r="J661" s="20"/>
      <c r="K661" s="20"/>
      <c r="L661" s="20"/>
      <c r="M661" s="20"/>
      <c r="N661" s="20" t="str">
        <f t="shared" si="1"/>
        <v>#</v>
      </c>
      <c r="O661" s="20"/>
      <c r="P661" s="21"/>
      <c r="Q661" s="14" t="str">
        <f t="shared" si="2"/>
        <v/>
      </c>
      <c r="R661" s="14"/>
    </row>
    <row r="662">
      <c r="A662" s="14"/>
      <c r="B662" s="21"/>
      <c r="C662" s="14"/>
      <c r="D662" s="16"/>
      <c r="E662" s="16"/>
      <c r="F662" s="21"/>
      <c r="G662" s="21"/>
      <c r="H662" s="24"/>
      <c r="I662" s="24"/>
      <c r="J662" s="20"/>
      <c r="K662" s="20"/>
      <c r="L662" s="20"/>
      <c r="M662" s="20"/>
      <c r="N662" s="20" t="str">
        <f t="shared" si="1"/>
        <v>#</v>
      </c>
      <c r="O662" s="20"/>
      <c r="P662" s="21"/>
      <c r="Q662" s="14" t="str">
        <f t="shared" si="2"/>
        <v/>
      </c>
      <c r="R662" s="14"/>
    </row>
    <row r="663">
      <c r="A663" s="14"/>
      <c r="B663" s="21"/>
      <c r="C663" s="14"/>
      <c r="D663" s="16"/>
      <c r="E663" s="16"/>
      <c r="F663" s="21"/>
      <c r="G663" s="21"/>
      <c r="H663" s="24"/>
      <c r="I663" s="24"/>
      <c r="J663" s="20"/>
      <c r="K663" s="20"/>
      <c r="L663" s="20"/>
      <c r="M663" s="20"/>
      <c r="N663" s="20" t="str">
        <f t="shared" si="1"/>
        <v>#</v>
      </c>
      <c r="O663" s="20"/>
      <c r="P663" s="21"/>
      <c r="Q663" s="14" t="str">
        <f t="shared" si="2"/>
        <v/>
      </c>
      <c r="R663" s="14"/>
    </row>
    <row r="664">
      <c r="A664" s="14"/>
      <c r="B664" s="21"/>
      <c r="C664" s="14"/>
      <c r="D664" s="16"/>
      <c r="E664" s="16"/>
      <c r="F664" s="21"/>
      <c r="G664" s="21"/>
      <c r="H664" s="24"/>
      <c r="I664" s="24"/>
      <c r="J664" s="20"/>
      <c r="K664" s="20"/>
      <c r="L664" s="20"/>
      <c r="M664" s="20"/>
      <c r="N664" s="20" t="str">
        <f t="shared" si="1"/>
        <v>#</v>
      </c>
      <c r="O664" s="20"/>
      <c r="P664" s="21"/>
      <c r="Q664" s="14" t="str">
        <f t="shared" si="2"/>
        <v/>
      </c>
      <c r="R664" s="14"/>
    </row>
    <row r="665">
      <c r="A665" s="14"/>
      <c r="B665" s="21"/>
      <c r="C665" s="14"/>
      <c r="D665" s="16"/>
      <c r="E665" s="16"/>
      <c r="F665" s="21"/>
      <c r="G665" s="21"/>
      <c r="H665" s="24"/>
      <c r="I665" s="24"/>
      <c r="J665" s="20"/>
      <c r="K665" s="20"/>
      <c r="L665" s="20"/>
      <c r="M665" s="20"/>
      <c r="N665" s="20" t="str">
        <f t="shared" si="1"/>
        <v>#</v>
      </c>
      <c r="O665" s="20"/>
      <c r="P665" s="21"/>
      <c r="Q665" s="14" t="str">
        <f t="shared" si="2"/>
        <v/>
      </c>
      <c r="R665" s="14"/>
    </row>
    <row r="666">
      <c r="A666" s="14"/>
      <c r="B666" s="21"/>
      <c r="C666" s="14"/>
      <c r="D666" s="16"/>
      <c r="E666" s="16"/>
      <c r="F666" s="21"/>
      <c r="G666" s="21"/>
      <c r="H666" s="24"/>
      <c r="I666" s="24"/>
      <c r="J666" s="20"/>
      <c r="K666" s="20"/>
      <c r="L666" s="20"/>
      <c r="M666" s="20"/>
      <c r="N666" s="20" t="str">
        <f t="shared" si="1"/>
        <v>#</v>
      </c>
      <c r="O666" s="20"/>
      <c r="P666" s="21"/>
      <c r="Q666" s="14" t="str">
        <f t="shared" si="2"/>
        <v/>
      </c>
      <c r="R666" s="14"/>
    </row>
    <row r="667">
      <c r="A667" s="14"/>
      <c r="B667" s="21"/>
      <c r="C667" s="14"/>
      <c r="D667" s="16"/>
      <c r="E667" s="16"/>
      <c r="F667" s="21"/>
      <c r="G667" s="21"/>
      <c r="H667" s="24"/>
      <c r="I667" s="24"/>
      <c r="J667" s="20"/>
      <c r="K667" s="20"/>
      <c r="L667" s="20"/>
      <c r="M667" s="20"/>
      <c r="N667" s="20" t="str">
        <f t="shared" si="1"/>
        <v>#</v>
      </c>
      <c r="O667" s="20"/>
      <c r="P667" s="21"/>
      <c r="Q667" s="14" t="str">
        <f t="shared" si="2"/>
        <v/>
      </c>
      <c r="R667" s="14"/>
    </row>
    <row r="668">
      <c r="A668" s="14"/>
      <c r="B668" s="21"/>
      <c r="C668" s="14"/>
      <c r="D668" s="16"/>
      <c r="E668" s="16"/>
      <c r="F668" s="21"/>
      <c r="G668" s="21"/>
      <c r="H668" s="24"/>
      <c r="I668" s="24"/>
      <c r="J668" s="20"/>
      <c r="K668" s="20"/>
      <c r="L668" s="20"/>
      <c r="M668" s="20"/>
      <c r="N668" s="20" t="str">
        <f t="shared" si="1"/>
        <v>#</v>
      </c>
      <c r="O668" s="20"/>
      <c r="P668" s="21"/>
      <c r="Q668" s="14" t="str">
        <f t="shared" si="2"/>
        <v/>
      </c>
      <c r="R668" s="14"/>
    </row>
    <row r="669">
      <c r="A669" s="14"/>
      <c r="B669" s="21"/>
      <c r="C669" s="14"/>
      <c r="D669" s="16"/>
      <c r="E669" s="16"/>
      <c r="F669" s="21"/>
      <c r="G669" s="21"/>
      <c r="H669" s="24"/>
      <c r="I669" s="24"/>
      <c r="J669" s="20"/>
      <c r="K669" s="20"/>
      <c r="L669" s="20"/>
      <c r="M669" s="20"/>
      <c r="N669" s="20" t="str">
        <f t="shared" si="1"/>
        <v>#</v>
      </c>
      <c r="O669" s="20"/>
      <c r="P669" s="21"/>
      <c r="Q669" s="14" t="str">
        <f t="shared" si="2"/>
        <v/>
      </c>
      <c r="R669" s="14"/>
    </row>
    <row r="670">
      <c r="A670" s="14"/>
      <c r="B670" s="21"/>
      <c r="C670" s="14"/>
      <c r="D670" s="16"/>
      <c r="E670" s="16"/>
      <c r="F670" s="21"/>
      <c r="G670" s="21"/>
      <c r="H670" s="24"/>
      <c r="I670" s="24"/>
      <c r="J670" s="20"/>
      <c r="K670" s="20"/>
      <c r="L670" s="20"/>
      <c r="M670" s="20"/>
      <c r="N670" s="20" t="str">
        <f t="shared" si="1"/>
        <v>#</v>
      </c>
      <c r="O670" s="20"/>
      <c r="P670" s="21"/>
      <c r="Q670" s="14" t="str">
        <f t="shared" si="2"/>
        <v/>
      </c>
      <c r="R670" s="14"/>
    </row>
    <row r="671">
      <c r="A671" s="14"/>
      <c r="B671" s="21"/>
      <c r="C671" s="14"/>
      <c r="D671" s="16"/>
      <c r="E671" s="16"/>
      <c r="F671" s="21"/>
      <c r="G671" s="21"/>
      <c r="H671" s="24"/>
      <c r="I671" s="24"/>
      <c r="J671" s="20"/>
      <c r="K671" s="20"/>
      <c r="L671" s="20"/>
      <c r="M671" s="20"/>
      <c r="N671" s="20" t="str">
        <f t="shared" si="1"/>
        <v>#</v>
      </c>
      <c r="O671" s="20"/>
      <c r="P671" s="21"/>
      <c r="Q671" s="14" t="str">
        <f t="shared" si="2"/>
        <v/>
      </c>
      <c r="R671" s="14"/>
    </row>
    <row r="672">
      <c r="A672" s="14"/>
      <c r="B672" s="21"/>
      <c r="C672" s="14"/>
      <c r="D672" s="16"/>
      <c r="E672" s="16"/>
      <c r="F672" s="21"/>
      <c r="G672" s="21"/>
      <c r="H672" s="24"/>
      <c r="I672" s="24"/>
      <c r="J672" s="20"/>
      <c r="K672" s="20"/>
      <c r="L672" s="20"/>
      <c r="M672" s="20"/>
      <c r="N672" s="20" t="str">
        <f t="shared" si="1"/>
        <v>#</v>
      </c>
      <c r="O672" s="20"/>
      <c r="P672" s="21"/>
      <c r="Q672" s="14" t="str">
        <f t="shared" si="2"/>
        <v/>
      </c>
      <c r="R672" s="14"/>
    </row>
    <row r="673">
      <c r="A673" s="14"/>
      <c r="B673" s="21"/>
      <c r="C673" s="14"/>
      <c r="D673" s="16"/>
      <c r="E673" s="16"/>
      <c r="F673" s="21"/>
      <c r="G673" s="21"/>
      <c r="H673" s="24"/>
      <c r="I673" s="24"/>
      <c r="J673" s="20"/>
      <c r="K673" s="20"/>
      <c r="L673" s="20"/>
      <c r="M673" s="20"/>
      <c r="N673" s="20" t="str">
        <f t="shared" si="1"/>
        <v>#</v>
      </c>
      <c r="O673" s="20"/>
      <c r="P673" s="21"/>
      <c r="Q673" s="14" t="str">
        <f t="shared" si="2"/>
        <v/>
      </c>
      <c r="R673" s="14"/>
    </row>
    <row r="674">
      <c r="A674" s="14"/>
      <c r="B674" s="21"/>
      <c r="C674" s="14"/>
      <c r="D674" s="16"/>
      <c r="E674" s="16"/>
      <c r="F674" s="21"/>
      <c r="G674" s="21"/>
      <c r="H674" s="24"/>
      <c r="I674" s="24"/>
      <c r="J674" s="20"/>
      <c r="K674" s="20"/>
      <c r="L674" s="20"/>
      <c r="M674" s="20"/>
      <c r="N674" s="20" t="str">
        <f t="shared" si="1"/>
        <v>#</v>
      </c>
      <c r="O674" s="20"/>
      <c r="P674" s="21"/>
      <c r="Q674" s="14" t="str">
        <f t="shared" si="2"/>
        <v/>
      </c>
      <c r="R674" s="14"/>
    </row>
    <row r="675">
      <c r="A675" s="14"/>
      <c r="B675" s="21"/>
      <c r="C675" s="14"/>
      <c r="D675" s="16"/>
      <c r="E675" s="16"/>
      <c r="F675" s="21"/>
      <c r="G675" s="21"/>
      <c r="H675" s="24"/>
      <c r="I675" s="24"/>
      <c r="J675" s="20"/>
      <c r="K675" s="20"/>
      <c r="L675" s="20"/>
      <c r="M675" s="20"/>
      <c r="N675" s="20" t="str">
        <f t="shared" si="1"/>
        <v>#</v>
      </c>
      <c r="O675" s="20"/>
      <c r="P675" s="21"/>
      <c r="Q675" s="14" t="str">
        <f t="shared" si="2"/>
        <v/>
      </c>
      <c r="R675" s="14"/>
    </row>
    <row r="676">
      <c r="A676" s="14"/>
      <c r="B676" s="21"/>
      <c r="C676" s="14"/>
      <c r="D676" s="16"/>
      <c r="E676" s="16"/>
      <c r="F676" s="21"/>
      <c r="G676" s="21"/>
      <c r="H676" s="24"/>
      <c r="I676" s="24"/>
      <c r="J676" s="20"/>
      <c r="K676" s="20"/>
      <c r="L676" s="20"/>
      <c r="M676" s="20"/>
      <c r="N676" s="20" t="str">
        <f t="shared" si="1"/>
        <v>#</v>
      </c>
      <c r="O676" s="20"/>
      <c r="P676" s="21"/>
      <c r="Q676" s="14" t="str">
        <f t="shared" si="2"/>
        <v/>
      </c>
      <c r="R676" s="14"/>
    </row>
    <row r="677">
      <c r="A677" s="14"/>
      <c r="B677" s="21"/>
      <c r="C677" s="14"/>
      <c r="D677" s="16"/>
      <c r="E677" s="16"/>
      <c r="F677" s="21"/>
      <c r="G677" s="21"/>
      <c r="H677" s="24"/>
      <c r="I677" s="24"/>
      <c r="J677" s="20"/>
      <c r="K677" s="20"/>
      <c r="L677" s="20"/>
      <c r="M677" s="20"/>
      <c r="N677" s="20" t="str">
        <f t="shared" si="1"/>
        <v>#</v>
      </c>
      <c r="O677" s="20"/>
      <c r="P677" s="21"/>
      <c r="Q677" s="14" t="str">
        <f t="shared" si="2"/>
        <v/>
      </c>
      <c r="R677" s="14"/>
    </row>
    <row r="678">
      <c r="A678" s="14"/>
      <c r="B678" s="21"/>
      <c r="C678" s="14"/>
      <c r="D678" s="16"/>
      <c r="E678" s="16"/>
      <c r="F678" s="21"/>
      <c r="G678" s="21"/>
      <c r="H678" s="24"/>
      <c r="I678" s="24"/>
      <c r="J678" s="20"/>
      <c r="K678" s="20"/>
      <c r="L678" s="20"/>
      <c r="M678" s="20"/>
      <c r="N678" s="20" t="str">
        <f t="shared" si="1"/>
        <v>#</v>
      </c>
      <c r="O678" s="20"/>
      <c r="P678" s="21"/>
      <c r="Q678" s="14" t="str">
        <f t="shared" si="2"/>
        <v/>
      </c>
      <c r="R678" s="14"/>
    </row>
    <row r="679">
      <c r="A679" s="14"/>
      <c r="B679" s="21"/>
      <c r="C679" s="14"/>
      <c r="D679" s="16"/>
      <c r="E679" s="16"/>
      <c r="F679" s="21"/>
      <c r="G679" s="21"/>
      <c r="H679" s="24"/>
      <c r="I679" s="24"/>
      <c r="J679" s="20"/>
      <c r="K679" s="20"/>
      <c r="L679" s="20"/>
      <c r="M679" s="20"/>
      <c r="N679" s="20" t="str">
        <f t="shared" si="1"/>
        <v>#</v>
      </c>
      <c r="O679" s="20"/>
      <c r="P679" s="21"/>
      <c r="Q679" s="14" t="str">
        <f t="shared" si="2"/>
        <v/>
      </c>
      <c r="R679" s="14"/>
    </row>
    <row r="680">
      <c r="A680" s="14"/>
      <c r="B680" s="21"/>
      <c r="C680" s="14"/>
      <c r="D680" s="16"/>
      <c r="E680" s="16"/>
      <c r="F680" s="21"/>
      <c r="G680" s="21"/>
      <c r="H680" s="24"/>
      <c r="I680" s="24"/>
      <c r="J680" s="20"/>
      <c r="K680" s="20"/>
      <c r="L680" s="20"/>
      <c r="M680" s="20"/>
      <c r="N680" s="20" t="str">
        <f t="shared" si="1"/>
        <v>#</v>
      </c>
      <c r="O680" s="20"/>
      <c r="P680" s="21"/>
      <c r="Q680" s="14" t="str">
        <f t="shared" si="2"/>
        <v/>
      </c>
      <c r="R680" s="14"/>
    </row>
    <row r="681">
      <c r="A681" s="14"/>
      <c r="B681" s="21"/>
      <c r="C681" s="14"/>
      <c r="D681" s="16"/>
      <c r="E681" s="16"/>
      <c r="F681" s="21"/>
      <c r="G681" s="21"/>
      <c r="H681" s="24"/>
      <c r="I681" s="24"/>
      <c r="J681" s="20"/>
      <c r="K681" s="20"/>
      <c r="L681" s="20"/>
      <c r="M681" s="20"/>
      <c r="N681" s="20" t="str">
        <f t="shared" si="1"/>
        <v>#</v>
      </c>
      <c r="O681" s="20"/>
      <c r="P681" s="21"/>
      <c r="Q681" s="14" t="str">
        <f t="shared" si="2"/>
        <v/>
      </c>
      <c r="R681" s="14"/>
    </row>
    <row r="682">
      <c r="A682" s="14"/>
      <c r="B682" s="21"/>
      <c r="C682" s="14"/>
      <c r="D682" s="16"/>
      <c r="E682" s="16"/>
      <c r="F682" s="21"/>
      <c r="G682" s="21"/>
      <c r="H682" s="24"/>
      <c r="I682" s="24"/>
      <c r="J682" s="20"/>
      <c r="K682" s="20"/>
      <c r="L682" s="20"/>
      <c r="M682" s="20"/>
      <c r="N682" s="20" t="str">
        <f t="shared" si="1"/>
        <v>#</v>
      </c>
      <c r="O682" s="20"/>
      <c r="P682" s="21"/>
      <c r="Q682" s="14" t="str">
        <f t="shared" si="2"/>
        <v/>
      </c>
      <c r="R682" s="14"/>
    </row>
    <row r="683">
      <c r="A683" s="14"/>
      <c r="B683" s="21"/>
      <c r="C683" s="14"/>
      <c r="D683" s="16"/>
      <c r="E683" s="16"/>
      <c r="F683" s="21"/>
      <c r="G683" s="21"/>
      <c r="H683" s="24"/>
      <c r="I683" s="24"/>
      <c r="J683" s="20"/>
      <c r="K683" s="20"/>
      <c r="L683" s="20"/>
      <c r="M683" s="20"/>
      <c r="N683" s="20" t="str">
        <f t="shared" si="1"/>
        <v>#</v>
      </c>
      <c r="O683" s="20"/>
      <c r="P683" s="21"/>
      <c r="Q683" s="14" t="str">
        <f t="shared" si="2"/>
        <v/>
      </c>
      <c r="R683" s="14"/>
    </row>
    <row r="684">
      <c r="A684" s="14"/>
      <c r="B684" s="21"/>
      <c r="C684" s="14"/>
      <c r="D684" s="16"/>
      <c r="E684" s="16"/>
      <c r="F684" s="21"/>
      <c r="G684" s="21"/>
      <c r="H684" s="24"/>
      <c r="I684" s="24"/>
      <c r="J684" s="20"/>
      <c r="K684" s="20"/>
      <c r="L684" s="20"/>
      <c r="M684" s="20"/>
      <c r="N684" s="20" t="str">
        <f t="shared" si="1"/>
        <v>#</v>
      </c>
      <c r="O684" s="20"/>
      <c r="P684" s="21"/>
      <c r="Q684" s="14" t="str">
        <f t="shared" si="2"/>
        <v/>
      </c>
      <c r="R684" s="14"/>
    </row>
    <row r="685">
      <c r="A685" s="14"/>
      <c r="B685" s="21"/>
      <c r="C685" s="14"/>
      <c r="D685" s="16"/>
      <c r="E685" s="16"/>
      <c r="F685" s="21"/>
      <c r="G685" s="21"/>
      <c r="H685" s="24"/>
      <c r="I685" s="24"/>
      <c r="J685" s="20"/>
      <c r="K685" s="20"/>
      <c r="L685" s="20"/>
      <c r="M685" s="20"/>
      <c r="N685" s="20" t="str">
        <f t="shared" si="1"/>
        <v>#</v>
      </c>
      <c r="O685" s="20"/>
      <c r="P685" s="21"/>
      <c r="Q685" s="14" t="str">
        <f t="shared" si="2"/>
        <v/>
      </c>
      <c r="R685" s="14"/>
    </row>
    <row r="686">
      <c r="A686" s="14"/>
      <c r="B686" s="21"/>
      <c r="C686" s="14"/>
      <c r="D686" s="16"/>
      <c r="E686" s="16"/>
      <c r="F686" s="21"/>
      <c r="G686" s="21"/>
      <c r="H686" s="24"/>
      <c r="I686" s="24"/>
      <c r="J686" s="20"/>
      <c r="K686" s="20"/>
      <c r="L686" s="20"/>
      <c r="M686" s="20"/>
      <c r="N686" s="20" t="str">
        <f t="shared" si="1"/>
        <v>#</v>
      </c>
      <c r="O686" s="20"/>
      <c r="P686" s="21"/>
      <c r="Q686" s="14" t="str">
        <f t="shared" si="2"/>
        <v/>
      </c>
      <c r="R686" s="14"/>
    </row>
    <row r="687">
      <c r="A687" s="14"/>
      <c r="B687" s="21"/>
      <c r="C687" s="14"/>
      <c r="D687" s="16"/>
      <c r="E687" s="16"/>
      <c r="F687" s="21"/>
      <c r="G687" s="21"/>
      <c r="H687" s="24"/>
      <c r="I687" s="24"/>
      <c r="J687" s="20"/>
      <c r="K687" s="20"/>
      <c r="L687" s="20"/>
      <c r="M687" s="20"/>
      <c r="N687" s="20" t="str">
        <f t="shared" si="1"/>
        <v>#</v>
      </c>
      <c r="O687" s="20"/>
      <c r="P687" s="21"/>
      <c r="Q687" s="14" t="str">
        <f t="shared" si="2"/>
        <v/>
      </c>
      <c r="R687" s="14"/>
    </row>
    <row r="688">
      <c r="A688" s="14"/>
      <c r="B688" s="21"/>
      <c r="C688" s="14"/>
      <c r="D688" s="16"/>
      <c r="E688" s="16"/>
      <c r="F688" s="21"/>
      <c r="G688" s="21"/>
      <c r="H688" s="24"/>
      <c r="I688" s="24"/>
      <c r="J688" s="20"/>
      <c r="K688" s="20"/>
      <c r="L688" s="20"/>
      <c r="M688" s="20"/>
      <c r="N688" s="20" t="str">
        <f t="shared" si="1"/>
        <v>#</v>
      </c>
      <c r="O688" s="20"/>
      <c r="P688" s="21"/>
      <c r="Q688" s="14" t="str">
        <f t="shared" si="2"/>
        <v/>
      </c>
      <c r="R688" s="14"/>
    </row>
    <row r="689">
      <c r="A689" s="14"/>
      <c r="B689" s="21"/>
      <c r="C689" s="14"/>
      <c r="D689" s="16"/>
      <c r="E689" s="16"/>
      <c r="F689" s="21"/>
      <c r="G689" s="21"/>
      <c r="H689" s="24"/>
      <c r="I689" s="24"/>
      <c r="J689" s="20"/>
      <c r="K689" s="20"/>
      <c r="L689" s="20"/>
      <c r="M689" s="20"/>
      <c r="N689" s="20" t="str">
        <f t="shared" si="1"/>
        <v>#</v>
      </c>
      <c r="O689" s="20"/>
      <c r="P689" s="21"/>
      <c r="Q689" s="14" t="str">
        <f t="shared" si="2"/>
        <v/>
      </c>
      <c r="R689" s="14"/>
    </row>
    <row r="690">
      <c r="A690" s="14"/>
      <c r="B690" s="21"/>
      <c r="C690" s="14"/>
      <c r="D690" s="16"/>
      <c r="E690" s="16"/>
      <c r="F690" s="21"/>
      <c r="G690" s="21"/>
      <c r="H690" s="24"/>
      <c r="I690" s="24"/>
      <c r="J690" s="20"/>
      <c r="K690" s="20"/>
      <c r="L690" s="20"/>
      <c r="M690" s="20"/>
      <c r="N690" s="20" t="str">
        <f t="shared" si="1"/>
        <v>#</v>
      </c>
      <c r="O690" s="20"/>
      <c r="P690" s="21"/>
      <c r="Q690" s="14" t="str">
        <f t="shared" si="2"/>
        <v/>
      </c>
      <c r="R690" s="14"/>
    </row>
    <row r="691">
      <c r="A691" s="14"/>
      <c r="B691" s="21"/>
      <c r="C691" s="14"/>
      <c r="D691" s="16"/>
      <c r="E691" s="16"/>
      <c r="F691" s="21"/>
      <c r="G691" s="21"/>
      <c r="H691" s="24"/>
      <c r="I691" s="24"/>
      <c r="J691" s="20"/>
      <c r="K691" s="20"/>
      <c r="L691" s="20"/>
      <c r="M691" s="20"/>
      <c r="N691" s="20" t="str">
        <f t="shared" si="1"/>
        <v>#</v>
      </c>
      <c r="O691" s="20"/>
      <c r="P691" s="21"/>
      <c r="Q691" s="14" t="str">
        <f t="shared" si="2"/>
        <v/>
      </c>
      <c r="R691" s="14"/>
    </row>
    <row r="692">
      <c r="A692" s="14"/>
      <c r="B692" s="21"/>
      <c r="C692" s="14"/>
      <c r="D692" s="16"/>
      <c r="E692" s="16"/>
      <c r="F692" s="21"/>
      <c r="G692" s="21"/>
      <c r="H692" s="24"/>
      <c r="I692" s="24"/>
      <c r="J692" s="20"/>
      <c r="K692" s="20"/>
      <c r="L692" s="20"/>
      <c r="M692" s="20"/>
      <c r="N692" s="20" t="str">
        <f t="shared" si="1"/>
        <v>#</v>
      </c>
      <c r="O692" s="20"/>
      <c r="P692" s="21"/>
      <c r="Q692" s="14" t="str">
        <f t="shared" si="2"/>
        <v/>
      </c>
      <c r="R692" s="14"/>
    </row>
    <row r="693">
      <c r="A693" s="14"/>
      <c r="B693" s="21"/>
      <c r="C693" s="14"/>
      <c r="D693" s="16"/>
      <c r="E693" s="16"/>
      <c r="F693" s="21"/>
      <c r="G693" s="21"/>
      <c r="H693" s="24"/>
      <c r="I693" s="24"/>
      <c r="J693" s="20"/>
      <c r="K693" s="20"/>
      <c r="L693" s="20"/>
      <c r="M693" s="20"/>
      <c r="N693" s="20" t="str">
        <f t="shared" si="1"/>
        <v>#</v>
      </c>
      <c r="O693" s="20"/>
      <c r="P693" s="21"/>
      <c r="Q693" s="14" t="str">
        <f t="shared" si="2"/>
        <v/>
      </c>
      <c r="R693" s="14"/>
    </row>
    <row r="694">
      <c r="A694" s="14"/>
      <c r="B694" s="21"/>
      <c r="C694" s="14"/>
      <c r="D694" s="16"/>
      <c r="E694" s="16"/>
      <c r="F694" s="21"/>
      <c r="G694" s="21"/>
      <c r="H694" s="24"/>
      <c r="I694" s="24"/>
      <c r="J694" s="20"/>
      <c r="K694" s="20"/>
      <c r="L694" s="20"/>
      <c r="M694" s="20"/>
      <c r="N694" s="20" t="str">
        <f t="shared" si="1"/>
        <v>#</v>
      </c>
      <c r="O694" s="20"/>
      <c r="P694" s="21"/>
      <c r="Q694" s="14" t="str">
        <f t="shared" si="2"/>
        <v/>
      </c>
      <c r="R694" s="14"/>
    </row>
    <row r="695">
      <c r="A695" s="14"/>
      <c r="B695" s="21"/>
      <c r="C695" s="14"/>
      <c r="D695" s="16"/>
      <c r="E695" s="16"/>
      <c r="F695" s="21"/>
      <c r="G695" s="21"/>
      <c r="H695" s="24"/>
      <c r="I695" s="24"/>
      <c r="J695" s="20"/>
      <c r="K695" s="20"/>
      <c r="L695" s="20"/>
      <c r="M695" s="20"/>
      <c r="N695" s="20" t="str">
        <f t="shared" si="1"/>
        <v>#</v>
      </c>
      <c r="O695" s="20"/>
      <c r="P695" s="21"/>
      <c r="Q695" s="14" t="str">
        <f t="shared" si="2"/>
        <v/>
      </c>
      <c r="R695" s="14"/>
    </row>
    <row r="696">
      <c r="A696" s="14"/>
      <c r="B696" s="21"/>
      <c r="C696" s="14"/>
      <c r="D696" s="16"/>
      <c r="E696" s="16"/>
      <c r="F696" s="21"/>
      <c r="G696" s="21"/>
      <c r="H696" s="24"/>
      <c r="I696" s="24"/>
      <c r="J696" s="20"/>
      <c r="K696" s="20"/>
      <c r="L696" s="20"/>
      <c r="M696" s="20"/>
      <c r="N696" s="20" t="str">
        <f t="shared" si="1"/>
        <v>#</v>
      </c>
      <c r="O696" s="20"/>
      <c r="P696" s="21"/>
      <c r="Q696" s="14" t="str">
        <f t="shared" si="2"/>
        <v/>
      </c>
      <c r="R696" s="14"/>
    </row>
    <row r="697">
      <c r="A697" s="14"/>
      <c r="B697" s="21"/>
      <c r="C697" s="14"/>
      <c r="D697" s="16"/>
      <c r="E697" s="16"/>
      <c r="F697" s="21"/>
      <c r="G697" s="21"/>
      <c r="H697" s="24"/>
      <c r="I697" s="24"/>
      <c r="J697" s="20"/>
      <c r="K697" s="20"/>
      <c r="L697" s="20"/>
      <c r="M697" s="20"/>
      <c r="N697" s="20" t="str">
        <f t="shared" si="1"/>
        <v>#</v>
      </c>
      <c r="O697" s="20"/>
      <c r="P697" s="21"/>
      <c r="Q697" s="14" t="str">
        <f t="shared" si="2"/>
        <v/>
      </c>
      <c r="R697" s="14"/>
    </row>
    <row r="698">
      <c r="A698" s="14"/>
      <c r="B698" s="21"/>
      <c r="C698" s="14"/>
      <c r="D698" s="16"/>
      <c r="E698" s="16"/>
      <c r="F698" s="21"/>
      <c r="G698" s="21"/>
      <c r="H698" s="24"/>
      <c r="I698" s="24"/>
      <c r="J698" s="20"/>
      <c r="K698" s="20"/>
      <c r="L698" s="20"/>
      <c r="M698" s="20"/>
      <c r="N698" s="20" t="str">
        <f t="shared" si="1"/>
        <v>#</v>
      </c>
      <c r="O698" s="20"/>
      <c r="P698" s="21"/>
      <c r="Q698" s="14" t="str">
        <f t="shared" si="2"/>
        <v/>
      </c>
      <c r="R698" s="14"/>
    </row>
    <row r="699">
      <c r="A699" s="14"/>
      <c r="B699" s="21"/>
      <c r="C699" s="14"/>
      <c r="D699" s="16"/>
      <c r="E699" s="16"/>
      <c r="F699" s="21"/>
      <c r="G699" s="21"/>
      <c r="H699" s="24"/>
      <c r="I699" s="24"/>
      <c r="J699" s="20"/>
      <c r="K699" s="20"/>
      <c r="L699" s="20"/>
      <c r="M699" s="20"/>
      <c r="N699" s="20" t="str">
        <f t="shared" si="1"/>
        <v>#</v>
      </c>
      <c r="O699" s="20"/>
      <c r="P699" s="21"/>
      <c r="Q699" s="14" t="str">
        <f t="shared" si="2"/>
        <v/>
      </c>
      <c r="R699" s="14"/>
    </row>
    <row r="700">
      <c r="A700" s="14"/>
      <c r="B700" s="21"/>
      <c r="C700" s="14"/>
      <c r="D700" s="16"/>
      <c r="E700" s="16"/>
      <c r="F700" s="21"/>
      <c r="G700" s="21"/>
      <c r="H700" s="24"/>
      <c r="I700" s="24"/>
      <c r="J700" s="20"/>
      <c r="K700" s="20"/>
      <c r="L700" s="20"/>
      <c r="M700" s="20"/>
      <c r="N700" s="20" t="str">
        <f t="shared" si="1"/>
        <v>#</v>
      </c>
      <c r="O700" s="20"/>
      <c r="P700" s="21"/>
      <c r="Q700" s="14" t="str">
        <f t="shared" si="2"/>
        <v/>
      </c>
      <c r="R700" s="14"/>
    </row>
    <row r="701">
      <c r="A701" s="14"/>
      <c r="B701" s="21"/>
      <c r="C701" s="14"/>
      <c r="D701" s="16"/>
      <c r="E701" s="16"/>
      <c r="F701" s="21"/>
      <c r="G701" s="21"/>
      <c r="H701" s="24"/>
      <c r="I701" s="24"/>
      <c r="J701" s="20"/>
      <c r="K701" s="20"/>
      <c r="L701" s="20"/>
      <c r="M701" s="20"/>
      <c r="N701" s="20" t="str">
        <f t="shared" si="1"/>
        <v>#</v>
      </c>
      <c r="O701" s="20"/>
      <c r="P701" s="21"/>
      <c r="Q701" s="14" t="str">
        <f t="shared" si="2"/>
        <v/>
      </c>
      <c r="R701" s="14"/>
    </row>
    <row r="702">
      <c r="A702" s="14"/>
      <c r="B702" s="21"/>
      <c r="C702" s="14"/>
      <c r="D702" s="16"/>
      <c r="E702" s="16"/>
      <c r="F702" s="21"/>
      <c r="G702" s="21"/>
      <c r="H702" s="24"/>
      <c r="I702" s="24"/>
      <c r="J702" s="20"/>
      <c r="K702" s="20"/>
      <c r="L702" s="20"/>
      <c r="M702" s="20"/>
      <c r="N702" s="20" t="str">
        <f t="shared" si="1"/>
        <v>#</v>
      </c>
      <c r="O702" s="20"/>
      <c r="P702" s="21"/>
      <c r="Q702" s="14" t="str">
        <f t="shared" si="2"/>
        <v/>
      </c>
      <c r="R702" s="14"/>
    </row>
    <row r="703">
      <c r="A703" s="14"/>
      <c r="B703" s="21"/>
      <c r="C703" s="14"/>
      <c r="D703" s="16"/>
      <c r="E703" s="16"/>
      <c r="F703" s="21"/>
      <c r="G703" s="21"/>
      <c r="H703" s="24"/>
      <c r="I703" s="24"/>
      <c r="J703" s="20"/>
      <c r="K703" s="20"/>
      <c r="L703" s="20"/>
      <c r="M703" s="20"/>
      <c r="N703" s="20" t="str">
        <f t="shared" si="1"/>
        <v>#</v>
      </c>
      <c r="O703" s="20"/>
      <c r="P703" s="21"/>
      <c r="Q703" s="14" t="str">
        <f t="shared" si="2"/>
        <v/>
      </c>
      <c r="R703" s="14"/>
    </row>
    <row r="704">
      <c r="A704" s="14"/>
      <c r="B704" s="21"/>
      <c r="C704" s="14"/>
      <c r="D704" s="16"/>
      <c r="E704" s="16"/>
      <c r="F704" s="21"/>
      <c r="G704" s="21"/>
      <c r="H704" s="24"/>
      <c r="I704" s="24"/>
      <c r="J704" s="20"/>
      <c r="K704" s="20"/>
      <c r="L704" s="20"/>
      <c r="M704" s="20"/>
      <c r="N704" s="20" t="str">
        <f t="shared" si="1"/>
        <v>#</v>
      </c>
      <c r="O704" s="20"/>
      <c r="P704" s="21"/>
      <c r="Q704" s="14" t="str">
        <f t="shared" si="2"/>
        <v/>
      </c>
      <c r="R704" s="14"/>
    </row>
    <row r="705">
      <c r="A705" s="14"/>
      <c r="B705" s="21"/>
      <c r="C705" s="14"/>
      <c r="D705" s="16"/>
      <c r="E705" s="16"/>
      <c r="F705" s="21"/>
      <c r="G705" s="21"/>
      <c r="H705" s="24"/>
      <c r="I705" s="24"/>
      <c r="J705" s="20"/>
      <c r="K705" s="20"/>
      <c r="L705" s="20"/>
      <c r="M705" s="20"/>
      <c r="N705" s="20" t="str">
        <f t="shared" si="1"/>
        <v>#</v>
      </c>
      <c r="O705" s="20"/>
      <c r="P705" s="21"/>
      <c r="Q705" s="14" t="str">
        <f t="shared" si="2"/>
        <v/>
      </c>
      <c r="R705" s="14"/>
    </row>
    <row r="706">
      <c r="A706" s="14"/>
      <c r="B706" s="21"/>
      <c r="C706" s="14"/>
      <c r="D706" s="16"/>
      <c r="E706" s="16"/>
      <c r="F706" s="21"/>
      <c r="G706" s="21"/>
      <c r="H706" s="24"/>
      <c r="I706" s="24"/>
      <c r="J706" s="20"/>
      <c r="K706" s="20"/>
      <c r="L706" s="20"/>
      <c r="M706" s="20"/>
      <c r="N706" s="20" t="str">
        <f t="shared" si="1"/>
        <v>#</v>
      </c>
      <c r="O706" s="20"/>
      <c r="P706" s="21"/>
      <c r="Q706" s="14" t="str">
        <f t="shared" si="2"/>
        <v/>
      </c>
      <c r="R706" s="14"/>
    </row>
    <row r="707">
      <c r="A707" s="14"/>
      <c r="B707" s="21"/>
      <c r="C707" s="14"/>
      <c r="D707" s="16"/>
      <c r="E707" s="16"/>
      <c r="F707" s="21"/>
      <c r="G707" s="21"/>
      <c r="H707" s="24"/>
      <c r="I707" s="24"/>
      <c r="J707" s="20"/>
      <c r="K707" s="20"/>
      <c r="L707" s="20"/>
      <c r="M707" s="20"/>
      <c r="N707" s="20" t="str">
        <f t="shared" si="1"/>
        <v>#</v>
      </c>
      <c r="O707" s="20"/>
      <c r="P707" s="21"/>
      <c r="Q707" s="14" t="str">
        <f t="shared" si="2"/>
        <v/>
      </c>
      <c r="R707" s="14"/>
    </row>
    <row r="708">
      <c r="A708" s="14"/>
      <c r="B708" s="21"/>
      <c r="C708" s="14"/>
      <c r="D708" s="16"/>
      <c r="E708" s="16"/>
      <c r="F708" s="21"/>
      <c r="G708" s="21"/>
      <c r="H708" s="24"/>
      <c r="I708" s="24"/>
      <c r="J708" s="20"/>
      <c r="K708" s="20"/>
      <c r="L708" s="20"/>
      <c r="M708" s="20"/>
      <c r="N708" s="20" t="str">
        <f t="shared" si="1"/>
        <v>#</v>
      </c>
      <c r="O708" s="20"/>
      <c r="P708" s="21"/>
      <c r="Q708" s="14" t="str">
        <f t="shared" si="2"/>
        <v/>
      </c>
      <c r="R708" s="14"/>
    </row>
    <row r="709">
      <c r="A709" s="14"/>
      <c r="B709" s="21"/>
      <c r="C709" s="14"/>
      <c r="D709" s="16"/>
      <c r="E709" s="16"/>
      <c r="F709" s="21"/>
      <c r="G709" s="21"/>
      <c r="H709" s="24"/>
      <c r="I709" s="24"/>
      <c r="J709" s="20"/>
      <c r="K709" s="20"/>
      <c r="L709" s="20"/>
      <c r="M709" s="20"/>
      <c r="N709" s="20" t="str">
        <f t="shared" si="1"/>
        <v>#</v>
      </c>
      <c r="O709" s="20"/>
      <c r="P709" s="21"/>
      <c r="Q709" s="14" t="str">
        <f t="shared" si="2"/>
        <v/>
      </c>
      <c r="R709" s="14"/>
    </row>
    <row r="710">
      <c r="A710" s="14"/>
      <c r="B710" s="21"/>
      <c r="C710" s="14"/>
      <c r="D710" s="16"/>
      <c r="E710" s="16"/>
      <c r="F710" s="21"/>
      <c r="G710" s="21"/>
      <c r="H710" s="24"/>
      <c r="I710" s="24"/>
      <c r="J710" s="20"/>
      <c r="K710" s="20"/>
      <c r="L710" s="20"/>
      <c r="M710" s="20"/>
      <c r="N710" s="20" t="str">
        <f t="shared" si="1"/>
        <v>#</v>
      </c>
      <c r="O710" s="20"/>
      <c r="P710" s="21"/>
      <c r="Q710" s="14" t="str">
        <f t="shared" si="2"/>
        <v/>
      </c>
      <c r="R710" s="14"/>
    </row>
    <row r="711">
      <c r="A711" s="14"/>
      <c r="B711" s="21"/>
      <c r="C711" s="14"/>
      <c r="D711" s="16"/>
      <c r="E711" s="16"/>
      <c r="F711" s="21"/>
      <c r="G711" s="21"/>
      <c r="H711" s="24"/>
      <c r="I711" s="24"/>
      <c r="J711" s="20"/>
      <c r="K711" s="20"/>
      <c r="L711" s="20"/>
      <c r="M711" s="20"/>
      <c r="N711" s="20" t="str">
        <f t="shared" si="1"/>
        <v>#</v>
      </c>
      <c r="O711" s="20"/>
      <c r="P711" s="21"/>
      <c r="Q711" s="14" t="str">
        <f t="shared" si="2"/>
        <v/>
      </c>
      <c r="R711" s="14"/>
    </row>
    <row r="712">
      <c r="A712" s="14"/>
      <c r="B712" s="21"/>
      <c r="C712" s="14"/>
      <c r="D712" s="16"/>
      <c r="E712" s="16"/>
      <c r="F712" s="21"/>
      <c r="G712" s="21"/>
      <c r="H712" s="24"/>
      <c r="I712" s="24"/>
      <c r="J712" s="20"/>
      <c r="K712" s="20"/>
      <c r="L712" s="20"/>
      <c r="M712" s="20"/>
      <c r="N712" s="20" t="str">
        <f t="shared" si="1"/>
        <v>#</v>
      </c>
      <c r="O712" s="20"/>
      <c r="P712" s="21"/>
      <c r="Q712" s="14" t="str">
        <f t="shared" si="2"/>
        <v/>
      </c>
      <c r="R712" s="14"/>
    </row>
    <row r="713">
      <c r="A713" s="14"/>
      <c r="B713" s="21"/>
      <c r="C713" s="14"/>
      <c r="D713" s="16"/>
      <c r="E713" s="16"/>
      <c r="F713" s="21"/>
      <c r="G713" s="21"/>
      <c r="H713" s="24"/>
      <c r="I713" s="24"/>
      <c r="J713" s="20"/>
      <c r="K713" s="20"/>
      <c r="L713" s="20"/>
      <c r="M713" s="20"/>
      <c r="N713" s="20" t="str">
        <f t="shared" si="1"/>
        <v>#</v>
      </c>
      <c r="O713" s="20"/>
      <c r="P713" s="21"/>
      <c r="Q713" s="14" t="str">
        <f t="shared" si="2"/>
        <v/>
      </c>
      <c r="R713" s="14"/>
    </row>
    <row r="714">
      <c r="A714" s="14"/>
      <c r="B714" s="21"/>
      <c r="C714" s="14"/>
      <c r="D714" s="16"/>
      <c r="E714" s="16"/>
      <c r="F714" s="21"/>
      <c r="G714" s="21"/>
      <c r="H714" s="24"/>
      <c r="I714" s="24"/>
      <c r="J714" s="20"/>
      <c r="K714" s="20"/>
      <c r="L714" s="20"/>
      <c r="M714" s="20"/>
      <c r="N714" s="20" t="str">
        <f t="shared" si="1"/>
        <v>#</v>
      </c>
      <c r="O714" s="20"/>
      <c r="P714" s="21"/>
      <c r="Q714" s="14" t="str">
        <f t="shared" si="2"/>
        <v/>
      </c>
      <c r="R714" s="14"/>
    </row>
    <row r="715">
      <c r="A715" s="14"/>
      <c r="B715" s="21"/>
      <c r="C715" s="14"/>
      <c r="D715" s="16"/>
      <c r="E715" s="16"/>
      <c r="F715" s="21"/>
      <c r="G715" s="21"/>
      <c r="H715" s="24"/>
      <c r="I715" s="24"/>
      <c r="J715" s="20"/>
      <c r="K715" s="20"/>
      <c r="L715" s="20"/>
      <c r="M715" s="20"/>
      <c r="N715" s="20" t="str">
        <f t="shared" si="1"/>
        <v>#</v>
      </c>
      <c r="O715" s="20"/>
      <c r="P715" s="21"/>
      <c r="Q715" s="14" t="str">
        <f t="shared" si="2"/>
        <v/>
      </c>
      <c r="R715" s="14"/>
    </row>
    <row r="716">
      <c r="A716" s="14"/>
      <c r="B716" s="21"/>
      <c r="C716" s="14"/>
      <c r="D716" s="16"/>
      <c r="E716" s="16"/>
      <c r="F716" s="21"/>
      <c r="G716" s="21"/>
      <c r="H716" s="24"/>
      <c r="I716" s="24"/>
      <c r="J716" s="20"/>
      <c r="K716" s="20"/>
      <c r="L716" s="20"/>
      <c r="M716" s="20"/>
      <c r="N716" s="20" t="str">
        <f t="shared" si="1"/>
        <v>#</v>
      </c>
      <c r="O716" s="20"/>
      <c r="P716" s="21"/>
      <c r="Q716" s="14" t="str">
        <f t="shared" si="2"/>
        <v/>
      </c>
      <c r="R716" s="14"/>
    </row>
    <row r="717">
      <c r="A717" s="14"/>
      <c r="B717" s="21"/>
      <c r="C717" s="14"/>
      <c r="D717" s="16"/>
      <c r="E717" s="16"/>
      <c r="F717" s="21"/>
      <c r="G717" s="21"/>
      <c r="H717" s="24"/>
      <c r="I717" s="24"/>
      <c r="J717" s="20"/>
      <c r="K717" s="20"/>
      <c r="L717" s="20"/>
      <c r="M717" s="20"/>
      <c r="N717" s="20" t="str">
        <f t="shared" si="1"/>
        <v>#</v>
      </c>
      <c r="O717" s="20"/>
      <c r="P717" s="21"/>
      <c r="Q717" s="14" t="str">
        <f t="shared" si="2"/>
        <v/>
      </c>
      <c r="R717" s="14"/>
    </row>
    <row r="718">
      <c r="A718" s="14"/>
      <c r="B718" s="21"/>
      <c r="C718" s="14"/>
      <c r="D718" s="16"/>
      <c r="E718" s="16"/>
      <c r="F718" s="21"/>
      <c r="G718" s="21"/>
      <c r="H718" s="24"/>
      <c r="I718" s="24"/>
      <c r="J718" s="20"/>
      <c r="K718" s="20"/>
      <c r="L718" s="20"/>
      <c r="M718" s="20"/>
      <c r="N718" s="20" t="str">
        <f t="shared" si="1"/>
        <v>#</v>
      </c>
      <c r="O718" s="20"/>
      <c r="P718" s="21"/>
      <c r="Q718" s="14" t="str">
        <f t="shared" si="2"/>
        <v/>
      </c>
      <c r="R718" s="14"/>
    </row>
    <row r="719">
      <c r="A719" s="14"/>
      <c r="B719" s="21"/>
      <c r="C719" s="14"/>
      <c r="D719" s="16"/>
      <c r="E719" s="16"/>
      <c r="F719" s="21"/>
      <c r="G719" s="21"/>
      <c r="H719" s="24"/>
      <c r="I719" s="24"/>
      <c r="J719" s="20"/>
      <c r="K719" s="20"/>
      <c r="L719" s="20"/>
      <c r="M719" s="20"/>
      <c r="N719" s="20" t="str">
        <f t="shared" si="1"/>
        <v>#</v>
      </c>
      <c r="O719" s="20"/>
      <c r="P719" s="21"/>
      <c r="Q719" s="14" t="str">
        <f t="shared" si="2"/>
        <v/>
      </c>
      <c r="R719" s="14"/>
    </row>
    <row r="720">
      <c r="A720" s="14"/>
      <c r="B720" s="21"/>
      <c r="C720" s="14"/>
      <c r="D720" s="16"/>
      <c r="E720" s="16"/>
      <c r="F720" s="21"/>
      <c r="G720" s="21"/>
      <c r="H720" s="24"/>
      <c r="I720" s="24"/>
      <c r="J720" s="20"/>
      <c r="K720" s="20"/>
      <c r="L720" s="20"/>
      <c r="M720" s="20"/>
      <c r="N720" s="20" t="str">
        <f t="shared" si="1"/>
        <v>#</v>
      </c>
      <c r="O720" s="20"/>
      <c r="P720" s="21"/>
      <c r="Q720" s="14" t="str">
        <f t="shared" si="2"/>
        <v/>
      </c>
      <c r="R720" s="14"/>
    </row>
    <row r="721">
      <c r="A721" s="14"/>
      <c r="B721" s="21"/>
      <c r="C721" s="14"/>
      <c r="D721" s="16"/>
      <c r="E721" s="16"/>
      <c r="F721" s="21"/>
      <c r="G721" s="21"/>
      <c r="H721" s="24"/>
      <c r="I721" s="24"/>
      <c r="J721" s="20"/>
      <c r="K721" s="20"/>
      <c r="L721" s="20"/>
      <c r="M721" s="20"/>
      <c r="N721" s="20" t="str">
        <f t="shared" si="1"/>
        <v>#</v>
      </c>
      <c r="O721" s="20"/>
      <c r="P721" s="21"/>
      <c r="Q721" s="14" t="str">
        <f t="shared" si="2"/>
        <v/>
      </c>
      <c r="R721" s="14"/>
    </row>
    <row r="722">
      <c r="A722" s="14"/>
      <c r="B722" s="21"/>
      <c r="C722" s="14"/>
      <c r="D722" s="16"/>
      <c r="E722" s="16"/>
      <c r="F722" s="21"/>
      <c r="G722" s="21"/>
      <c r="H722" s="24"/>
      <c r="I722" s="24"/>
      <c r="J722" s="20"/>
      <c r="K722" s="20"/>
      <c r="L722" s="20"/>
      <c r="M722" s="20"/>
      <c r="N722" s="20" t="str">
        <f t="shared" si="1"/>
        <v>#</v>
      </c>
      <c r="O722" s="20"/>
      <c r="P722" s="21"/>
      <c r="Q722" s="14" t="str">
        <f t="shared" si="2"/>
        <v/>
      </c>
      <c r="R722" s="14"/>
    </row>
    <row r="723">
      <c r="A723" s="14"/>
      <c r="B723" s="21"/>
      <c r="C723" s="14"/>
      <c r="D723" s="16"/>
      <c r="E723" s="16"/>
      <c r="F723" s="21"/>
      <c r="G723" s="21"/>
      <c r="H723" s="24"/>
      <c r="I723" s="24"/>
      <c r="J723" s="20"/>
      <c r="K723" s="20"/>
      <c r="L723" s="20"/>
      <c r="M723" s="20"/>
      <c r="N723" s="20" t="str">
        <f t="shared" si="1"/>
        <v>#</v>
      </c>
      <c r="O723" s="20"/>
      <c r="P723" s="21"/>
      <c r="Q723" s="14" t="str">
        <f t="shared" si="2"/>
        <v/>
      </c>
      <c r="R723" s="14"/>
    </row>
    <row r="724">
      <c r="A724" s="14"/>
      <c r="B724" s="21"/>
      <c r="C724" s="14"/>
      <c r="D724" s="16"/>
      <c r="E724" s="16"/>
      <c r="F724" s="21"/>
      <c r="G724" s="21"/>
      <c r="H724" s="24"/>
      <c r="I724" s="24"/>
      <c r="J724" s="20"/>
      <c r="K724" s="20"/>
      <c r="L724" s="20"/>
      <c r="M724" s="20"/>
      <c r="N724" s="20" t="str">
        <f t="shared" si="1"/>
        <v>#</v>
      </c>
      <c r="O724" s="20"/>
      <c r="P724" s="21"/>
      <c r="Q724" s="14" t="str">
        <f t="shared" si="2"/>
        <v/>
      </c>
      <c r="R724" s="14"/>
    </row>
    <row r="725">
      <c r="A725" s="14"/>
      <c r="B725" s="21"/>
      <c r="C725" s="14"/>
      <c r="D725" s="16"/>
      <c r="E725" s="16"/>
      <c r="F725" s="21"/>
      <c r="G725" s="21"/>
      <c r="H725" s="24"/>
      <c r="I725" s="24"/>
      <c r="J725" s="20"/>
      <c r="K725" s="20"/>
      <c r="L725" s="20"/>
      <c r="M725" s="20"/>
      <c r="N725" s="20" t="str">
        <f t="shared" si="1"/>
        <v>#</v>
      </c>
      <c r="O725" s="20"/>
      <c r="P725" s="21"/>
      <c r="Q725" s="14" t="str">
        <f t="shared" si="2"/>
        <v/>
      </c>
      <c r="R725" s="14"/>
    </row>
    <row r="726">
      <c r="A726" s="14"/>
      <c r="B726" s="21"/>
      <c r="C726" s="14"/>
      <c r="D726" s="16"/>
      <c r="E726" s="16"/>
      <c r="F726" s="21"/>
      <c r="G726" s="21"/>
      <c r="H726" s="24"/>
      <c r="I726" s="24"/>
      <c r="J726" s="20"/>
      <c r="K726" s="20"/>
      <c r="L726" s="20"/>
      <c r="M726" s="20"/>
      <c r="N726" s="20" t="str">
        <f t="shared" si="1"/>
        <v>#</v>
      </c>
      <c r="O726" s="20"/>
      <c r="P726" s="21"/>
      <c r="Q726" s="14" t="str">
        <f t="shared" si="2"/>
        <v/>
      </c>
      <c r="R726" s="14"/>
    </row>
    <row r="727">
      <c r="A727" s="14"/>
      <c r="B727" s="21"/>
      <c r="C727" s="14"/>
      <c r="D727" s="16"/>
      <c r="E727" s="16"/>
      <c r="F727" s="21"/>
      <c r="G727" s="21"/>
      <c r="H727" s="24"/>
      <c r="I727" s="24"/>
      <c r="J727" s="20"/>
      <c r="K727" s="20"/>
      <c r="L727" s="20"/>
      <c r="M727" s="20"/>
      <c r="N727" s="20" t="str">
        <f t="shared" si="1"/>
        <v>#</v>
      </c>
      <c r="O727" s="20"/>
      <c r="P727" s="21"/>
      <c r="Q727" s="14" t="str">
        <f t="shared" si="2"/>
        <v/>
      </c>
      <c r="R727" s="14"/>
    </row>
    <row r="728">
      <c r="A728" s="14"/>
      <c r="B728" s="21"/>
      <c r="C728" s="14"/>
      <c r="D728" s="16"/>
      <c r="E728" s="16"/>
      <c r="F728" s="21"/>
      <c r="G728" s="21"/>
      <c r="H728" s="24"/>
      <c r="I728" s="24"/>
      <c r="J728" s="20"/>
      <c r="K728" s="20"/>
      <c r="L728" s="20"/>
      <c r="M728" s="20"/>
      <c r="N728" s="20" t="str">
        <f t="shared" si="1"/>
        <v>#</v>
      </c>
      <c r="O728" s="20"/>
      <c r="P728" s="21"/>
      <c r="Q728" s="14" t="str">
        <f t="shared" si="2"/>
        <v/>
      </c>
      <c r="R728" s="14"/>
    </row>
    <row r="729">
      <c r="A729" s="14"/>
      <c r="B729" s="21"/>
      <c r="C729" s="14"/>
      <c r="D729" s="16"/>
      <c r="E729" s="16"/>
      <c r="F729" s="21"/>
      <c r="G729" s="21"/>
      <c r="H729" s="24"/>
      <c r="I729" s="24"/>
      <c r="J729" s="20"/>
      <c r="K729" s="20"/>
      <c r="L729" s="20"/>
      <c r="M729" s="20"/>
      <c r="N729" s="20" t="str">
        <f t="shared" si="1"/>
        <v>#</v>
      </c>
      <c r="O729" s="20"/>
      <c r="P729" s="21"/>
      <c r="Q729" s="14" t="str">
        <f t="shared" si="2"/>
        <v/>
      </c>
      <c r="R729" s="14"/>
    </row>
    <row r="730">
      <c r="A730" s="14"/>
      <c r="B730" s="21"/>
      <c r="C730" s="14"/>
      <c r="D730" s="16"/>
      <c r="E730" s="16"/>
      <c r="F730" s="21"/>
      <c r="G730" s="21"/>
      <c r="H730" s="24"/>
      <c r="I730" s="24"/>
      <c r="J730" s="20"/>
      <c r="K730" s="20"/>
      <c r="L730" s="20"/>
      <c r="M730" s="20"/>
      <c r="N730" s="20" t="str">
        <f t="shared" si="1"/>
        <v>#</v>
      </c>
      <c r="O730" s="20"/>
      <c r="P730" s="21"/>
      <c r="Q730" s="14" t="str">
        <f t="shared" si="2"/>
        <v/>
      </c>
      <c r="R730" s="14"/>
    </row>
    <row r="731">
      <c r="A731" s="14"/>
      <c r="B731" s="21"/>
      <c r="C731" s="14"/>
      <c r="D731" s="16"/>
      <c r="E731" s="16"/>
      <c r="F731" s="21"/>
      <c r="G731" s="21"/>
      <c r="H731" s="24"/>
      <c r="I731" s="24"/>
      <c r="J731" s="20"/>
      <c r="K731" s="20"/>
      <c r="L731" s="20"/>
      <c r="M731" s="20"/>
      <c r="N731" s="20" t="str">
        <f t="shared" si="1"/>
        <v>#</v>
      </c>
      <c r="O731" s="20"/>
      <c r="P731" s="21"/>
      <c r="Q731" s="14" t="str">
        <f t="shared" si="2"/>
        <v/>
      </c>
      <c r="R731" s="14"/>
    </row>
    <row r="732">
      <c r="A732" s="14"/>
      <c r="B732" s="21"/>
      <c r="C732" s="14"/>
      <c r="D732" s="16"/>
      <c r="E732" s="16"/>
      <c r="F732" s="21"/>
      <c r="G732" s="21"/>
      <c r="H732" s="24"/>
      <c r="I732" s="24"/>
      <c r="J732" s="20"/>
      <c r="K732" s="20"/>
      <c r="L732" s="20"/>
      <c r="M732" s="20"/>
      <c r="N732" s="20" t="str">
        <f t="shared" si="1"/>
        <v>#</v>
      </c>
      <c r="O732" s="20"/>
      <c r="P732" s="21"/>
      <c r="Q732" s="14" t="str">
        <f t="shared" si="2"/>
        <v/>
      </c>
      <c r="R732" s="14"/>
    </row>
    <row r="733">
      <c r="A733" s="14"/>
      <c r="B733" s="21"/>
      <c r="C733" s="14"/>
      <c r="D733" s="16"/>
      <c r="E733" s="16"/>
      <c r="F733" s="21"/>
      <c r="G733" s="21"/>
      <c r="H733" s="24"/>
      <c r="I733" s="24"/>
      <c r="J733" s="20"/>
      <c r="K733" s="20"/>
      <c r="L733" s="20"/>
      <c r="M733" s="20"/>
      <c r="N733" s="20" t="str">
        <f t="shared" si="1"/>
        <v>#</v>
      </c>
      <c r="O733" s="20"/>
      <c r="P733" s="21"/>
      <c r="Q733" s="14" t="str">
        <f t="shared" si="2"/>
        <v/>
      </c>
      <c r="R733" s="14"/>
    </row>
    <row r="734">
      <c r="A734" s="14"/>
      <c r="B734" s="21"/>
      <c r="C734" s="14"/>
      <c r="D734" s="16"/>
      <c r="E734" s="16"/>
      <c r="F734" s="21"/>
      <c r="G734" s="21"/>
      <c r="H734" s="24"/>
      <c r="I734" s="24"/>
      <c r="J734" s="20"/>
      <c r="K734" s="20"/>
      <c r="L734" s="20"/>
      <c r="M734" s="20"/>
      <c r="N734" s="20" t="str">
        <f t="shared" si="1"/>
        <v>#</v>
      </c>
      <c r="O734" s="20"/>
      <c r="P734" s="21"/>
      <c r="Q734" s="14" t="str">
        <f t="shared" si="2"/>
        <v/>
      </c>
      <c r="R734" s="14"/>
    </row>
    <row r="735">
      <c r="A735" s="14"/>
      <c r="B735" s="21"/>
      <c r="C735" s="14"/>
      <c r="D735" s="16"/>
      <c r="E735" s="16"/>
      <c r="F735" s="21"/>
      <c r="G735" s="21"/>
      <c r="H735" s="24"/>
      <c r="I735" s="24"/>
      <c r="J735" s="20"/>
      <c r="K735" s="20"/>
      <c r="L735" s="20"/>
      <c r="M735" s="20"/>
      <c r="N735" s="20" t="str">
        <f t="shared" si="1"/>
        <v>#</v>
      </c>
      <c r="O735" s="20"/>
      <c r="P735" s="21"/>
      <c r="Q735" s="14" t="str">
        <f t="shared" si="2"/>
        <v/>
      </c>
      <c r="R735" s="14"/>
    </row>
    <row r="736">
      <c r="A736" s="14"/>
      <c r="B736" s="21"/>
      <c r="C736" s="14"/>
      <c r="D736" s="16"/>
      <c r="E736" s="16"/>
      <c r="F736" s="21"/>
      <c r="G736" s="21"/>
      <c r="H736" s="24"/>
      <c r="I736" s="24"/>
      <c r="J736" s="20"/>
      <c r="K736" s="20"/>
      <c r="L736" s="20"/>
      <c r="M736" s="20"/>
      <c r="N736" s="20" t="str">
        <f t="shared" si="1"/>
        <v>#</v>
      </c>
      <c r="O736" s="20"/>
      <c r="P736" s="21"/>
      <c r="Q736" s="14" t="str">
        <f t="shared" si="2"/>
        <v/>
      </c>
      <c r="R736" s="14"/>
    </row>
    <row r="737">
      <c r="A737" s="14"/>
      <c r="B737" s="21"/>
      <c r="C737" s="14"/>
      <c r="D737" s="16"/>
      <c r="E737" s="16"/>
      <c r="F737" s="21"/>
      <c r="G737" s="21"/>
      <c r="H737" s="24"/>
      <c r="I737" s="24"/>
      <c r="J737" s="20"/>
      <c r="K737" s="20"/>
      <c r="L737" s="20"/>
      <c r="M737" s="20"/>
      <c r="N737" s="20" t="str">
        <f t="shared" si="1"/>
        <v>#</v>
      </c>
      <c r="O737" s="20"/>
      <c r="P737" s="21"/>
      <c r="Q737" s="14" t="str">
        <f t="shared" si="2"/>
        <v/>
      </c>
      <c r="R737" s="14"/>
    </row>
    <row r="738">
      <c r="A738" s="14"/>
      <c r="B738" s="21"/>
      <c r="C738" s="14"/>
      <c r="D738" s="16"/>
      <c r="E738" s="16"/>
      <c r="F738" s="21"/>
      <c r="G738" s="21"/>
      <c r="H738" s="24"/>
      <c r="I738" s="24"/>
      <c r="J738" s="20"/>
      <c r="K738" s="20"/>
      <c r="L738" s="20"/>
      <c r="M738" s="20"/>
      <c r="N738" s="20" t="str">
        <f t="shared" si="1"/>
        <v>#</v>
      </c>
      <c r="O738" s="20"/>
      <c r="P738" s="21"/>
      <c r="Q738" s="14" t="str">
        <f t="shared" si="2"/>
        <v/>
      </c>
      <c r="R738" s="14"/>
    </row>
    <row r="739">
      <c r="A739" s="14"/>
      <c r="B739" s="21"/>
      <c r="C739" s="14"/>
      <c r="D739" s="16"/>
      <c r="E739" s="16"/>
      <c r="F739" s="21"/>
      <c r="G739" s="21"/>
      <c r="H739" s="24"/>
      <c r="I739" s="24"/>
      <c r="J739" s="20"/>
      <c r="K739" s="20"/>
      <c r="L739" s="20"/>
      <c r="M739" s="20"/>
      <c r="N739" s="20" t="str">
        <f t="shared" si="1"/>
        <v>#</v>
      </c>
      <c r="O739" s="20"/>
      <c r="P739" s="21"/>
      <c r="Q739" s="14" t="str">
        <f t="shared" si="2"/>
        <v/>
      </c>
      <c r="R739" s="14"/>
    </row>
    <row r="740">
      <c r="A740" s="14"/>
      <c r="B740" s="21"/>
      <c r="C740" s="14"/>
      <c r="D740" s="16"/>
      <c r="E740" s="16"/>
      <c r="F740" s="21"/>
      <c r="G740" s="21"/>
      <c r="H740" s="24"/>
      <c r="I740" s="24"/>
      <c r="J740" s="20"/>
      <c r="K740" s="20"/>
      <c r="L740" s="20"/>
      <c r="M740" s="20"/>
      <c r="N740" s="20" t="str">
        <f t="shared" si="1"/>
        <v>#</v>
      </c>
      <c r="O740" s="20"/>
      <c r="P740" s="21"/>
      <c r="Q740" s="14" t="str">
        <f t="shared" si="2"/>
        <v/>
      </c>
      <c r="R740" s="14"/>
    </row>
    <row r="741">
      <c r="A741" s="14"/>
      <c r="B741" s="21"/>
      <c r="C741" s="14"/>
      <c r="D741" s="16"/>
      <c r="E741" s="16"/>
      <c r="F741" s="21"/>
      <c r="G741" s="21"/>
      <c r="H741" s="24"/>
      <c r="I741" s="24"/>
      <c r="J741" s="20"/>
      <c r="K741" s="20"/>
      <c r="L741" s="20"/>
      <c r="M741" s="20"/>
      <c r="N741" s="20" t="str">
        <f t="shared" si="1"/>
        <v>#</v>
      </c>
      <c r="O741" s="20"/>
      <c r="P741" s="21"/>
      <c r="Q741" s="14" t="str">
        <f t="shared" si="2"/>
        <v/>
      </c>
      <c r="R741" s="14"/>
    </row>
    <row r="742">
      <c r="A742" s="14"/>
      <c r="B742" s="21"/>
      <c r="C742" s="14"/>
      <c r="D742" s="16"/>
      <c r="E742" s="16"/>
      <c r="F742" s="21"/>
      <c r="G742" s="21"/>
      <c r="H742" s="24"/>
      <c r="I742" s="24"/>
      <c r="J742" s="20"/>
      <c r="K742" s="20"/>
      <c r="L742" s="20"/>
      <c r="M742" s="20"/>
      <c r="N742" s="20" t="str">
        <f t="shared" si="1"/>
        <v>#</v>
      </c>
      <c r="O742" s="20"/>
      <c r="P742" s="21"/>
      <c r="Q742" s="14" t="str">
        <f t="shared" si="2"/>
        <v/>
      </c>
      <c r="R742" s="14"/>
    </row>
    <row r="743">
      <c r="A743" s="14"/>
      <c r="B743" s="21"/>
      <c r="C743" s="14"/>
      <c r="D743" s="16"/>
      <c r="E743" s="16"/>
      <c r="F743" s="21"/>
      <c r="G743" s="21"/>
      <c r="H743" s="24"/>
      <c r="I743" s="24"/>
      <c r="J743" s="20"/>
      <c r="K743" s="20"/>
      <c r="L743" s="20"/>
      <c r="M743" s="20"/>
      <c r="N743" s="20" t="str">
        <f t="shared" si="1"/>
        <v>#</v>
      </c>
      <c r="O743" s="20"/>
      <c r="P743" s="21"/>
      <c r="Q743" s="14" t="str">
        <f t="shared" si="2"/>
        <v/>
      </c>
      <c r="R743" s="14"/>
    </row>
    <row r="744">
      <c r="A744" s="14"/>
      <c r="B744" s="21"/>
      <c r="C744" s="14"/>
      <c r="D744" s="16"/>
      <c r="E744" s="16"/>
      <c r="F744" s="21"/>
      <c r="G744" s="21"/>
      <c r="H744" s="24"/>
      <c r="I744" s="24"/>
      <c r="J744" s="20"/>
      <c r="K744" s="20"/>
      <c r="L744" s="20"/>
      <c r="M744" s="20"/>
      <c r="N744" s="20" t="str">
        <f t="shared" si="1"/>
        <v>#</v>
      </c>
      <c r="O744" s="20"/>
      <c r="P744" s="21"/>
      <c r="Q744" s="14" t="str">
        <f t="shared" si="2"/>
        <v/>
      </c>
      <c r="R744" s="14"/>
    </row>
    <row r="745">
      <c r="A745" s="14"/>
      <c r="B745" s="21"/>
      <c r="C745" s="14"/>
      <c r="D745" s="16"/>
      <c r="E745" s="16"/>
      <c r="F745" s="21"/>
      <c r="G745" s="21"/>
      <c r="H745" s="24"/>
      <c r="I745" s="24"/>
      <c r="J745" s="20"/>
      <c r="K745" s="20"/>
      <c r="L745" s="20"/>
      <c r="M745" s="20"/>
      <c r="N745" s="20" t="str">
        <f t="shared" si="1"/>
        <v>#</v>
      </c>
      <c r="O745" s="20"/>
      <c r="P745" s="21"/>
      <c r="Q745" s="14" t="str">
        <f t="shared" si="2"/>
        <v/>
      </c>
      <c r="R745" s="14"/>
    </row>
    <row r="746">
      <c r="A746" s="14"/>
      <c r="B746" s="21"/>
      <c r="C746" s="14"/>
      <c r="D746" s="16"/>
      <c r="E746" s="16"/>
      <c r="F746" s="21"/>
      <c r="G746" s="21"/>
      <c r="H746" s="24"/>
      <c r="I746" s="24"/>
      <c r="J746" s="20"/>
      <c r="K746" s="20"/>
      <c r="L746" s="20"/>
      <c r="M746" s="20"/>
      <c r="N746" s="20" t="str">
        <f t="shared" si="1"/>
        <v>#</v>
      </c>
      <c r="O746" s="20"/>
      <c r="P746" s="21"/>
      <c r="Q746" s="14" t="str">
        <f t="shared" si="2"/>
        <v/>
      </c>
      <c r="R746" s="14"/>
    </row>
    <row r="747">
      <c r="A747" s="14"/>
      <c r="B747" s="21"/>
      <c r="C747" s="14"/>
      <c r="D747" s="16"/>
      <c r="E747" s="16"/>
      <c r="F747" s="21"/>
      <c r="G747" s="21"/>
      <c r="H747" s="24"/>
      <c r="I747" s="24"/>
      <c r="J747" s="20"/>
      <c r="K747" s="20"/>
      <c r="L747" s="20"/>
      <c r="M747" s="20"/>
      <c r="N747" s="20" t="str">
        <f t="shared" si="1"/>
        <v>#</v>
      </c>
      <c r="O747" s="20"/>
      <c r="P747" s="21"/>
      <c r="Q747" s="14" t="str">
        <f t="shared" si="2"/>
        <v/>
      </c>
      <c r="R747" s="14"/>
    </row>
    <row r="748">
      <c r="A748" s="14"/>
      <c r="B748" s="21"/>
      <c r="C748" s="14"/>
      <c r="D748" s="16"/>
      <c r="E748" s="16"/>
      <c r="F748" s="21"/>
      <c r="G748" s="21"/>
      <c r="H748" s="24"/>
      <c r="I748" s="24"/>
      <c r="J748" s="20"/>
      <c r="K748" s="20"/>
      <c r="L748" s="20"/>
      <c r="M748" s="20"/>
      <c r="N748" s="20" t="str">
        <f t="shared" si="1"/>
        <v>#</v>
      </c>
      <c r="O748" s="20"/>
      <c r="P748" s="21"/>
      <c r="Q748" s="14" t="str">
        <f t="shared" si="2"/>
        <v/>
      </c>
      <c r="R748" s="14"/>
    </row>
    <row r="749">
      <c r="A749" s="14"/>
      <c r="B749" s="21"/>
      <c r="C749" s="14"/>
      <c r="D749" s="16"/>
      <c r="E749" s="16"/>
      <c r="F749" s="21"/>
      <c r="G749" s="21"/>
      <c r="H749" s="24"/>
      <c r="I749" s="24"/>
      <c r="J749" s="20"/>
      <c r="K749" s="20"/>
      <c r="L749" s="20"/>
      <c r="M749" s="20"/>
      <c r="N749" s="20" t="str">
        <f t="shared" si="1"/>
        <v>#</v>
      </c>
      <c r="O749" s="20"/>
      <c r="P749" s="21"/>
      <c r="Q749" s="14" t="str">
        <f t="shared" si="2"/>
        <v/>
      </c>
      <c r="R749" s="14"/>
    </row>
    <row r="750">
      <c r="A750" s="14"/>
      <c r="B750" s="21"/>
      <c r="C750" s="14"/>
      <c r="D750" s="16"/>
      <c r="E750" s="16"/>
      <c r="F750" s="21"/>
      <c r="G750" s="21"/>
      <c r="H750" s="24"/>
      <c r="I750" s="24"/>
      <c r="J750" s="20"/>
      <c r="K750" s="20"/>
      <c r="L750" s="20"/>
      <c r="M750" s="20"/>
      <c r="N750" s="20" t="str">
        <f t="shared" si="1"/>
        <v>#</v>
      </c>
      <c r="O750" s="20"/>
      <c r="P750" s="21"/>
      <c r="Q750" s="14" t="str">
        <f t="shared" si="2"/>
        <v/>
      </c>
      <c r="R750" s="14"/>
    </row>
    <row r="751">
      <c r="A751" s="14"/>
      <c r="B751" s="21"/>
      <c r="C751" s="14"/>
      <c r="D751" s="16"/>
      <c r="E751" s="16"/>
      <c r="F751" s="21"/>
      <c r="G751" s="21"/>
      <c r="H751" s="24"/>
      <c r="I751" s="24"/>
      <c r="J751" s="20"/>
      <c r="K751" s="20"/>
      <c r="L751" s="20"/>
      <c r="M751" s="20"/>
      <c r="N751" s="20" t="str">
        <f t="shared" si="1"/>
        <v>#</v>
      </c>
      <c r="O751" s="20"/>
      <c r="P751" s="21"/>
      <c r="Q751" s="14" t="str">
        <f t="shared" si="2"/>
        <v/>
      </c>
      <c r="R751" s="14"/>
    </row>
    <row r="752">
      <c r="A752" s="14"/>
      <c r="B752" s="21"/>
      <c r="C752" s="14"/>
      <c r="D752" s="16"/>
      <c r="E752" s="16"/>
      <c r="F752" s="21"/>
      <c r="G752" s="21"/>
      <c r="H752" s="24"/>
      <c r="I752" s="24"/>
      <c r="J752" s="20"/>
      <c r="K752" s="20"/>
      <c r="L752" s="20"/>
      <c r="M752" s="20"/>
      <c r="N752" s="20" t="str">
        <f t="shared" si="1"/>
        <v>#</v>
      </c>
      <c r="O752" s="20"/>
      <c r="P752" s="21"/>
      <c r="Q752" s="14" t="str">
        <f t="shared" si="2"/>
        <v/>
      </c>
      <c r="R752" s="14"/>
    </row>
    <row r="753">
      <c r="A753" s="14"/>
      <c r="B753" s="21"/>
      <c r="C753" s="14"/>
      <c r="D753" s="16"/>
      <c r="E753" s="16"/>
      <c r="F753" s="21"/>
      <c r="G753" s="21"/>
      <c r="H753" s="24"/>
      <c r="I753" s="24"/>
      <c r="J753" s="20"/>
      <c r="K753" s="20"/>
      <c r="L753" s="20"/>
      <c r="M753" s="20"/>
      <c r="N753" s="20" t="str">
        <f t="shared" si="1"/>
        <v>#</v>
      </c>
      <c r="O753" s="20"/>
      <c r="P753" s="21"/>
      <c r="Q753" s="14" t="str">
        <f t="shared" si="2"/>
        <v/>
      </c>
      <c r="R753" s="14"/>
    </row>
    <row r="754">
      <c r="A754" s="14"/>
      <c r="B754" s="21"/>
      <c r="C754" s="14"/>
      <c r="D754" s="16"/>
      <c r="E754" s="16"/>
      <c r="F754" s="21"/>
      <c r="G754" s="21"/>
      <c r="H754" s="24"/>
      <c r="I754" s="24"/>
      <c r="J754" s="20"/>
      <c r="K754" s="20"/>
      <c r="L754" s="20"/>
      <c r="M754" s="20"/>
      <c r="N754" s="20" t="str">
        <f t="shared" si="1"/>
        <v>#</v>
      </c>
      <c r="O754" s="20"/>
      <c r="P754" s="21"/>
      <c r="Q754" s="14" t="str">
        <f t="shared" si="2"/>
        <v/>
      </c>
      <c r="R754" s="14"/>
    </row>
    <row r="755">
      <c r="A755" s="14"/>
      <c r="B755" s="21"/>
      <c r="C755" s="14"/>
      <c r="D755" s="16"/>
      <c r="E755" s="16"/>
      <c r="F755" s="21"/>
      <c r="G755" s="21"/>
      <c r="H755" s="24"/>
      <c r="I755" s="24"/>
      <c r="J755" s="20"/>
      <c r="K755" s="20"/>
      <c r="L755" s="20"/>
      <c r="M755" s="20"/>
      <c r="N755" s="20" t="str">
        <f t="shared" si="1"/>
        <v>#</v>
      </c>
      <c r="O755" s="20"/>
      <c r="P755" s="21"/>
      <c r="Q755" s="14" t="str">
        <f t="shared" si="2"/>
        <v/>
      </c>
      <c r="R755" s="14"/>
    </row>
    <row r="756">
      <c r="A756" s="14"/>
      <c r="B756" s="21"/>
      <c r="C756" s="14"/>
      <c r="D756" s="16"/>
      <c r="E756" s="16"/>
      <c r="F756" s="21"/>
      <c r="G756" s="21"/>
      <c r="H756" s="24"/>
      <c r="I756" s="24"/>
      <c r="J756" s="20"/>
      <c r="K756" s="20"/>
      <c r="L756" s="20"/>
      <c r="M756" s="20"/>
      <c r="N756" s="20" t="str">
        <f t="shared" si="1"/>
        <v>#</v>
      </c>
      <c r="O756" s="20"/>
      <c r="P756" s="21"/>
      <c r="Q756" s="14" t="str">
        <f t="shared" si="2"/>
        <v/>
      </c>
      <c r="R756" s="14"/>
    </row>
    <row r="757">
      <c r="A757" s="14"/>
      <c r="B757" s="21"/>
      <c r="C757" s="14"/>
      <c r="D757" s="16"/>
      <c r="E757" s="16"/>
      <c r="F757" s="21"/>
      <c r="G757" s="21"/>
      <c r="H757" s="24"/>
      <c r="I757" s="24"/>
      <c r="J757" s="20"/>
      <c r="K757" s="20"/>
      <c r="L757" s="20"/>
      <c r="M757" s="20"/>
      <c r="N757" s="20" t="str">
        <f t="shared" si="1"/>
        <v>#</v>
      </c>
      <c r="O757" s="20"/>
      <c r="P757" s="21"/>
      <c r="Q757" s="14" t="str">
        <f t="shared" si="2"/>
        <v/>
      </c>
      <c r="R757" s="14"/>
    </row>
    <row r="758">
      <c r="A758" s="14"/>
      <c r="B758" s="21"/>
      <c r="C758" s="14"/>
      <c r="D758" s="16"/>
      <c r="E758" s="16"/>
      <c r="F758" s="21"/>
      <c r="G758" s="21"/>
      <c r="H758" s="24"/>
      <c r="I758" s="24"/>
      <c r="J758" s="20"/>
      <c r="K758" s="20"/>
      <c r="L758" s="20"/>
      <c r="M758" s="20"/>
      <c r="N758" s="20" t="str">
        <f t="shared" si="1"/>
        <v>#</v>
      </c>
      <c r="O758" s="20"/>
      <c r="P758" s="21"/>
      <c r="Q758" s="14" t="str">
        <f t="shared" si="2"/>
        <v/>
      </c>
      <c r="R758" s="14"/>
    </row>
    <row r="759">
      <c r="A759" s="14"/>
      <c r="B759" s="21"/>
      <c r="C759" s="14"/>
      <c r="D759" s="16"/>
      <c r="E759" s="16"/>
      <c r="F759" s="21"/>
      <c r="G759" s="21"/>
      <c r="H759" s="24"/>
      <c r="I759" s="24"/>
      <c r="J759" s="20"/>
      <c r="K759" s="20"/>
      <c r="L759" s="20"/>
      <c r="M759" s="20"/>
      <c r="N759" s="20" t="str">
        <f t="shared" si="1"/>
        <v>#</v>
      </c>
      <c r="O759" s="20"/>
      <c r="P759" s="21"/>
      <c r="Q759" s="14" t="str">
        <f t="shared" si="2"/>
        <v/>
      </c>
      <c r="R759" s="14"/>
    </row>
    <row r="760">
      <c r="A760" s="14"/>
      <c r="B760" s="21"/>
      <c r="C760" s="14"/>
      <c r="D760" s="16"/>
      <c r="E760" s="16"/>
      <c r="F760" s="21"/>
      <c r="G760" s="21"/>
      <c r="H760" s="24"/>
      <c r="I760" s="24"/>
      <c r="J760" s="20"/>
      <c r="K760" s="20"/>
      <c r="L760" s="20"/>
      <c r="M760" s="20"/>
      <c r="N760" s="20" t="str">
        <f t="shared" si="1"/>
        <v>#</v>
      </c>
      <c r="O760" s="20"/>
      <c r="P760" s="21"/>
      <c r="Q760" s="14" t="str">
        <f t="shared" si="2"/>
        <v/>
      </c>
      <c r="R760" s="14"/>
    </row>
    <row r="761">
      <c r="A761" s="14"/>
      <c r="B761" s="21"/>
      <c r="C761" s="14"/>
      <c r="D761" s="16"/>
      <c r="E761" s="16"/>
      <c r="F761" s="21"/>
      <c r="G761" s="21"/>
      <c r="H761" s="24"/>
      <c r="I761" s="24"/>
      <c r="J761" s="20"/>
      <c r="K761" s="20"/>
      <c r="L761" s="20"/>
      <c r="M761" s="20"/>
      <c r="N761" s="20" t="str">
        <f t="shared" si="1"/>
        <v>#</v>
      </c>
      <c r="O761" s="20"/>
      <c r="P761" s="21"/>
      <c r="Q761" s="14" t="str">
        <f t="shared" si="2"/>
        <v/>
      </c>
      <c r="R761" s="14"/>
    </row>
    <row r="762">
      <c r="A762" s="14"/>
      <c r="B762" s="21"/>
      <c r="C762" s="14"/>
      <c r="D762" s="16"/>
      <c r="E762" s="16"/>
      <c r="F762" s="21"/>
      <c r="G762" s="21"/>
      <c r="H762" s="24"/>
      <c r="I762" s="24"/>
      <c r="J762" s="20"/>
      <c r="K762" s="20"/>
      <c r="L762" s="20"/>
      <c r="M762" s="20"/>
      <c r="N762" s="20" t="str">
        <f t="shared" si="1"/>
        <v>#</v>
      </c>
      <c r="O762" s="20"/>
      <c r="P762" s="21"/>
      <c r="Q762" s="14" t="str">
        <f t="shared" si="2"/>
        <v/>
      </c>
      <c r="R762" s="14"/>
    </row>
    <row r="763">
      <c r="A763" s="14"/>
      <c r="B763" s="21"/>
      <c r="C763" s="14"/>
      <c r="D763" s="16"/>
      <c r="E763" s="16"/>
      <c r="F763" s="21"/>
      <c r="G763" s="21"/>
      <c r="H763" s="24"/>
      <c r="I763" s="24"/>
      <c r="J763" s="20"/>
      <c r="K763" s="20"/>
      <c r="L763" s="20"/>
      <c r="M763" s="20"/>
      <c r="N763" s="20" t="str">
        <f t="shared" si="1"/>
        <v>#</v>
      </c>
      <c r="O763" s="20"/>
      <c r="P763" s="21"/>
      <c r="Q763" s="14" t="str">
        <f t="shared" si="2"/>
        <v/>
      </c>
      <c r="R763" s="14"/>
    </row>
    <row r="764">
      <c r="A764" s="14"/>
      <c r="B764" s="21"/>
      <c r="C764" s="14"/>
      <c r="D764" s="16"/>
      <c r="E764" s="16"/>
      <c r="F764" s="21"/>
      <c r="G764" s="21"/>
      <c r="H764" s="24"/>
      <c r="I764" s="24"/>
      <c r="J764" s="20"/>
      <c r="K764" s="20"/>
      <c r="L764" s="20"/>
      <c r="M764" s="20"/>
      <c r="N764" s="20" t="str">
        <f t="shared" si="1"/>
        <v>#</v>
      </c>
      <c r="O764" s="20"/>
      <c r="P764" s="21"/>
      <c r="Q764" s="14" t="str">
        <f t="shared" si="2"/>
        <v/>
      </c>
      <c r="R764" s="14"/>
    </row>
    <row r="765">
      <c r="A765" s="14"/>
      <c r="B765" s="21"/>
      <c r="C765" s="14"/>
      <c r="D765" s="16"/>
      <c r="E765" s="16"/>
      <c r="F765" s="21"/>
      <c r="G765" s="21"/>
      <c r="H765" s="24"/>
      <c r="I765" s="24"/>
      <c r="J765" s="20"/>
      <c r="K765" s="20"/>
      <c r="L765" s="20"/>
      <c r="M765" s="20"/>
      <c r="N765" s="20" t="str">
        <f t="shared" si="1"/>
        <v>#</v>
      </c>
      <c r="O765" s="20"/>
      <c r="P765" s="21"/>
      <c r="Q765" s="14" t="str">
        <f t="shared" si="2"/>
        <v/>
      </c>
      <c r="R765" s="14"/>
    </row>
    <row r="766">
      <c r="A766" s="14"/>
      <c r="B766" s="21"/>
      <c r="C766" s="14"/>
      <c r="D766" s="16"/>
      <c r="E766" s="16"/>
      <c r="F766" s="21"/>
      <c r="G766" s="21"/>
      <c r="H766" s="24"/>
      <c r="I766" s="24"/>
      <c r="J766" s="20"/>
      <c r="K766" s="20"/>
      <c r="L766" s="20"/>
      <c r="M766" s="20"/>
      <c r="N766" s="20" t="str">
        <f t="shared" si="1"/>
        <v>#</v>
      </c>
      <c r="O766" s="20"/>
      <c r="P766" s="21"/>
      <c r="Q766" s="14" t="str">
        <f t="shared" si="2"/>
        <v/>
      </c>
      <c r="R766" s="14"/>
    </row>
    <row r="767">
      <c r="A767" s="14"/>
      <c r="B767" s="21"/>
      <c r="C767" s="14"/>
      <c r="D767" s="16"/>
      <c r="E767" s="16"/>
      <c r="F767" s="21"/>
      <c r="G767" s="21"/>
      <c r="H767" s="24"/>
      <c r="I767" s="24"/>
      <c r="J767" s="20"/>
      <c r="K767" s="20"/>
      <c r="L767" s="20"/>
      <c r="M767" s="20"/>
      <c r="N767" s="20" t="str">
        <f t="shared" si="1"/>
        <v>#</v>
      </c>
      <c r="O767" s="20"/>
      <c r="P767" s="21"/>
      <c r="Q767" s="14" t="str">
        <f t="shared" si="2"/>
        <v/>
      </c>
      <c r="R767" s="14"/>
    </row>
    <row r="768">
      <c r="A768" s="14"/>
      <c r="B768" s="21"/>
      <c r="C768" s="14"/>
      <c r="D768" s="16"/>
      <c r="E768" s="16"/>
      <c r="F768" s="21"/>
      <c r="G768" s="21"/>
      <c r="H768" s="24"/>
      <c r="I768" s="24"/>
      <c r="J768" s="20"/>
      <c r="K768" s="20"/>
      <c r="L768" s="20"/>
      <c r="M768" s="20"/>
      <c r="N768" s="20" t="str">
        <f t="shared" si="1"/>
        <v>#</v>
      </c>
      <c r="O768" s="20"/>
      <c r="P768" s="21"/>
      <c r="Q768" s="14" t="str">
        <f t="shared" si="2"/>
        <v/>
      </c>
      <c r="R768" s="14"/>
    </row>
    <row r="769">
      <c r="A769" s="14"/>
      <c r="B769" s="21"/>
      <c r="C769" s="14"/>
      <c r="D769" s="16"/>
      <c r="E769" s="16"/>
      <c r="F769" s="21"/>
      <c r="G769" s="21"/>
      <c r="H769" s="24"/>
      <c r="I769" s="24"/>
      <c r="J769" s="20"/>
      <c r="K769" s="20"/>
      <c r="L769" s="20"/>
      <c r="M769" s="20"/>
      <c r="N769" s="20" t="str">
        <f t="shared" si="1"/>
        <v>#</v>
      </c>
      <c r="O769" s="20"/>
      <c r="P769" s="21"/>
      <c r="Q769" s="14" t="str">
        <f t="shared" si="2"/>
        <v/>
      </c>
      <c r="R769" s="14"/>
    </row>
    <row r="770">
      <c r="A770" s="14"/>
      <c r="B770" s="21"/>
      <c r="C770" s="14"/>
      <c r="D770" s="16"/>
      <c r="E770" s="16"/>
      <c r="F770" s="21"/>
      <c r="G770" s="21"/>
      <c r="H770" s="24"/>
      <c r="I770" s="24"/>
      <c r="J770" s="20"/>
      <c r="K770" s="20"/>
      <c r="L770" s="20"/>
      <c r="M770" s="20"/>
      <c r="N770" s="20" t="str">
        <f t="shared" si="1"/>
        <v>#</v>
      </c>
      <c r="O770" s="20"/>
      <c r="P770" s="21"/>
      <c r="Q770" s="14" t="str">
        <f t="shared" si="2"/>
        <v/>
      </c>
      <c r="R770" s="14"/>
    </row>
    <row r="771">
      <c r="A771" s="14"/>
      <c r="B771" s="21"/>
      <c r="C771" s="14"/>
      <c r="D771" s="16"/>
      <c r="E771" s="16"/>
      <c r="F771" s="21"/>
      <c r="G771" s="21"/>
      <c r="H771" s="24"/>
      <c r="I771" s="24"/>
      <c r="J771" s="20"/>
      <c r="K771" s="20"/>
      <c r="L771" s="20"/>
      <c r="M771" s="20"/>
      <c r="N771" s="20" t="str">
        <f t="shared" si="1"/>
        <v>#</v>
      </c>
      <c r="O771" s="20"/>
      <c r="P771" s="21"/>
      <c r="Q771" s="14" t="str">
        <f t="shared" si="2"/>
        <v/>
      </c>
      <c r="R771" s="14"/>
    </row>
    <row r="772">
      <c r="A772" s="14"/>
      <c r="B772" s="21"/>
      <c r="C772" s="14"/>
      <c r="D772" s="16"/>
      <c r="E772" s="16"/>
      <c r="F772" s="21"/>
      <c r="G772" s="21"/>
      <c r="H772" s="24"/>
      <c r="I772" s="24"/>
      <c r="J772" s="20"/>
      <c r="K772" s="20"/>
      <c r="L772" s="20"/>
      <c r="M772" s="20"/>
      <c r="N772" s="20" t="str">
        <f t="shared" si="1"/>
        <v>#</v>
      </c>
      <c r="O772" s="20"/>
      <c r="P772" s="21"/>
      <c r="Q772" s="14" t="str">
        <f t="shared" si="2"/>
        <v/>
      </c>
      <c r="R772" s="14"/>
    </row>
    <row r="773">
      <c r="A773" s="14"/>
      <c r="B773" s="21"/>
      <c r="C773" s="14"/>
      <c r="D773" s="16"/>
      <c r="E773" s="16"/>
      <c r="F773" s="21"/>
      <c r="G773" s="21"/>
      <c r="H773" s="24"/>
      <c r="I773" s="24"/>
      <c r="J773" s="20"/>
      <c r="K773" s="20"/>
      <c r="L773" s="20"/>
      <c r="M773" s="20"/>
      <c r="N773" s="20" t="str">
        <f t="shared" si="1"/>
        <v>#</v>
      </c>
      <c r="O773" s="20"/>
      <c r="P773" s="21"/>
      <c r="Q773" s="14" t="str">
        <f t="shared" si="2"/>
        <v/>
      </c>
      <c r="R773" s="14"/>
    </row>
    <row r="774">
      <c r="A774" s="14"/>
      <c r="B774" s="21"/>
      <c r="C774" s="14"/>
      <c r="D774" s="16"/>
      <c r="E774" s="16"/>
      <c r="F774" s="21"/>
      <c r="G774" s="21"/>
      <c r="H774" s="24"/>
      <c r="I774" s="24"/>
      <c r="J774" s="20"/>
      <c r="K774" s="20"/>
      <c r="L774" s="20"/>
      <c r="M774" s="20"/>
      <c r="N774" s="20" t="str">
        <f t="shared" si="1"/>
        <v>#</v>
      </c>
      <c r="O774" s="20"/>
      <c r="P774" s="21"/>
      <c r="Q774" s="14" t="str">
        <f t="shared" si="2"/>
        <v/>
      </c>
      <c r="R774" s="14"/>
    </row>
    <row r="775">
      <c r="A775" s="14"/>
      <c r="B775" s="21"/>
      <c r="C775" s="14"/>
      <c r="D775" s="16"/>
      <c r="E775" s="16"/>
      <c r="F775" s="21"/>
      <c r="G775" s="21"/>
      <c r="H775" s="24"/>
      <c r="I775" s="24"/>
      <c r="J775" s="20"/>
      <c r="K775" s="20"/>
      <c r="L775" s="20"/>
      <c r="M775" s="20"/>
      <c r="N775" s="20" t="str">
        <f t="shared" si="1"/>
        <v>#</v>
      </c>
      <c r="O775" s="20"/>
      <c r="P775" s="21"/>
      <c r="Q775" s="14" t="str">
        <f t="shared" si="2"/>
        <v/>
      </c>
      <c r="R775" s="14"/>
    </row>
    <row r="776">
      <c r="A776" s="14"/>
      <c r="B776" s="21"/>
      <c r="C776" s="14"/>
      <c r="D776" s="16"/>
      <c r="E776" s="16"/>
      <c r="F776" s="21"/>
      <c r="G776" s="21"/>
      <c r="H776" s="24"/>
      <c r="I776" s="24"/>
      <c r="J776" s="20"/>
      <c r="K776" s="20"/>
      <c r="L776" s="20"/>
      <c r="M776" s="20"/>
      <c r="N776" s="20" t="str">
        <f t="shared" si="1"/>
        <v>#</v>
      </c>
      <c r="O776" s="20"/>
      <c r="P776" s="21"/>
      <c r="Q776" s="14" t="str">
        <f t="shared" si="2"/>
        <v/>
      </c>
      <c r="R776" s="14"/>
    </row>
    <row r="777">
      <c r="A777" s="14"/>
      <c r="B777" s="21"/>
      <c r="C777" s="14"/>
      <c r="D777" s="16"/>
      <c r="E777" s="16"/>
      <c r="F777" s="21"/>
      <c r="G777" s="21"/>
      <c r="H777" s="24"/>
      <c r="I777" s="24"/>
      <c r="J777" s="20"/>
      <c r="K777" s="20"/>
      <c r="L777" s="20"/>
      <c r="M777" s="20"/>
      <c r="N777" s="20" t="str">
        <f t="shared" si="1"/>
        <v>#</v>
      </c>
      <c r="O777" s="20"/>
      <c r="P777" s="21"/>
      <c r="Q777" s="14" t="str">
        <f t="shared" si="2"/>
        <v/>
      </c>
      <c r="R777" s="14"/>
    </row>
    <row r="778">
      <c r="A778" s="14"/>
      <c r="B778" s="21"/>
      <c r="C778" s="14"/>
      <c r="D778" s="16"/>
      <c r="E778" s="16"/>
      <c r="F778" s="21"/>
      <c r="G778" s="21"/>
      <c r="H778" s="24"/>
      <c r="I778" s="24"/>
      <c r="J778" s="20"/>
      <c r="K778" s="20"/>
      <c r="L778" s="20"/>
      <c r="M778" s="20"/>
      <c r="N778" s="20" t="str">
        <f t="shared" si="1"/>
        <v>#</v>
      </c>
      <c r="O778" s="20"/>
      <c r="P778" s="21"/>
      <c r="Q778" s="14" t="str">
        <f t="shared" si="2"/>
        <v/>
      </c>
      <c r="R778" s="14"/>
    </row>
    <row r="779">
      <c r="A779" s="14"/>
      <c r="B779" s="21"/>
      <c r="C779" s="14"/>
      <c r="D779" s="16"/>
      <c r="E779" s="16"/>
      <c r="F779" s="21"/>
      <c r="G779" s="21"/>
      <c r="H779" s="24"/>
      <c r="I779" s="24"/>
      <c r="J779" s="20"/>
      <c r="K779" s="20"/>
      <c r="L779" s="20"/>
      <c r="M779" s="20"/>
      <c r="N779" s="20" t="str">
        <f t="shared" si="1"/>
        <v>#</v>
      </c>
      <c r="O779" s="20"/>
      <c r="P779" s="21"/>
      <c r="Q779" s="14" t="str">
        <f t="shared" si="2"/>
        <v/>
      </c>
      <c r="R779" s="14"/>
    </row>
    <row r="780">
      <c r="A780" s="14"/>
      <c r="B780" s="21"/>
      <c r="C780" s="14"/>
      <c r="D780" s="16"/>
      <c r="E780" s="16"/>
      <c r="F780" s="21"/>
      <c r="G780" s="21"/>
      <c r="H780" s="24"/>
      <c r="I780" s="24"/>
      <c r="J780" s="20"/>
      <c r="K780" s="20"/>
      <c r="L780" s="20"/>
      <c r="M780" s="20"/>
      <c r="N780" s="20" t="str">
        <f t="shared" si="1"/>
        <v>#</v>
      </c>
      <c r="O780" s="20"/>
      <c r="P780" s="21"/>
      <c r="Q780" s="14" t="str">
        <f t="shared" si="2"/>
        <v/>
      </c>
      <c r="R780" s="14"/>
    </row>
    <row r="781">
      <c r="A781" s="14"/>
      <c r="B781" s="21"/>
      <c r="C781" s="14"/>
      <c r="D781" s="16"/>
      <c r="E781" s="16"/>
      <c r="F781" s="21"/>
      <c r="G781" s="21"/>
      <c r="H781" s="24"/>
      <c r="I781" s="24"/>
      <c r="J781" s="20"/>
      <c r="K781" s="20"/>
      <c r="L781" s="20"/>
      <c r="M781" s="20"/>
      <c r="N781" s="20" t="str">
        <f t="shared" si="1"/>
        <v>#</v>
      </c>
      <c r="O781" s="20"/>
      <c r="P781" s="21"/>
      <c r="Q781" s="14" t="str">
        <f t="shared" si="2"/>
        <v/>
      </c>
      <c r="R781" s="14"/>
    </row>
    <row r="782">
      <c r="A782" s="14"/>
      <c r="B782" s="21"/>
      <c r="C782" s="14"/>
      <c r="D782" s="16"/>
      <c r="E782" s="16"/>
      <c r="F782" s="21"/>
      <c r="G782" s="21"/>
      <c r="H782" s="24"/>
      <c r="I782" s="24"/>
      <c r="J782" s="20"/>
      <c r="K782" s="20"/>
      <c r="L782" s="20"/>
      <c r="M782" s="20"/>
      <c r="N782" s="20" t="str">
        <f t="shared" si="1"/>
        <v>#</v>
      </c>
      <c r="O782" s="20"/>
      <c r="P782" s="21"/>
      <c r="Q782" s="14" t="str">
        <f t="shared" si="2"/>
        <v/>
      </c>
      <c r="R782" s="14"/>
    </row>
    <row r="783">
      <c r="A783" s="14"/>
      <c r="B783" s="21"/>
      <c r="C783" s="14"/>
      <c r="D783" s="16"/>
      <c r="E783" s="16"/>
      <c r="F783" s="21"/>
      <c r="G783" s="21"/>
      <c r="H783" s="24"/>
      <c r="I783" s="24"/>
      <c r="J783" s="20"/>
      <c r="K783" s="20"/>
      <c r="L783" s="20"/>
      <c r="M783" s="20"/>
      <c r="N783" s="20" t="str">
        <f t="shared" si="1"/>
        <v>#</v>
      </c>
      <c r="O783" s="20"/>
      <c r="P783" s="21"/>
      <c r="Q783" s="14" t="str">
        <f t="shared" si="2"/>
        <v/>
      </c>
      <c r="R783" s="14"/>
    </row>
    <row r="784">
      <c r="A784" s="14"/>
      <c r="B784" s="21"/>
      <c r="C784" s="14"/>
      <c r="D784" s="16"/>
      <c r="E784" s="16"/>
      <c r="F784" s="21"/>
      <c r="G784" s="21"/>
      <c r="H784" s="24"/>
      <c r="I784" s="24"/>
      <c r="J784" s="20"/>
      <c r="K784" s="20"/>
      <c r="L784" s="20"/>
      <c r="M784" s="20"/>
      <c r="N784" s="20" t="str">
        <f t="shared" si="1"/>
        <v>#</v>
      </c>
      <c r="O784" s="20"/>
      <c r="P784" s="21"/>
      <c r="Q784" s="14" t="str">
        <f t="shared" si="2"/>
        <v/>
      </c>
      <c r="R784" s="14"/>
    </row>
    <row r="785">
      <c r="A785" s="14"/>
      <c r="B785" s="21"/>
      <c r="C785" s="14"/>
      <c r="D785" s="16"/>
      <c r="E785" s="16"/>
      <c r="F785" s="21"/>
      <c r="G785" s="21"/>
      <c r="H785" s="24"/>
      <c r="I785" s="24"/>
      <c r="J785" s="20"/>
      <c r="K785" s="20"/>
      <c r="L785" s="20"/>
      <c r="M785" s="20"/>
      <c r="N785" s="20" t="str">
        <f t="shared" si="1"/>
        <v>#</v>
      </c>
      <c r="O785" s="20"/>
      <c r="P785" s="21"/>
      <c r="Q785" s="14" t="str">
        <f t="shared" si="2"/>
        <v/>
      </c>
      <c r="R785" s="14"/>
    </row>
    <row r="786">
      <c r="A786" s="14"/>
      <c r="B786" s="21"/>
      <c r="C786" s="14"/>
      <c r="D786" s="16"/>
      <c r="E786" s="16"/>
      <c r="F786" s="21"/>
      <c r="G786" s="21"/>
      <c r="H786" s="24"/>
      <c r="I786" s="24"/>
      <c r="J786" s="20"/>
      <c r="K786" s="20"/>
      <c r="L786" s="20"/>
      <c r="M786" s="20"/>
      <c r="N786" s="20" t="str">
        <f t="shared" si="1"/>
        <v>#</v>
      </c>
      <c r="O786" s="20"/>
      <c r="P786" s="21"/>
      <c r="Q786" s="14" t="str">
        <f t="shared" si="2"/>
        <v/>
      </c>
      <c r="R786" s="14"/>
    </row>
    <row r="787">
      <c r="A787" s="14"/>
      <c r="B787" s="21"/>
      <c r="C787" s="14"/>
      <c r="D787" s="16"/>
      <c r="E787" s="16"/>
      <c r="F787" s="21"/>
      <c r="G787" s="21"/>
      <c r="H787" s="24"/>
      <c r="I787" s="24"/>
      <c r="J787" s="20"/>
      <c r="K787" s="20"/>
      <c r="L787" s="20"/>
      <c r="M787" s="20"/>
      <c r="N787" s="20" t="str">
        <f t="shared" si="1"/>
        <v>#</v>
      </c>
      <c r="O787" s="20"/>
      <c r="P787" s="21"/>
      <c r="Q787" s="14" t="str">
        <f t="shared" si="2"/>
        <v/>
      </c>
      <c r="R787" s="14"/>
    </row>
    <row r="788">
      <c r="A788" s="14"/>
      <c r="B788" s="21"/>
      <c r="C788" s="14"/>
      <c r="D788" s="16"/>
      <c r="E788" s="16"/>
      <c r="F788" s="21"/>
      <c r="G788" s="21"/>
      <c r="H788" s="24"/>
      <c r="I788" s="24"/>
      <c r="J788" s="20"/>
      <c r="K788" s="20"/>
      <c r="L788" s="20"/>
      <c r="M788" s="20"/>
      <c r="N788" s="20" t="str">
        <f t="shared" si="1"/>
        <v>#</v>
      </c>
      <c r="O788" s="20"/>
      <c r="P788" s="21"/>
      <c r="Q788" s="14" t="str">
        <f t="shared" si="2"/>
        <v/>
      </c>
      <c r="R788" s="14"/>
    </row>
    <row r="789">
      <c r="A789" s="14"/>
      <c r="B789" s="21"/>
      <c r="C789" s="14"/>
      <c r="D789" s="16"/>
      <c r="E789" s="16"/>
      <c r="F789" s="21"/>
      <c r="G789" s="21"/>
      <c r="H789" s="24"/>
      <c r="I789" s="24"/>
      <c r="J789" s="20"/>
      <c r="K789" s="20"/>
      <c r="L789" s="20"/>
      <c r="M789" s="20"/>
      <c r="N789" s="20" t="str">
        <f t="shared" si="1"/>
        <v>#</v>
      </c>
      <c r="O789" s="20"/>
      <c r="P789" s="21"/>
      <c r="Q789" s="14" t="str">
        <f t="shared" si="2"/>
        <v/>
      </c>
      <c r="R789" s="14"/>
    </row>
    <row r="790">
      <c r="A790" s="14"/>
      <c r="B790" s="21"/>
      <c r="C790" s="14"/>
      <c r="D790" s="16"/>
      <c r="E790" s="16"/>
      <c r="F790" s="21"/>
      <c r="G790" s="21"/>
      <c r="H790" s="24"/>
      <c r="I790" s="24"/>
      <c r="J790" s="20"/>
      <c r="K790" s="20"/>
      <c r="L790" s="20"/>
      <c r="M790" s="20"/>
      <c r="N790" s="20" t="str">
        <f t="shared" si="1"/>
        <v>#</v>
      </c>
      <c r="O790" s="20"/>
      <c r="P790" s="21"/>
      <c r="Q790" s="14" t="str">
        <f t="shared" si="2"/>
        <v/>
      </c>
      <c r="R790" s="14"/>
    </row>
    <row r="791">
      <c r="A791" s="14"/>
      <c r="B791" s="21"/>
      <c r="C791" s="14"/>
      <c r="D791" s="16"/>
      <c r="E791" s="16"/>
      <c r="F791" s="21"/>
      <c r="G791" s="21"/>
      <c r="H791" s="24"/>
      <c r="I791" s="24"/>
      <c r="J791" s="20"/>
      <c r="K791" s="20"/>
      <c r="L791" s="20"/>
      <c r="M791" s="20"/>
      <c r="N791" s="20" t="str">
        <f t="shared" si="1"/>
        <v>#</v>
      </c>
      <c r="O791" s="20"/>
      <c r="P791" s="21"/>
      <c r="Q791" s="14" t="str">
        <f t="shared" si="2"/>
        <v/>
      </c>
      <c r="R791" s="14"/>
    </row>
    <row r="792">
      <c r="A792" s="14"/>
      <c r="B792" s="21"/>
      <c r="C792" s="14"/>
      <c r="D792" s="16"/>
      <c r="E792" s="16"/>
      <c r="F792" s="21"/>
      <c r="G792" s="21"/>
      <c r="H792" s="24"/>
      <c r="I792" s="24"/>
      <c r="J792" s="20"/>
      <c r="K792" s="20"/>
      <c r="L792" s="20"/>
      <c r="M792" s="20"/>
      <c r="N792" s="20" t="str">
        <f t="shared" si="1"/>
        <v>#</v>
      </c>
      <c r="O792" s="20"/>
      <c r="P792" s="21"/>
      <c r="Q792" s="14" t="str">
        <f t="shared" si="2"/>
        <v/>
      </c>
      <c r="R792" s="14"/>
    </row>
    <row r="793">
      <c r="A793" s="14"/>
      <c r="B793" s="21"/>
      <c r="C793" s="14"/>
      <c r="D793" s="16"/>
      <c r="E793" s="16"/>
      <c r="F793" s="21"/>
      <c r="G793" s="21"/>
      <c r="H793" s="24"/>
      <c r="I793" s="24"/>
      <c r="J793" s="20"/>
      <c r="K793" s="20"/>
      <c r="L793" s="20"/>
      <c r="M793" s="20"/>
      <c r="N793" s="20" t="str">
        <f t="shared" si="1"/>
        <v>#</v>
      </c>
      <c r="O793" s="20"/>
      <c r="P793" s="21"/>
      <c r="Q793" s="14" t="str">
        <f t="shared" si="2"/>
        <v/>
      </c>
      <c r="R793" s="14"/>
    </row>
    <row r="794">
      <c r="A794" s="14"/>
      <c r="B794" s="21"/>
      <c r="C794" s="14"/>
      <c r="D794" s="16"/>
      <c r="E794" s="16"/>
      <c r="F794" s="21"/>
      <c r="G794" s="21"/>
      <c r="H794" s="24"/>
      <c r="I794" s="24"/>
      <c r="J794" s="20"/>
      <c r="K794" s="20"/>
      <c r="L794" s="20"/>
      <c r="M794" s="20"/>
      <c r="N794" s="20" t="str">
        <f t="shared" si="1"/>
        <v>#</v>
      </c>
      <c r="O794" s="20"/>
      <c r="P794" s="21"/>
      <c r="Q794" s="14" t="str">
        <f t="shared" si="2"/>
        <v/>
      </c>
      <c r="R794" s="14"/>
    </row>
    <row r="795">
      <c r="A795" s="14"/>
      <c r="B795" s="21"/>
      <c r="C795" s="14"/>
      <c r="D795" s="16"/>
      <c r="E795" s="16"/>
      <c r="F795" s="21"/>
      <c r="G795" s="21"/>
      <c r="H795" s="24"/>
      <c r="I795" s="24"/>
      <c r="J795" s="20"/>
      <c r="K795" s="20"/>
      <c r="L795" s="20"/>
      <c r="M795" s="20"/>
      <c r="N795" s="20" t="str">
        <f t="shared" si="1"/>
        <v>#</v>
      </c>
      <c r="O795" s="20"/>
      <c r="P795" s="21"/>
      <c r="Q795" s="14" t="str">
        <f t="shared" si="2"/>
        <v/>
      </c>
      <c r="R795" s="14"/>
    </row>
    <row r="796">
      <c r="A796" s="14"/>
      <c r="B796" s="21"/>
      <c r="C796" s="14"/>
      <c r="D796" s="16"/>
      <c r="E796" s="16"/>
      <c r="F796" s="21"/>
      <c r="G796" s="21"/>
      <c r="H796" s="24"/>
      <c r="I796" s="24"/>
      <c r="J796" s="20"/>
      <c r="K796" s="20"/>
      <c r="L796" s="20"/>
      <c r="M796" s="20"/>
      <c r="N796" s="20" t="str">
        <f t="shared" si="1"/>
        <v>#</v>
      </c>
      <c r="O796" s="20"/>
      <c r="P796" s="21"/>
      <c r="Q796" s="14" t="str">
        <f t="shared" si="2"/>
        <v/>
      </c>
      <c r="R796" s="14"/>
    </row>
    <row r="797">
      <c r="A797" s="14"/>
      <c r="B797" s="21"/>
      <c r="C797" s="14"/>
      <c r="D797" s="16"/>
      <c r="E797" s="16"/>
      <c r="F797" s="21"/>
      <c r="G797" s="21"/>
      <c r="H797" s="24"/>
      <c r="I797" s="24"/>
      <c r="J797" s="20"/>
      <c r="K797" s="20"/>
      <c r="L797" s="20"/>
      <c r="M797" s="20"/>
      <c r="N797" s="20" t="str">
        <f t="shared" si="1"/>
        <v>#</v>
      </c>
      <c r="O797" s="20"/>
      <c r="P797" s="21"/>
      <c r="Q797" s="14" t="str">
        <f t="shared" si="2"/>
        <v/>
      </c>
      <c r="R797" s="14"/>
    </row>
    <row r="798">
      <c r="A798" s="14"/>
      <c r="B798" s="21"/>
      <c r="C798" s="14"/>
      <c r="D798" s="16"/>
      <c r="E798" s="16"/>
      <c r="F798" s="21"/>
      <c r="G798" s="21"/>
      <c r="H798" s="24"/>
      <c r="I798" s="24"/>
      <c r="J798" s="20"/>
      <c r="K798" s="20"/>
      <c r="L798" s="20"/>
      <c r="M798" s="20"/>
      <c r="N798" s="20" t="str">
        <f t="shared" si="1"/>
        <v>#</v>
      </c>
      <c r="O798" s="20"/>
      <c r="P798" s="21"/>
      <c r="Q798" s="14" t="str">
        <f t="shared" si="2"/>
        <v/>
      </c>
      <c r="R798" s="14"/>
    </row>
    <row r="799">
      <c r="A799" s="14"/>
      <c r="B799" s="21"/>
      <c r="C799" s="14"/>
      <c r="D799" s="16"/>
      <c r="E799" s="16"/>
      <c r="F799" s="21"/>
      <c r="G799" s="21"/>
      <c r="H799" s="24"/>
      <c r="I799" s="24"/>
      <c r="J799" s="20"/>
      <c r="K799" s="20"/>
      <c r="L799" s="20"/>
      <c r="M799" s="20"/>
      <c r="N799" s="20" t="str">
        <f t="shared" si="1"/>
        <v>#</v>
      </c>
      <c r="O799" s="20"/>
      <c r="P799" s="21"/>
      <c r="Q799" s="14" t="str">
        <f t="shared" si="2"/>
        <v/>
      </c>
      <c r="R799" s="14"/>
    </row>
    <row r="800">
      <c r="A800" s="14"/>
      <c r="B800" s="21"/>
      <c r="C800" s="14"/>
      <c r="D800" s="16"/>
      <c r="E800" s="16"/>
      <c r="F800" s="21"/>
      <c r="G800" s="21"/>
      <c r="H800" s="24"/>
      <c r="I800" s="24"/>
      <c r="J800" s="20"/>
      <c r="K800" s="20"/>
      <c r="L800" s="20"/>
      <c r="M800" s="20"/>
      <c r="N800" s="20" t="str">
        <f t="shared" si="1"/>
        <v>#</v>
      </c>
      <c r="O800" s="20"/>
      <c r="P800" s="21"/>
      <c r="Q800" s="14" t="str">
        <f t="shared" si="2"/>
        <v/>
      </c>
      <c r="R800" s="14"/>
    </row>
    <row r="801">
      <c r="A801" s="14"/>
      <c r="B801" s="21"/>
      <c r="C801" s="14"/>
      <c r="D801" s="16"/>
      <c r="E801" s="16"/>
      <c r="F801" s="21"/>
      <c r="G801" s="21"/>
      <c r="H801" s="24"/>
      <c r="I801" s="24"/>
      <c r="J801" s="20"/>
      <c r="K801" s="20"/>
      <c r="L801" s="20"/>
      <c r="M801" s="20"/>
      <c r="N801" s="20" t="str">
        <f t="shared" si="1"/>
        <v>#</v>
      </c>
      <c r="O801" s="20"/>
      <c r="P801" s="21"/>
      <c r="Q801" s="14" t="str">
        <f t="shared" si="2"/>
        <v/>
      </c>
      <c r="R801" s="14"/>
    </row>
    <row r="802">
      <c r="A802" s="14"/>
      <c r="B802" s="21"/>
      <c r="C802" s="14"/>
      <c r="D802" s="16"/>
      <c r="E802" s="16"/>
      <c r="F802" s="21"/>
      <c r="G802" s="21"/>
      <c r="H802" s="24"/>
      <c r="I802" s="24"/>
      <c r="J802" s="20"/>
      <c r="K802" s="20"/>
      <c r="L802" s="20"/>
      <c r="M802" s="20"/>
      <c r="N802" s="20" t="str">
        <f t="shared" si="1"/>
        <v>#</v>
      </c>
      <c r="O802" s="20"/>
      <c r="P802" s="21"/>
      <c r="Q802" s="14" t="str">
        <f t="shared" si="2"/>
        <v/>
      </c>
      <c r="R802" s="14"/>
    </row>
    <row r="803">
      <c r="A803" s="14"/>
      <c r="B803" s="21"/>
      <c r="C803" s="14"/>
      <c r="D803" s="16"/>
      <c r="E803" s="16"/>
      <c r="F803" s="21"/>
      <c r="G803" s="21"/>
      <c r="H803" s="24"/>
      <c r="I803" s="24"/>
      <c r="J803" s="20"/>
      <c r="K803" s="20"/>
      <c r="L803" s="20"/>
      <c r="M803" s="20"/>
      <c r="N803" s="20" t="str">
        <f t="shared" si="1"/>
        <v>#</v>
      </c>
      <c r="O803" s="20"/>
      <c r="P803" s="21"/>
      <c r="Q803" s="14" t="str">
        <f t="shared" si="2"/>
        <v/>
      </c>
      <c r="R803" s="14"/>
    </row>
    <row r="804">
      <c r="A804" s="14"/>
      <c r="B804" s="21"/>
      <c r="C804" s="14"/>
      <c r="D804" s="16"/>
      <c r="E804" s="16"/>
      <c r="F804" s="21"/>
      <c r="G804" s="21"/>
      <c r="H804" s="24"/>
      <c r="I804" s="24"/>
      <c r="J804" s="20"/>
      <c r="K804" s="20"/>
      <c r="L804" s="20"/>
      <c r="M804" s="20"/>
      <c r="N804" s="20" t="str">
        <f t="shared" si="1"/>
        <v>#</v>
      </c>
      <c r="O804" s="20"/>
      <c r="P804" s="21"/>
      <c r="Q804" s="14" t="str">
        <f t="shared" si="2"/>
        <v/>
      </c>
      <c r="R804" s="14"/>
    </row>
    <row r="805">
      <c r="A805" s="14"/>
      <c r="B805" s="21"/>
      <c r="C805" s="14"/>
      <c r="D805" s="16"/>
      <c r="E805" s="16"/>
      <c r="F805" s="21"/>
      <c r="G805" s="21"/>
      <c r="H805" s="24"/>
      <c r="I805" s="24"/>
      <c r="J805" s="20"/>
      <c r="K805" s="20"/>
      <c r="L805" s="20"/>
      <c r="M805" s="20"/>
      <c r="N805" s="20" t="str">
        <f t="shared" si="1"/>
        <v>#</v>
      </c>
      <c r="O805" s="20"/>
      <c r="P805" s="21"/>
      <c r="Q805" s="14" t="str">
        <f t="shared" si="2"/>
        <v/>
      </c>
      <c r="R805" s="14"/>
    </row>
    <row r="806">
      <c r="A806" s="14"/>
      <c r="B806" s="21"/>
      <c r="C806" s="14"/>
      <c r="D806" s="16"/>
      <c r="E806" s="16"/>
      <c r="F806" s="21"/>
      <c r="G806" s="21"/>
      <c r="H806" s="24"/>
      <c r="I806" s="24"/>
      <c r="J806" s="20"/>
      <c r="K806" s="20"/>
      <c r="L806" s="20"/>
      <c r="M806" s="20"/>
      <c r="N806" s="20" t="str">
        <f t="shared" si="1"/>
        <v>#</v>
      </c>
      <c r="O806" s="20"/>
      <c r="P806" s="21"/>
      <c r="Q806" s="14" t="str">
        <f t="shared" si="2"/>
        <v/>
      </c>
      <c r="R806" s="14"/>
    </row>
    <row r="807">
      <c r="A807" s="14"/>
      <c r="B807" s="21"/>
      <c r="C807" s="14"/>
      <c r="D807" s="16"/>
      <c r="E807" s="16"/>
      <c r="F807" s="21"/>
      <c r="G807" s="21"/>
      <c r="H807" s="24"/>
      <c r="I807" s="24"/>
      <c r="J807" s="20"/>
      <c r="K807" s="20"/>
      <c r="L807" s="20"/>
      <c r="M807" s="20"/>
      <c r="N807" s="20" t="str">
        <f t="shared" si="1"/>
        <v>#</v>
      </c>
      <c r="O807" s="20"/>
      <c r="P807" s="21"/>
      <c r="Q807" s="14" t="str">
        <f t="shared" si="2"/>
        <v/>
      </c>
      <c r="R807" s="14"/>
    </row>
    <row r="808">
      <c r="A808" s="14"/>
      <c r="B808" s="21"/>
      <c r="C808" s="14"/>
      <c r="D808" s="16"/>
      <c r="E808" s="16"/>
      <c r="F808" s="21"/>
      <c r="G808" s="21"/>
      <c r="H808" s="24"/>
      <c r="I808" s="24"/>
      <c r="J808" s="20"/>
      <c r="K808" s="20"/>
      <c r="L808" s="20"/>
      <c r="M808" s="20"/>
      <c r="N808" s="20" t="str">
        <f t="shared" si="1"/>
        <v>#</v>
      </c>
      <c r="O808" s="20"/>
      <c r="P808" s="21"/>
      <c r="Q808" s="14" t="str">
        <f t="shared" si="2"/>
        <v/>
      </c>
      <c r="R808" s="14"/>
    </row>
    <row r="809">
      <c r="A809" s="14"/>
      <c r="B809" s="21"/>
      <c r="C809" s="14"/>
      <c r="D809" s="16"/>
      <c r="E809" s="16"/>
      <c r="F809" s="21"/>
      <c r="G809" s="21"/>
      <c r="H809" s="24"/>
      <c r="I809" s="24"/>
      <c r="J809" s="20"/>
      <c r="K809" s="20"/>
      <c r="L809" s="20"/>
      <c r="M809" s="20"/>
      <c r="N809" s="20" t="str">
        <f t="shared" si="1"/>
        <v>#</v>
      </c>
      <c r="O809" s="20"/>
      <c r="P809" s="21"/>
      <c r="Q809" s="14" t="str">
        <f t="shared" si="2"/>
        <v/>
      </c>
      <c r="R809" s="14"/>
    </row>
    <row r="810">
      <c r="A810" s="14"/>
      <c r="B810" s="21"/>
      <c r="C810" s="14"/>
      <c r="D810" s="16"/>
      <c r="E810" s="16"/>
      <c r="F810" s="21"/>
      <c r="G810" s="21"/>
      <c r="H810" s="24"/>
      <c r="I810" s="24"/>
      <c r="J810" s="20"/>
      <c r="K810" s="20"/>
      <c r="L810" s="20"/>
      <c r="M810" s="20"/>
      <c r="N810" s="20" t="str">
        <f t="shared" si="1"/>
        <v>#</v>
      </c>
      <c r="O810" s="20"/>
      <c r="P810" s="21"/>
      <c r="Q810" s="14" t="str">
        <f t="shared" si="2"/>
        <v/>
      </c>
      <c r="R810" s="14"/>
    </row>
    <row r="811">
      <c r="A811" s="14"/>
      <c r="B811" s="21"/>
      <c r="C811" s="14"/>
      <c r="D811" s="16"/>
      <c r="E811" s="16"/>
      <c r="F811" s="21"/>
      <c r="G811" s="21"/>
      <c r="H811" s="24"/>
      <c r="I811" s="24"/>
      <c r="J811" s="20"/>
      <c r="K811" s="20"/>
      <c r="L811" s="20"/>
      <c r="M811" s="20"/>
      <c r="N811" s="20" t="str">
        <f t="shared" si="1"/>
        <v>#</v>
      </c>
      <c r="O811" s="20"/>
      <c r="P811" s="21"/>
      <c r="Q811" s="14" t="str">
        <f t="shared" si="2"/>
        <v/>
      </c>
      <c r="R811" s="14"/>
    </row>
    <row r="812">
      <c r="A812" s="14"/>
      <c r="B812" s="21"/>
      <c r="C812" s="14"/>
      <c r="D812" s="16"/>
      <c r="E812" s="16"/>
      <c r="F812" s="21"/>
      <c r="G812" s="21"/>
      <c r="H812" s="24"/>
      <c r="I812" s="24"/>
      <c r="J812" s="20"/>
      <c r="K812" s="20"/>
      <c r="L812" s="20"/>
      <c r="M812" s="20"/>
      <c r="N812" s="20" t="str">
        <f t="shared" si="1"/>
        <v>#</v>
      </c>
      <c r="O812" s="20"/>
      <c r="P812" s="21"/>
      <c r="Q812" s="14" t="str">
        <f t="shared" si="2"/>
        <v/>
      </c>
      <c r="R812" s="14"/>
    </row>
    <row r="813">
      <c r="A813" s="14"/>
      <c r="B813" s="21"/>
      <c r="C813" s="14"/>
      <c r="D813" s="16"/>
      <c r="E813" s="16"/>
      <c r="F813" s="21"/>
      <c r="G813" s="21"/>
      <c r="H813" s="24"/>
      <c r="I813" s="24"/>
      <c r="J813" s="20"/>
      <c r="K813" s="20"/>
      <c r="L813" s="20"/>
      <c r="M813" s="20"/>
      <c r="N813" s="20" t="str">
        <f t="shared" si="1"/>
        <v>#</v>
      </c>
      <c r="O813" s="20"/>
      <c r="P813" s="21"/>
      <c r="Q813" s="14" t="str">
        <f t="shared" si="2"/>
        <v/>
      </c>
      <c r="R813" s="14"/>
    </row>
    <row r="814">
      <c r="A814" s="14"/>
      <c r="B814" s="21"/>
      <c r="C814" s="14"/>
      <c r="D814" s="16"/>
      <c r="E814" s="16"/>
      <c r="F814" s="21"/>
      <c r="G814" s="21"/>
      <c r="H814" s="24"/>
      <c r="I814" s="24"/>
      <c r="J814" s="20"/>
      <c r="K814" s="20"/>
      <c r="L814" s="20"/>
      <c r="M814" s="20"/>
      <c r="N814" s="20" t="str">
        <f t="shared" si="1"/>
        <v>#</v>
      </c>
      <c r="O814" s="20"/>
      <c r="P814" s="21"/>
      <c r="Q814" s="14" t="str">
        <f t="shared" si="2"/>
        <v/>
      </c>
      <c r="R814" s="14"/>
    </row>
    <row r="815">
      <c r="A815" s="14"/>
      <c r="B815" s="21"/>
      <c r="C815" s="14"/>
      <c r="D815" s="16"/>
      <c r="E815" s="16"/>
      <c r="F815" s="21"/>
      <c r="G815" s="21"/>
      <c r="H815" s="24"/>
      <c r="I815" s="24"/>
      <c r="J815" s="20"/>
      <c r="K815" s="20"/>
      <c r="L815" s="20"/>
      <c r="M815" s="20"/>
      <c r="N815" s="20" t="str">
        <f t="shared" si="1"/>
        <v>#</v>
      </c>
      <c r="O815" s="20"/>
      <c r="P815" s="21"/>
      <c r="Q815" s="14" t="str">
        <f t="shared" si="2"/>
        <v/>
      </c>
      <c r="R815" s="14"/>
    </row>
    <row r="816">
      <c r="A816" s="14"/>
      <c r="B816" s="21"/>
      <c r="C816" s="14"/>
      <c r="D816" s="16"/>
      <c r="E816" s="16"/>
      <c r="F816" s="21"/>
      <c r="G816" s="21"/>
      <c r="H816" s="24"/>
      <c r="I816" s="24"/>
      <c r="J816" s="20"/>
      <c r="K816" s="20"/>
      <c r="L816" s="20"/>
      <c r="M816" s="20"/>
      <c r="N816" s="20" t="str">
        <f t="shared" si="1"/>
        <v>#</v>
      </c>
      <c r="O816" s="20"/>
      <c r="P816" s="21"/>
      <c r="Q816" s="14" t="str">
        <f t="shared" si="2"/>
        <v/>
      </c>
      <c r="R816" s="14"/>
    </row>
    <row r="817">
      <c r="A817" s="14"/>
      <c r="B817" s="21"/>
      <c r="C817" s="14"/>
      <c r="D817" s="16"/>
      <c r="E817" s="16"/>
      <c r="F817" s="21"/>
      <c r="G817" s="21"/>
      <c r="H817" s="24"/>
      <c r="I817" s="24"/>
      <c r="J817" s="20"/>
      <c r="K817" s="20"/>
      <c r="L817" s="20"/>
      <c r="M817" s="20"/>
      <c r="N817" s="20" t="str">
        <f t="shared" si="1"/>
        <v>#</v>
      </c>
      <c r="O817" s="20"/>
      <c r="P817" s="21"/>
      <c r="Q817" s="14" t="str">
        <f t="shared" si="2"/>
        <v/>
      </c>
      <c r="R817" s="14"/>
    </row>
    <row r="818">
      <c r="A818" s="14"/>
      <c r="B818" s="21"/>
      <c r="C818" s="14"/>
      <c r="D818" s="16"/>
      <c r="E818" s="16"/>
      <c r="F818" s="21"/>
      <c r="G818" s="21"/>
      <c r="H818" s="24"/>
      <c r="I818" s="24"/>
      <c r="J818" s="20"/>
      <c r="K818" s="20"/>
      <c r="L818" s="20"/>
      <c r="M818" s="20"/>
      <c r="N818" s="20" t="str">
        <f t="shared" si="1"/>
        <v>#</v>
      </c>
      <c r="O818" s="20"/>
      <c r="P818" s="21"/>
      <c r="Q818" s="14" t="str">
        <f t="shared" si="2"/>
        <v/>
      </c>
      <c r="R818" s="14"/>
    </row>
    <row r="819">
      <c r="A819" s="14"/>
      <c r="B819" s="21"/>
      <c r="C819" s="14"/>
      <c r="D819" s="16"/>
      <c r="E819" s="16"/>
      <c r="F819" s="21"/>
      <c r="G819" s="21"/>
      <c r="H819" s="24"/>
      <c r="I819" s="24"/>
      <c r="J819" s="20"/>
      <c r="K819" s="20"/>
      <c r="L819" s="20"/>
      <c r="M819" s="20"/>
      <c r="N819" s="20" t="str">
        <f t="shared" si="1"/>
        <v>#</v>
      </c>
      <c r="O819" s="20"/>
      <c r="P819" s="21"/>
      <c r="Q819" s="14" t="str">
        <f t="shared" si="2"/>
        <v/>
      </c>
      <c r="R819" s="14"/>
    </row>
    <row r="820">
      <c r="A820" s="14"/>
      <c r="B820" s="21"/>
      <c r="C820" s="14"/>
      <c r="D820" s="16"/>
      <c r="E820" s="16"/>
      <c r="F820" s="21"/>
      <c r="G820" s="21"/>
      <c r="H820" s="24"/>
      <c r="I820" s="24"/>
      <c r="J820" s="20"/>
      <c r="K820" s="20"/>
      <c r="L820" s="20"/>
      <c r="M820" s="20"/>
      <c r="N820" s="20" t="str">
        <f t="shared" si="1"/>
        <v>#</v>
      </c>
      <c r="O820" s="20"/>
      <c r="P820" s="21"/>
      <c r="Q820" s="14" t="str">
        <f t="shared" si="2"/>
        <v/>
      </c>
      <c r="R820" s="14"/>
    </row>
    <row r="821">
      <c r="A821" s="14"/>
      <c r="B821" s="21"/>
      <c r="C821" s="14"/>
      <c r="D821" s="16"/>
      <c r="E821" s="16"/>
      <c r="F821" s="21"/>
      <c r="G821" s="21"/>
      <c r="H821" s="24"/>
      <c r="I821" s="24"/>
      <c r="J821" s="20"/>
      <c r="K821" s="20"/>
      <c r="L821" s="20"/>
      <c r="M821" s="20"/>
      <c r="N821" s="20" t="str">
        <f t="shared" si="1"/>
        <v>#</v>
      </c>
      <c r="O821" s="20"/>
      <c r="P821" s="21"/>
      <c r="Q821" s="14" t="str">
        <f t="shared" si="2"/>
        <v/>
      </c>
      <c r="R821" s="14"/>
    </row>
    <row r="822">
      <c r="A822" s="14"/>
      <c r="B822" s="21"/>
      <c r="C822" s="14"/>
      <c r="D822" s="16"/>
      <c r="E822" s="16"/>
      <c r="F822" s="21"/>
      <c r="G822" s="21"/>
      <c r="H822" s="24"/>
      <c r="I822" s="24"/>
      <c r="J822" s="20"/>
      <c r="K822" s="20"/>
      <c r="L822" s="20"/>
      <c r="M822" s="20"/>
      <c r="N822" s="20" t="str">
        <f t="shared" si="1"/>
        <v>#</v>
      </c>
      <c r="O822" s="20"/>
      <c r="P822" s="21"/>
      <c r="Q822" s="14" t="str">
        <f t="shared" si="2"/>
        <v/>
      </c>
      <c r="R822" s="14"/>
    </row>
    <row r="823">
      <c r="A823" s="14"/>
      <c r="B823" s="21"/>
      <c r="C823" s="14"/>
      <c r="D823" s="16"/>
      <c r="E823" s="16"/>
      <c r="F823" s="21"/>
      <c r="G823" s="21"/>
      <c r="H823" s="24"/>
      <c r="I823" s="24"/>
      <c r="J823" s="20"/>
      <c r="K823" s="20"/>
      <c r="L823" s="20"/>
      <c r="M823" s="20"/>
      <c r="N823" s="20" t="str">
        <f t="shared" si="1"/>
        <v>#</v>
      </c>
      <c r="O823" s="20"/>
      <c r="P823" s="21"/>
      <c r="Q823" s="14" t="str">
        <f t="shared" si="2"/>
        <v/>
      </c>
      <c r="R823" s="14"/>
    </row>
    <row r="824">
      <c r="A824" s="14"/>
      <c r="B824" s="21"/>
      <c r="C824" s="14"/>
      <c r="D824" s="16"/>
      <c r="E824" s="16"/>
      <c r="F824" s="21"/>
      <c r="G824" s="21"/>
      <c r="H824" s="24"/>
      <c r="I824" s="24"/>
      <c r="J824" s="20"/>
      <c r="K824" s="20"/>
      <c r="L824" s="20"/>
      <c r="M824" s="20"/>
      <c r="N824" s="20" t="str">
        <f t="shared" si="1"/>
        <v>#</v>
      </c>
      <c r="O824" s="20"/>
      <c r="P824" s="21"/>
      <c r="Q824" s="14" t="str">
        <f t="shared" si="2"/>
        <v/>
      </c>
      <c r="R824" s="14"/>
    </row>
    <row r="825">
      <c r="A825" s="14"/>
      <c r="B825" s="21"/>
      <c r="C825" s="14"/>
      <c r="D825" s="16"/>
      <c r="E825" s="16"/>
      <c r="F825" s="21"/>
      <c r="G825" s="21"/>
      <c r="H825" s="24"/>
      <c r="I825" s="24"/>
      <c r="J825" s="20"/>
      <c r="K825" s="20"/>
      <c r="L825" s="20"/>
      <c r="M825" s="20"/>
      <c r="N825" s="20" t="str">
        <f t="shared" si="1"/>
        <v>#</v>
      </c>
      <c r="O825" s="20"/>
      <c r="P825" s="21"/>
      <c r="Q825" s="14" t="str">
        <f t="shared" si="2"/>
        <v/>
      </c>
      <c r="R825" s="14"/>
    </row>
    <row r="826">
      <c r="A826" s="14"/>
      <c r="B826" s="21"/>
      <c r="C826" s="14"/>
      <c r="D826" s="16"/>
      <c r="E826" s="16"/>
      <c r="F826" s="21"/>
      <c r="G826" s="21"/>
      <c r="H826" s="24"/>
      <c r="I826" s="24"/>
      <c r="J826" s="20"/>
      <c r="K826" s="20"/>
      <c r="L826" s="20"/>
      <c r="M826" s="20"/>
      <c r="N826" s="20" t="str">
        <f t="shared" si="1"/>
        <v>#</v>
      </c>
      <c r="O826" s="20"/>
      <c r="P826" s="21"/>
      <c r="Q826" s="14" t="str">
        <f t="shared" si="2"/>
        <v/>
      </c>
      <c r="R826" s="14"/>
    </row>
    <row r="827">
      <c r="A827" s="14"/>
      <c r="B827" s="21"/>
      <c r="C827" s="14"/>
      <c r="D827" s="16"/>
      <c r="E827" s="16"/>
      <c r="F827" s="21"/>
      <c r="G827" s="21"/>
      <c r="H827" s="24"/>
      <c r="I827" s="24"/>
      <c r="J827" s="20"/>
      <c r="K827" s="20"/>
      <c r="L827" s="20"/>
      <c r="M827" s="20"/>
      <c r="N827" s="20" t="str">
        <f t="shared" si="1"/>
        <v>#</v>
      </c>
      <c r="O827" s="20"/>
      <c r="P827" s="21"/>
      <c r="Q827" s="14" t="str">
        <f t="shared" si="2"/>
        <v/>
      </c>
      <c r="R827" s="14"/>
    </row>
    <row r="828">
      <c r="A828" s="14"/>
      <c r="B828" s="21"/>
      <c r="C828" s="14"/>
      <c r="D828" s="16"/>
      <c r="E828" s="16"/>
      <c r="F828" s="21"/>
      <c r="G828" s="21"/>
      <c r="H828" s="24"/>
      <c r="I828" s="24"/>
      <c r="J828" s="20"/>
      <c r="K828" s="20"/>
      <c r="L828" s="20"/>
      <c r="M828" s="20"/>
      <c r="N828" s="20" t="str">
        <f t="shared" si="1"/>
        <v>#</v>
      </c>
      <c r="O828" s="20"/>
      <c r="P828" s="21"/>
      <c r="Q828" s="14" t="str">
        <f t="shared" si="2"/>
        <v/>
      </c>
      <c r="R828" s="14"/>
    </row>
    <row r="829">
      <c r="A829" s="14"/>
      <c r="B829" s="21"/>
      <c r="C829" s="14"/>
      <c r="D829" s="16"/>
      <c r="E829" s="16"/>
      <c r="F829" s="21"/>
      <c r="G829" s="21"/>
      <c r="H829" s="24"/>
      <c r="I829" s="24"/>
      <c r="J829" s="20"/>
      <c r="K829" s="20"/>
      <c r="L829" s="20"/>
      <c r="M829" s="20"/>
      <c r="N829" s="20" t="str">
        <f t="shared" si="1"/>
        <v>#</v>
      </c>
      <c r="O829" s="20"/>
      <c r="P829" s="21"/>
      <c r="Q829" s="14" t="str">
        <f t="shared" si="2"/>
        <v/>
      </c>
      <c r="R829" s="14"/>
    </row>
    <row r="830">
      <c r="A830" s="14"/>
      <c r="B830" s="21"/>
      <c r="C830" s="14"/>
      <c r="D830" s="16"/>
      <c r="E830" s="16"/>
      <c r="F830" s="21"/>
      <c r="G830" s="21"/>
      <c r="H830" s="24"/>
      <c r="I830" s="24"/>
      <c r="J830" s="20"/>
      <c r="K830" s="20"/>
      <c r="L830" s="20"/>
      <c r="M830" s="20"/>
      <c r="N830" s="20" t="str">
        <f t="shared" si="1"/>
        <v>#</v>
      </c>
      <c r="O830" s="20"/>
      <c r="P830" s="21"/>
      <c r="Q830" s="14" t="str">
        <f t="shared" si="2"/>
        <v/>
      </c>
      <c r="R830" s="14"/>
    </row>
    <row r="831">
      <c r="A831" s="14"/>
      <c r="B831" s="21"/>
      <c r="C831" s="14"/>
      <c r="D831" s="16"/>
      <c r="E831" s="16"/>
      <c r="F831" s="21"/>
      <c r="G831" s="21"/>
      <c r="H831" s="24"/>
      <c r="I831" s="24"/>
      <c r="J831" s="20"/>
      <c r="K831" s="20"/>
      <c r="L831" s="20"/>
      <c r="M831" s="20"/>
      <c r="N831" s="20" t="str">
        <f t="shared" si="1"/>
        <v>#</v>
      </c>
      <c r="O831" s="20"/>
      <c r="P831" s="21"/>
      <c r="Q831" s="14" t="str">
        <f t="shared" si="2"/>
        <v/>
      </c>
      <c r="R831" s="14"/>
    </row>
    <row r="832">
      <c r="A832" s="14"/>
      <c r="B832" s="21"/>
      <c r="C832" s="14"/>
      <c r="D832" s="16"/>
      <c r="E832" s="16"/>
      <c r="F832" s="21"/>
      <c r="G832" s="21"/>
      <c r="H832" s="24"/>
      <c r="I832" s="24"/>
      <c r="J832" s="20"/>
      <c r="K832" s="20"/>
      <c r="L832" s="20"/>
      <c r="M832" s="20"/>
      <c r="N832" s="20" t="str">
        <f t="shared" si="1"/>
        <v>#</v>
      </c>
      <c r="O832" s="20"/>
      <c r="P832" s="21"/>
      <c r="Q832" s="14" t="str">
        <f t="shared" si="2"/>
        <v/>
      </c>
      <c r="R832" s="14"/>
    </row>
    <row r="833">
      <c r="A833" s="14"/>
      <c r="B833" s="21"/>
      <c r="C833" s="14"/>
      <c r="D833" s="16"/>
      <c r="E833" s="16"/>
      <c r="F833" s="21"/>
      <c r="G833" s="21"/>
      <c r="H833" s="24"/>
      <c r="I833" s="24"/>
      <c r="J833" s="20"/>
      <c r="K833" s="20"/>
      <c r="L833" s="20"/>
      <c r="M833" s="20"/>
      <c r="N833" s="20" t="str">
        <f t="shared" si="1"/>
        <v>#</v>
      </c>
      <c r="O833" s="20"/>
      <c r="P833" s="21"/>
      <c r="Q833" s="14" t="str">
        <f t="shared" si="2"/>
        <v/>
      </c>
      <c r="R833" s="14"/>
    </row>
    <row r="834">
      <c r="A834" s="14"/>
      <c r="B834" s="21"/>
      <c r="C834" s="14"/>
      <c r="D834" s="16"/>
      <c r="E834" s="16"/>
      <c r="F834" s="21"/>
      <c r="G834" s="21"/>
      <c r="H834" s="24"/>
      <c r="I834" s="24"/>
      <c r="J834" s="20"/>
      <c r="K834" s="20"/>
      <c r="L834" s="20"/>
      <c r="M834" s="20"/>
      <c r="N834" s="20" t="str">
        <f t="shared" si="1"/>
        <v>#</v>
      </c>
      <c r="O834" s="20"/>
      <c r="P834" s="21"/>
      <c r="Q834" s="14" t="str">
        <f t="shared" si="2"/>
        <v/>
      </c>
      <c r="R834" s="14"/>
    </row>
    <row r="835">
      <c r="A835" s="14"/>
      <c r="B835" s="21"/>
      <c r="C835" s="14"/>
      <c r="D835" s="16"/>
      <c r="E835" s="16"/>
      <c r="F835" s="21"/>
      <c r="G835" s="21"/>
      <c r="H835" s="24"/>
      <c r="I835" s="24"/>
      <c r="J835" s="20"/>
      <c r="K835" s="20"/>
      <c r="L835" s="20"/>
      <c r="M835" s="20"/>
      <c r="N835" s="20" t="str">
        <f t="shared" si="1"/>
        <v>#</v>
      </c>
      <c r="O835" s="20"/>
      <c r="P835" s="21"/>
      <c r="Q835" s="14" t="str">
        <f t="shared" si="2"/>
        <v/>
      </c>
      <c r="R835" s="14"/>
    </row>
    <row r="836">
      <c r="A836" s="14"/>
      <c r="B836" s="21"/>
      <c r="C836" s="14"/>
      <c r="D836" s="16"/>
      <c r="E836" s="16"/>
      <c r="F836" s="21"/>
      <c r="G836" s="21"/>
      <c r="H836" s="24"/>
      <c r="I836" s="24"/>
      <c r="J836" s="20"/>
      <c r="K836" s="20"/>
      <c r="L836" s="20"/>
      <c r="M836" s="20"/>
      <c r="N836" s="20" t="str">
        <f t="shared" si="1"/>
        <v>#</v>
      </c>
      <c r="O836" s="20"/>
      <c r="P836" s="21"/>
      <c r="Q836" s="14" t="str">
        <f t="shared" si="2"/>
        <v/>
      </c>
      <c r="R836" s="14"/>
    </row>
    <row r="837">
      <c r="A837" s="14"/>
      <c r="B837" s="21"/>
      <c r="C837" s="14"/>
      <c r="D837" s="16"/>
      <c r="E837" s="16"/>
      <c r="F837" s="21"/>
      <c r="G837" s="21"/>
      <c r="H837" s="24"/>
      <c r="I837" s="24"/>
      <c r="J837" s="20"/>
      <c r="K837" s="20"/>
      <c r="L837" s="20"/>
      <c r="M837" s="20"/>
      <c r="N837" s="20" t="str">
        <f t="shared" si="1"/>
        <v>#</v>
      </c>
      <c r="O837" s="20"/>
      <c r="P837" s="21"/>
      <c r="Q837" s="14" t="str">
        <f t="shared" si="2"/>
        <v/>
      </c>
      <c r="R837" s="14"/>
    </row>
    <row r="838">
      <c r="A838" s="14"/>
      <c r="B838" s="21"/>
      <c r="C838" s="14"/>
      <c r="D838" s="16"/>
      <c r="E838" s="16"/>
      <c r="F838" s="21"/>
      <c r="G838" s="21"/>
      <c r="H838" s="24"/>
      <c r="I838" s="24"/>
      <c r="J838" s="20"/>
      <c r="K838" s="20"/>
      <c r="L838" s="20"/>
      <c r="M838" s="20"/>
      <c r="N838" s="20" t="str">
        <f t="shared" si="1"/>
        <v>#</v>
      </c>
      <c r="O838" s="20"/>
      <c r="P838" s="21"/>
      <c r="Q838" s="14" t="str">
        <f t="shared" si="2"/>
        <v/>
      </c>
      <c r="R838" s="14"/>
    </row>
    <row r="839">
      <c r="A839" s="14"/>
      <c r="B839" s="21"/>
      <c r="C839" s="14"/>
      <c r="D839" s="16"/>
      <c r="E839" s="16"/>
      <c r="F839" s="21"/>
      <c r="G839" s="21"/>
      <c r="H839" s="24"/>
      <c r="I839" s="24"/>
      <c r="J839" s="20"/>
      <c r="K839" s="20"/>
      <c r="L839" s="20"/>
      <c r="M839" s="20"/>
      <c r="N839" s="20" t="str">
        <f t="shared" si="1"/>
        <v>#</v>
      </c>
      <c r="O839" s="20"/>
      <c r="P839" s="21"/>
      <c r="Q839" s="14" t="str">
        <f t="shared" si="2"/>
        <v/>
      </c>
      <c r="R839" s="14"/>
    </row>
    <row r="840">
      <c r="A840" s="14"/>
      <c r="B840" s="21"/>
      <c r="C840" s="14"/>
      <c r="D840" s="16"/>
      <c r="E840" s="16"/>
      <c r="F840" s="21"/>
      <c r="G840" s="21"/>
      <c r="H840" s="24"/>
      <c r="I840" s="24"/>
      <c r="J840" s="20"/>
      <c r="K840" s="20"/>
      <c r="L840" s="20"/>
      <c r="M840" s="20"/>
      <c r="N840" s="20" t="str">
        <f t="shared" si="1"/>
        <v>#</v>
      </c>
      <c r="O840" s="20"/>
      <c r="P840" s="21"/>
      <c r="Q840" s="14" t="str">
        <f t="shared" si="2"/>
        <v/>
      </c>
      <c r="R840" s="14"/>
    </row>
    <row r="841">
      <c r="A841" s="14"/>
      <c r="B841" s="21"/>
      <c r="C841" s="14"/>
      <c r="D841" s="16"/>
      <c r="E841" s="16"/>
      <c r="F841" s="21"/>
      <c r="G841" s="21"/>
      <c r="H841" s="24"/>
      <c r="I841" s="24"/>
      <c r="J841" s="20"/>
      <c r="K841" s="20"/>
      <c r="L841" s="20"/>
      <c r="M841" s="20"/>
      <c r="N841" s="20" t="str">
        <f t="shared" si="1"/>
        <v>#</v>
      </c>
      <c r="O841" s="20"/>
      <c r="P841" s="21"/>
      <c r="Q841" s="14" t="str">
        <f t="shared" si="2"/>
        <v/>
      </c>
      <c r="R841" s="14"/>
    </row>
    <row r="842">
      <c r="A842" s="14"/>
      <c r="B842" s="21"/>
      <c r="C842" s="14"/>
      <c r="D842" s="16"/>
      <c r="E842" s="16"/>
      <c r="F842" s="21"/>
      <c r="G842" s="21"/>
      <c r="H842" s="24"/>
      <c r="I842" s="24"/>
      <c r="J842" s="20"/>
      <c r="K842" s="20"/>
      <c r="L842" s="20"/>
      <c r="M842" s="20"/>
      <c r="N842" s="20" t="str">
        <f t="shared" si="1"/>
        <v>#</v>
      </c>
      <c r="O842" s="20"/>
      <c r="P842" s="21"/>
      <c r="Q842" s="14" t="str">
        <f t="shared" si="2"/>
        <v/>
      </c>
      <c r="R842" s="14"/>
    </row>
    <row r="843">
      <c r="A843" s="14"/>
      <c r="B843" s="21"/>
      <c r="C843" s="14"/>
      <c r="D843" s="16"/>
      <c r="E843" s="16"/>
      <c r="F843" s="21"/>
      <c r="G843" s="21"/>
      <c r="H843" s="24"/>
      <c r="I843" s="24"/>
      <c r="J843" s="20"/>
      <c r="K843" s="20"/>
      <c r="L843" s="20"/>
      <c r="M843" s="20"/>
      <c r="N843" s="20" t="str">
        <f t="shared" si="1"/>
        <v>#</v>
      </c>
      <c r="O843" s="20"/>
      <c r="P843" s="21"/>
      <c r="Q843" s="14" t="str">
        <f t="shared" si="2"/>
        <v/>
      </c>
      <c r="R843" s="14"/>
    </row>
    <row r="844">
      <c r="A844" s="14"/>
      <c r="B844" s="21"/>
      <c r="C844" s="14"/>
      <c r="D844" s="16"/>
      <c r="E844" s="16"/>
      <c r="F844" s="21"/>
      <c r="G844" s="21"/>
      <c r="H844" s="24"/>
      <c r="I844" s="24"/>
      <c r="J844" s="20"/>
      <c r="K844" s="20"/>
      <c r="L844" s="20"/>
      <c r="M844" s="20"/>
      <c r="N844" s="20" t="str">
        <f t="shared" si="1"/>
        <v>#</v>
      </c>
      <c r="O844" s="20"/>
      <c r="P844" s="21"/>
      <c r="Q844" s="14" t="str">
        <f t="shared" si="2"/>
        <v/>
      </c>
      <c r="R844" s="14"/>
    </row>
    <row r="845">
      <c r="A845" s="14"/>
      <c r="B845" s="21"/>
      <c r="C845" s="14"/>
      <c r="D845" s="16"/>
      <c r="E845" s="16"/>
      <c r="F845" s="21"/>
      <c r="G845" s="21"/>
      <c r="H845" s="24"/>
      <c r="I845" s="24"/>
      <c r="J845" s="20"/>
      <c r="K845" s="20"/>
      <c r="L845" s="20"/>
      <c r="M845" s="20"/>
      <c r="N845" s="20" t="str">
        <f t="shared" si="1"/>
        <v>#</v>
      </c>
      <c r="O845" s="20"/>
      <c r="P845" s="21"/>
      <c r="Q845" s="14" t="str">
        <f t="shared" si="2"/>
        <v/>
      </c>
      <c r="R845" s="14"/>
    </row>
    <row r="846">
      <c r="A846" s="14"/>
      <c r="B846" s="21"/>
      <c r="C846" s="14"/>
      <c r="D846" s="16"/>
      <c r="E846" s="16"/>
      <c r="F846" s="21"/>
      <c r="G846" s="21"/>
      <c r="H846" s="24"/>
      <c r="I846" s="24"/>
      <c r="J846" s="20"/>
      <c r="K846" s="20"/>
      <c r="L846" s="20"/>
      <c r="M846" s="20"/>
      <c r="N846" s="20" t="str">
        <f t="shared" si="1"/>
        <v>#</v>
      </c>
      <c r="O846" s="20"/>
      <c r="P846" s="21"/>
      <c r="Q846" s="14" t="str">
        <f t="shared" si="2"/>
        <v/>
      </c>
      <c r="R846" s="14"/>
    </row>
    <row r="847">
      <c r="A847" s="14"/>
      <c r="B847" s="21"/>
      <c r="C847" s="14"/>
      <c r="D847" s="16"/>
      <c r="E847" s="16"/>
      <c r="F847" s="21"/>
      <c r="G847" s="21"/>
      <c r="H847" s="24"/>
      <c r="I847" s="24"/>
      <c r="J847" s="20"/>
      <c r="K847" s="20"/>
      <c r="L847" s="20"/>
      <c r="M847" s="20"/>
      <c r="N847" s="20" t="str">
        <f t="shared" si="1"/>
        <v>#</v>
      </c>
      <c r="O847" s="20"/>
      <c r="P847" s="21"/>
      <c r="Q847" s="14" t="str">
        <f t="shared" si="2"/>
        <v/>
      </c>
      <c r="R847" s="14"/>
    </row>
    <row r="848">
      <c r="A848" s="14"/>
      <c r="B848" s="21"/>
      <c r="C848" s="14"/>
      <c r="D848" s="16"/>
      <c r="E848" s="16"/>
      <c r="F848" s="21"/>
      <c r="G848" s="21"/>
      <c r="H848" s="24"/>
      <c r="I848" s="24"/>
      <c r="J848" s="20"/>
      <c r="K848" s="20"/>
      <c r="L848" s="20"/>
      <c r="M848" s="20"/>
      <c r="N848" s="20" t="str">
        <f t="shared" si="1"/>
        <v>#</v>
      </c>
      <c r="O848" s="20"/>
      <c r="P848" s="21"/>
      <c r="Q848" s="14" t="str">
        <f t="shared" si="2"/>
        <v/>
      </c>
      <c r="R848" s="14"/>
    </row>
    <row r="849">
      <c r="A849" s="14"/>
      <c r="B849" s="21"/>
      <c r="C849" s="14"/>
      <c r="D849" s="16"/>
      <c r="E849" s="16"/>
      <c r="F849" s="21"/>
      <c r="G849" s="21"/>
      <c r="H849" s="24"/>
      <c r="I849" s="24"/>
      <c r="J849" s="20"/>
      <c r="K849" s="20"/>
      <c r="L849" s="20"/>
      <c r="M849" s="20"/>
      <c r="N849" s="20" t="str">
        <f t="shared" si="1"/>
        <v>#</v>
      </c>
      <c r="O849" s="20"/>
      <c r="P849" s="21"/>
      <c r="Q849" s="14" t="str">
        <f t="shared" si="2"/>
        <v/>
      </c>
      <c r="R849" s="14"/>
    </row>
    <row r="850">
      <c r="A850" s="14"/>
      <c r="B850" s="21"/>
      <c r="C850" s="14"/>
      <c r="D850" s="16"/>
      <c r="E850" s="16"/>
      <c r="F850" s="21"/>
      <c r="G850" s="21"/>
      <c r="H850" s="24"/>
      <c r="I850" s="24"/>
      <c r="J850" s="20"/>
      <c r="K850" s="20"/>
      <c r="L850" s="20"/>
      <c r="M850" s="20"/>
      <c r="N850" s="20" t="str">
        <f t="shared" si="1"/>
        <v>#</v>
      </c>
      <c r="O850" s="20"/>
      <c r="P850" s="21"/>
      <c r="Q850" s="14" t="str">
        <f t="shared" si="2"/>
        <v/>
      </c>
      <c r="R850" s="14"/>
    </row>
    <row r="851">
      <c r="A851" s="14"/>
      <c r="B851" s="21"/>
      <c r="C851" s="14"/>
      <c r="D851" s="16"/>
      <c r="E851" s="16"/>
      <c r="F851" s="21"/>
      <c r="G851" s="21"/>
      <c r="H851" s="24"/>
      <c r="I851" s="24"/>
      <c r="J851" s="20"/>
      <c r="K851" s="20"/>
      <c r="L851" s="20"/>
      <c r="M851" s="20"/>
      <c r="N851" s="20" t="str">
        <f t="shared" si="1"/>
        <v>#</v>
      </c>
      <c r="O851" s="20"/>
      <c r="P851" s="21"/>
      <c r="Q851" s="14" t="str">
        <f t="shared" si="2"/>
        <v/>
      </c>
      <c r="R851" s="14"/>
    </row>
    <row r="852">
      <c r="A852" s="14"/>
      <c r="B852" s="21"/>
      <c r="C852" s="14"/>
      <c r="D852" s="16"/>
      <c r="E852" s="16"/>
      <c r="F852" s="21"/>
      <c r="G852" s="21"/>
      <c r="H852" s="24"/>
      <c r="I852" s="24"/>
      <c r="J852" s="20"/>
      <c r="K852" s="20"/>
      <c r="L852" s="20"/>
      <c r="M852" s="20"/>
      <c r="N852" s="20" t="str">
        <f t="shared" si="1"/>
        <v>#</v>
      </c>
      <c r="O852" s="20"/>
      <c r="P852" s="21"/>
      <c r="Q852" s="14" t="str">
        <f t="shared" si="2"/>
        <v/>
      </c>
      <c r="R852" s="14"/>
    </row>
    <row r="853">
      <c r="A853" s="14"/>
      <c r="B853" s="21"/>
      <c r="C853" s="14"/>
      <c r="D853" s="16"/>
      <c r="E853" s="16"/>
      <c r="F853" s="21"/>
      <c r="G853" s="21"/>
      <c r="H853" s="24"/>
      <c r="I853" s="24"/>
      <c r="J853" s="20"/>
      <c r="K853" s="20"/>
      <c r="L853" s="20"/>
      <c r="M853" s="20"/>
      <c r="N853" s="20" t="str">
        <f t="shared" si="1"/>
        <v>#</v>
      </c>
      <c r="O853" s="20"/>
      <c r="P853" s="21"/>
      <c r="Q853" s="14" t="str">
        <f t="shared" si="2"/>
        <v/>
      </c>
      <c r="R853" s="14"/>
    </row>
    <row r="854">
      <c r="A854" s="14"/>
      <c r="B854" s="21"/>
      <c r="C854" s="14"/>
      <c r="D854" s="16"/>
      <c r="E854" s="16"/>
      <c r="F854" s="21"/>
      <c r="G854" s="21"/>
      <c r="H854" s="24"/>
      <c r="I854" s="24"/>
      <c r="J854" s="20"/>
      <c r="K854" s="20"/>
      <c r="L854" s="20"/>
      <c r="M854" s="20"/>
      <c r="N854" s="20" t="str">
        <f t="shared" si="1"/>
        <v>#</v>
      </c>
      <c r="O854" s="20"/>
      <c r="P854" s="21"/>
      <c r="Q854" s="14" t="str">
        <f t="shared" si="2"/>
        <v/>
      </c>
      <c r="R854" s="14"/>
    </row>
    <row r="855">
      <c r="A855" s="14"/>
      <c r="B855" s="21"/>
      <c r="C855" s="14"/>
      <c r="D855" s="16"/>
      <c r="E855" s="16"/>
      <c r="F855" s="21"/>
      <c r="G855" s="21"/>
      <c r="H855" s="24"/>
      <c r="I855" s="24"/>
      <c r="J855" s="20"/>
      <c r="K855" s="20"/>
      <c r="L855" s="20"/>
      <c r="M855" s="20"/>
      <c r="N855" s="20" t="str">
        <f t="shared" si="1"/>
        <v>#</v>
      </c>
      <c r="O855" s="20"/>
      <c r="P855" s="21"/>
      <c r="Q855" s="14" t="str">
        <f t="shared" si="2"/>
        <v/>
      </c>
      <c r="R855" s="14"/>
    </row>
    <row r="856">
      <c r="A856" s="14"/>
      <c r="B856" s="21"/>
      <c r="C856" s="14"/>
      <c r="D856" s="16"/>
      <c r="E856" s="16"/>
      <c r="F856" s="21"/>
      <c r="G856" s="21"/>
      <c r="H856" s="24"/>
      <c r="I856" s="24"/>
      <c r="J856" s="20"/>
      <c r="K856" s="20"/>
      <c r="L856" s="20"/>
      <c r="M856" s="20"/>
      <c r="N856" s="20" t="str">
        <f t="shared" si="1"/>
        <v>#</v>
      </c>
      <c r="O856" s="20"/>
      <c r="P856" s="21"/>
      <c r="Q856" s="14" t="str">
        <f t="shared" si="2"/>
        <v/>
      </c>
      <c r="R856" s="14"/>
    </row>
    <row r="857">
      <c r="A857" s="14"/>
      <c r="B857" s="21"/>
      <c r="C857" s="14"/>
      <c r="D857" s="16"/>
      <c r="E857" s="16"/>
      <c r="F857" s="21"/>
      <c r="G857" s="21"/>
      <c r="H857" s="24"/>
      <c r="I857" s="24"/>
      <c r="J857" s="20"/>
      <c r="K857" s="20"/>
      <c r="L857" s="20"/>
      <c r="M857" s="20"/>
      <c r="N857" s="20" t="str">
        <f t="shared" si="1"/>
        <v>#</v>
      </c>
      <c r="O857" s="20"/>
      <c r="P857" s="21"/>
      <c r="Q857" s="14" t="str">
        <f t="shared" si="2"/>
        <v/>
      </c>
      <c r="R857" s="14"/>
    </row>
    <row r="858">
      <c r="A858" s="14"/>
      <c r="B858" s="21"/>
      <c r="C858" s="14"/>
      <c r="D858" s="16"/>
      <c r="E858" s="16"/>
      <c r="F858" s="21"/>
      <c r="G858" s="21"/>
      <c r="H858" s="24"/>
      <c r="I858" s="24"/>
      <c r="J858" s="20"/>
      <c r="K858" s="20"/>
      <c r="L858" s="20"/>
      <c r="M858" s="20"/>
      <c r="N858" s="20" t="str">
        <f t="shared" si="1"/>
        <v>#</v>
      </c>
      <c r="O858" s="20"/>
      <c r="P858" s="21"/>
      <c r="Q858" s="14" t="str">
        <f t="shared" si="2"/>
        <v/>
      </c>
      <c r="R858" s="14"/>
    </row>
    <row r="859">
      <c r="A859" s="14"/>
      <c r="B859" s="21"/>
      <c r="C859" s="14"/>
      <c r="D859" s="16"/>
      <c r="E859" s="16"/>
      <c r="F859" s="21"/>
      <c r="G859" s="21"/>
      <c r="H859" s="24"/>
      <c r="I859" s="24"/>
      <c r="J859" s="20"/>
      <c r="K859" s="20"/>
      <c r="L859" s="20"/>
      <c r="M859" s="20"/>
      <c r="N859" s="20" t="str">
        <f t="shared" si="1"/>
        <v>#</v>
      </c>
      <c r="O859" s="20"/>
      <c r="P859" s="21"/>
      <c r="Q859" s="14" t="str">
        <f t="shared" si="2"/>
        <v/>
      </c>
      <c r="R859" s="14"/>
    </row>
    <row r="860">
      <c r="A860" s="14"/>
      <c r="B860" s="21"/>
      <c r="C860" s="14"/>
      <c r="D860" s="16"/>
      <c r="E860" s="16"/>
      <c r="F860" s="21"/>
      <c r="G860" s="21"/>
      <c r="H860" s="24"/>
      <c r="I860" s="24"/>
      <c r="J860" s="20"/>
      <c r="K860" s="20"/>
      <c r="L860" s="20"/>
      <c r="M860" s="20"/>
      <c r="N860" s="20" t="str">
        <f t="shared" si="1"/>
        <v>#</v>
      </c>
      <c r="O860" s="20"/>
      <c r="P860" s="21"/>
      <c r="Q860" s="14" t="str">
        <f t="shared" si="2"/>
        <v/>
      </c>
      <c r="R860" s="14"/>
    </row>
    <row r="861">
      <c r="A861" s="14"/>
      <c r="B861" s="21"/>
      <c r="C861" s="14"/>
      <c r="D861" s="16"/>
      <c r="E861" s="16"/>
      <c r="F861" s="21"/>
      <c r="G861" s="21"/>
      <c r="H861" s="24"/>
      <c r="I861" s="24"/>
      <c r="J861" s="20"/>
      <c r="K861" s="20"/>
      <c r="L861" s="20"/>
      <c r="M861" s="20"/>
      <c r="N861" s="20" t="str">
        <f t="shared" si="1"/>
        <v>#</v>
      </c>
      <c r="O861" s="20"/>
      <c r="P861" s="21"/>
      <c r="Q861" s="14" t="str">
        <f t="shared" si="2"/>
        <v/>
      </c>
      <c r="R861" s="14"/>
    </row>
    <row r="862">
      <c r="A862" s="14"/>
      <c r="B862" s="21"/>
      <c r="C862" s="14"/>
      <c r="D862" s="16"/>
      <c r="E862" s="16"/>
      <c r="F862" s="21"/>
      <c r="G862" s="21"/>
      <c r="H862" s="24"/>
      <c r="I862" s="24"/>
      <c r="J862" s="20"/>
      <c r="K862" s="20"/>
      <c r="L862" s="20"/>
      <c r="M862" s="20"/>
      <c r="N862" s="20" t="str">
        <f t="shared" si="1"/>
        <v>#</v>
      </c>
      <c r="O862" s="20"/>
      <c r="P862" s="21"/>
      <c r="Q862" s="14" t="str">
        <f t="shared" si="2"/>
        <v/>
      </c>
      <c r="R862" s="14"/>
    </row>
    <row r="863">
      <c r="A863" s="14"/>
      <c r="B863" s="21"/>
      <c r="C863" s="14"/>
      <c r="D863" s="16"/>
      <c r="E863" s="16"/>
      <c r="F863" s="21"/>
      <c r="G863" s="21"/>
      <c r="H863" s="24"/>
      <c r="I863" s="24"/>
      <c r="J863" s="20"/>
      <c r="K863" s="20"/>
      <c r="L863" s="20"/>
      <c r="M863" s="20"/>
      <c r="N863" s="20" t="str">
        <f t="shared" si="1"/>
        <v>#</v>
      </c>
      <c r="O863" s="20"/>
      <c r="P863" s="21"/>
      <c r="Q863" s="14" t="str">
        <f t="shared" si="2"/>
        <v/>
      </c>
      <c r="R863" s="14"/>
    </row>
    <row r="864">
      <c r="A864" s="14"/>
      <c r="B864" s="21"/>
      <c r="C864" s="14"/>
      <c r="D864" s="16"/>
      <c r="E864" s="16"/>
      <c r="F864" s="21"/>
      <c r="G864" s="21"/>
      <c r="H864" s="24"/>
      <c r="I864" s="24"/>
      <c r="J864" s="20"/>
      <c r="K864" s="20"/>
      <c r="L864" s="20"/>
      <c r="M864" s="20"/>
      <c r="N864" s="20" t="str">
        <f t="shared" si="1"/>
        <v>#</v>
      </c>
      <c r="O864" s="20"/>
      <c r="P864" s="21"/>
      <c r="Q864" s="14" t="str">
        <f t="shared" si="2"/>
        <v/>
      </c>
      <c r="R864" s="14"/>
    </row>
    <row r="865">
      <c r="A865" s="14"/>
      <c r="B865" s="21"/>
      <c r="C865" s="14"/>
      <c r="D865" s="16"/>
      <c r="E865" s="16"/>
      <c r="F865" s="21"/>
      <c r="G865" s="21"/>
      <c r="H865" s="24"/>
      <c r="I865" s="24"/>
      <c r="J865" s="20"/>
      <c r="K865" s="20"/>
      <c r="L865" s="20"/>
      <c r="M865" s="20"/>
      <c r="N865" s="20" t="str">
        <f t="shared" si="1"/>
        <v>#</v>
      </c>
      <c r="O865" s="20"/>
      <c r="P865" s="21"/>
      <c r="Q865" s="14" t="str">
        <f t="shared" si="2"/>
        <v/>
      </c>
      <c r="R865" s="14"/>
    </row>
    <row r="866">
      <c r="A866" s="14"/>
      <c r="B866" s="21"/>
      <c r="C866" s="14"/>
      <c r="D866" s="16"/>
      <c r="E866" s="16"/>
      <c r="F866" s="21"/>
      <c r="G866" s="21"/>
      <c r="H866" s="24"/>
      <c r="I866" s="24"/>
      <c r="J866" s="20"/>
      <c r="K866" s="20"/>
      <c r="L866" s="20"/>
      <c r="M866" s="20"/>
      <c r="N866" s="20" t="str">
        <f t="shared" si="1"/>
        <v>#</v>
      </c>
      <c r="O866" s="20"/>
      <c r="P866" s="21"/>
      <c r="Q866" s="14" t="str">
        <f t="shared" si="2"/>
        <v/>
      </c>
      <c r="R866" s="14"/>
    </row>
    <row r="867">
      <c r="A867" s="14"/>
      <c r="B867" s="21"/>
      <c r="C867" s="14"/>
      <c r="D867" s="16"/>
      <c r="E867" s="16"/>
      <c r="F867" s="21"/>
      <c r="G867" s="21"/>
      <c r="H867" s="24"/>
      <c r="I867" s="24"/>
      <c r="J867" s="20"/>
      <c r="K867" s="20"/>
      <c r="L867" s="20"/>
      <c r="M867" s="20"/>
      <c r="N867" s="20" t="str">
        <f t="shared" si="1"/>
        <v>#</v>
      </c>
      <c r="O867" s="20"/>
      <c r="P867" s="21"/>
      <c r="Q867" s="14" t="str">
        <f t="shared" si="2"/>
        <v/>
      </c>
      <c r="R867" s="14"/>
    </row>
    <row r="868">
      <c r="A868" s="14"/>
      <c r="B868" s="21"/>
      <c r="C868" s="14"/>
      <c r="D868" s="16"/>
      <c r="E868" s="16"/>
      <c r="F868" s="21"/>
      <c r="G868" s="21"/>
      <c r="H868" s="24"/>
      <c r="I868" s="24"/>
      <c r="J868" s="20"/>
      <c r="K868" s="20"/>
      <c r="L868" s="20"/>
      <c r="M868" s="20"/>
      <c r="N868" s="20" t="str">
        <f t="shared" si="1"/>
        <v>#</v>
      </c>
      <c r="O868" s="20"/>
      <c r="P868" s="21"/>
      <c r="Q868" s="14" t="str">
        <f t="shared" si="2"/>
        <v/>
      </c>
      <c r="R868" s="14"/>
    </row>
    <row r="869">
      <c r="A869" s="14"/>
      <c r="B869" s="21"/>
      <c r="C869" s="14"/>
      <c r="D869" s="16"/>
      <c r="E869" s="16"/>
      <c r="F869" s="21"/>
      <c r="G869" s="21"/>
      <c r="H869" s="24"/>
      <c r="I869" s="24"/>
      <c r="J869" s="20"/>
      <c r="K869" s="20"/>
      <c r="L869" s="20"/>
      <c r="M869" s="20"/>
      <c r="N869" s="20" t="str">
        <f t="shared" si="1"/>
        <v>#</v>
      </c>
      <c r="O869" s="20"/>
      <c r="P869" s="21"/>
      <c r="Q869" s="14" t="str">
        <f t="shared" si="2"/>
        <v/>
      </c>
      <c r="R869" s="14"/>
    </row>
    <row r="870">
      <c r="A870" s="14"/>
      <c r="B870" s="21"/>
      <c r="C870" s="14"/>
      <c r="D870" s="16"/>
      <c r="E870" s="16"/>
      <c r="F870" s="21"/>
      <c r="G870" s="21"/>
      <c r="H870" s="24"/>
      <c r="I870" s="24"/>
      <c r="J870" s="20"/>
      <c r="K870" s="20"/>
      <c r="L870" s="20"/>
      <c r="M870" s="20"/>
      <c r="N870" s="20" t="str">
        <f t="shared" si="1"/>
        <v>#</v>
      </c>
      <c r="O870" s="20"/>
      <c r="P870" s="21"/>
      <c r="Q870" s="14" t="str">
        <f t="shared" si="2"/>
        <v/>
      </c>
      <c r="R870" s="14"/>
    </row>
    <row r="871">
      <c r="A871" s="14"/>
      <c r="B871" s="21"/>
      <c r="C871" s="14"/>
      <c r="D871" s="16"/>
      <c r="E871" s="16"/>
      <c r="F871" s="21"/>
      <c r="G871" s="21"/>
      <c r="H871" s="24"/>
      <c r="I871" s="24"/>
      <c r="J871" s="20"/>
      <c r="K871" s="20"/>
      <c r="L871" s="20"/>
      <c r="M871" s="20"/>
      <c r="N871" s="20" t="str">
        <f t="shared" si="1"/>
        <v>#</v>
      </c>
      <c r="O871" s="20"/>
      <c r="P871" s="21"/>
      <c r="Q871" s="14" t="str">
        <f t="shared" si="2"/>
        <v/>
      </c>
      <c r="R871" s="14"/>
    </row>
    <row r="872">
      <c r="A872" s="14"/>
      <c r="B872" s="21"/>
      <c r="C872" s="14"/>
      <c r="D872" s="16"/>
      <c r="E872" s="16"/>
      <c r="F872" s="21"/>
      <c r="G872" s="21"/>
      <c r="H872" s="24"/>
      <c r="I872" s="24"/>
      <c r="J872" s="20"/>
      <c r="K872" s="20"/>
      <c r="L872" s="20"/>
      <c r="M872" s="20"/>
      <c r="N872" s="20" t="str">
        <f t="shared" si="1"/>
        <v>#</v>
      </c>
      <c r="O872" s="20"/>
      <c r="P872" s="21"/>
      <c r="Q872" s="14" t="str">
        <f t="shared" si="2"/>
        <v/>
      </c>
      <c r="R872" s="14"/>
    </row>
    <row r="873">
      <c r="A873" s="14"/>
      <c r="B873" s="21"/>
      <c r="C873" s="14"/>
      <c r="D873" s="16"/>
      <c r="E873" s="16"/>
      <c r="F873" s="21"/>
      <c r="G873" s="21"/>
      <c r="H873" s="24"/>
      <c r="I873" s="24"/>
      <c r="J873" s="20"/>
      <c r="K873" s="20"/>
      <c r="L873" s="20"/>
      <c r="M873" s="20"/>
      <c r="N873" s="20" t="str">
        <f t="shared" si="1"/>
        <v>#</v>
      </c>
      <c r="O873" s="20"/>
      <c r="P873" s="21"/>
      <c r="Q873" s="14" t="str">
        <f t="shared" si="2"/>
        <v/>
      </c>
      <c r="R873" s="14"/>
    </row>
    <row r="874">
      <c r="A874" s="14"/>
      <c r="B874" s="21"/>
      <c r="C874" s="14"/>
      <c r="D874" s="16"/>
      <c r="E874" s="16"/>
      <c r="F874" s="21"/>
      <c r="G874" s="21"/>
      <c r="H874" s="24"/>
      <c r="I874" s="24"/>
      <c r="J874" s="20"/>
      <c r="K874" s="20"/>
      <c r="L874" s="20"/>
      <c r="M874" s="20"/>
      <c r="N874" s="20" t="str">
        <f t="shared" si="1"/>
        <v>#</v>
      </c>
      <c r="O874" s="20"/>
      <c r="P874" s="21"/>
      <c r="Q874" s="14" t="str">
        <f t="shared" si="2"/>
        <v/>
      </c>
      <c r="R874" s="14"/>
    </row>
    <row r="875">
      <c r="A875" s="14"/>
      <c r="B875" s="21"/>
      <c r="C875" s="14"/>
      <c r="D875" s="16"/>
      <c r="E875" s="16"/>
      <c r="F875" s="21"/>
      <c r="G875" s="21"/>
      <c r="H875" s="24"/>
      <c r="I875" s="24"/>
      <c r="J875" s="20"/>
      <c r="K875" s="20"/>
      <c r="L875" s="20"/>
      <c r="M875" s="20"/>
      <c r="N875" s="20" t="str">
        <f t="shared" si="1"/>
        <v>#</v>
      </c>
      <c r="O875" s="20"/>
      <c r="P875" s="21"/>
      <c r="Q875" s="14" t="str">
        <f t="shared" si="2"/>
        <v/>
      </c>
      <c r="R875" s="14"/>
    </row>
    <row r="876">
      <c r="A876" s="14"/>
      <c r="B876" s="21"/>
      <c r="C876" s="14"/>
      <c r="D876" s="16"/>
      <c r="E876" s="16"/>
      <c r="F876" s="21"/>
      <c r="G876" s="21"/>
      <c r="H876" s="24"/>
      <c r="I876" s="24"/>
      <c r="J876" s="20"/>
      <c r="K876" s="20"/>
      <c r="L876" s="20"/>
      <c r="M876" s="20"/>
      <c r="N876" s="20" t="str">
        <f t="shared" si="1"/>
        <v>#</v>
      </c>
      <c r="O876" s="20"/>
      <c r="P876" s="21"/>
      <c r="Q876" s="14" t="str">
        <f t="shared" si="2"/>
        <v/>
      </c>
      <c r="R876" s="14"/>
    </row>
    <row r="877">
      <c r="A877" s="14"/>
      <c r="B877" s="21"/>
      <c r="C877" s="14"/>
      <c r="D877" s="16"/>
      <c r="E877" s="16"/>
      <c r="F877" s="21"/>
      <c r="G877" s="21"/>
      <c r="H877" s="24"/>
      <c r="I877" s="24"/>
      <c r="J877" s="20"/>
      <c r="K877" s="20"/>
      <c r="L877" s="20"/>
      <c r="M877" s="20"/>
      <c r="N877" s="20" t="str">
        <f t="shared" si="1"/>
        <v>#</v>
      </c>
      <c r="O877" s="20"/>
      <c r="P877" s="21"/>
      <c r="Q877" s="14" t="str">
        <f t="shared" si="2"/>
        <v/>
      </c>
      <c r="R877" s="14"/>
    </row>
    <row r="878">
      <c r="A878" s="14"/>
      <c r="B878" s="21"/>
      <c r="C878" s="14"/>
      <c r="D878" s="16"/>
      <c r="E878" s="16"/>
      <c r="F878" s="21"/>
      <c r="G878" s="21"/>
      <c r="H878" s="24"/>
      <c r="I878" s="24"/>
      <c r="J878" s="20"/>
      <c r="K878" s="20"/>
      <c r="L878" s="20"/>
      <c r="M878" s="20"/>
      <c r="N878" s="20" t="str">
        <f t="shared" si="1"/>
        <v>#</v>
      </c>
      <c r="O878" s="20"/>
      <c r="P878" s="21"/>
      <c r="Q878" s="14" t="str">
        <f t="shared" si="2"/>
        <v/>
      </c>
      <c r="R878" s="14"/>
    </row>
    <row r="879">
      <c r="A879" s="14"/>
      <c r="B879" s="21"/>
      <c r="C879" s="14"/>
      <c r="D879" s="16"/>
      <c r="E879" s="16"/>
      <c r="F879" s="21"/>
      <c r="G879" s="21"/>
      <c r="H879" s="24"/>
      <c r="I879" s="24"/>
      <c r="J879" s="20"/>
      <c r="K879" s="20"/>
      <c r="L879" s="20"/>
      <c r="M879" s="20"/>
      <c r="N879" s="20" t="str">
        <f t="shared" si="1"/>
        <v>#</v>
      </c>
      <c r="O879" s="20"/>
      <c r="P879" s="21"/>
      <c r="Q879" s="14" t="str">
        <f t="shared" si="2"/>
        <v/>
      </c>
      <c r="R879" s="14"/>
    </row>
    <row r="880">
      <c r="A880" s="14"/>
      <c r="B880" s="21"/>
      <c r="C880" s="14"/>
      <c r="D880" s="16"/>
      <c r="E880" s="16"/>
      <c r="F880" s="21"/>
      <c r="G880" s="21"/>
      <c r="H880" s="24"/>
      <c r="I880" s="24"/>
      <c r="J880" s="20"/>
      <c r="K880" s="20"/>
      <c r="L880" s="20"/>
      <c r="M880" s="20"/>
      <c r="N880" s="20" t="str">
        <f t="shared" si="1"/>
        <v>#</v>
      </c>
      <c r="O880" s="20"/>
      <c r="P880" s="21"/>
      <c r="Q880" s="14" t="str">
        <f t="shared" si="2"/>
        <v/>
      </c>
      <c r="R880" s="14"/>
    </row>
    <row r="881">
      <c r="A881" s="14"/>
      <c r="B881" s="21"/>
      <c r="C881" s="14"/>
      <c r="D881" s="16"/>
      <c r="E881" s="16"/>
      <c r="F881" s="21"/>
      <c r="G881" s="21"/>
      <c r="H881" s="24"/>
      <c r="I881" s="24"/>
      <c r="J881" s="20"/>
      <c r="K881" s="20"/>
      <c r="L881" s="20"/>
      <c r="M881" s="20"/>
      <c r="N881" s="20" t="str">
        <f t="shared" si="1"/>
        <v>#</v>
      </c>
      <c r="O881" s="20"/>
      <c r="P881" s="21"/>
      <c r="Q881" s="14" t="str">
        <f t="shared" si="2"/>
        <v/>
      </c>
      <c r="R881" s="14"/>
    </row>
    <row r="882">
      <c r="A882" s="14"/>
      <c r="B882" s="21"/>
      <c r="C882" s="14"/>
      <c r="D882" s="16"/>
      <c r="E882" s="16"/>
      <c r="F882" s="21"/>
      <c r="G882" s="21"/>
      <c r="H882" s="24"/>
      <c r="I882" s="24"/>
      <c r="J882" s="20"/>
      <c r="K882" s="20"/>
      <c r="L882" s="20"/>
      <c r="M882" s="20"/>
      <c r="N882" s="20" t="str">
        <f t="shared" si="1"/>
        <v>#</v>
      </c>
      <c r="O882" s="20"/>
      <c r="P882" s="21"/>
      <c r="Q882" s="14" t="str">
        <f t="shared" si="2"/>
        <v/>
      </c>
      <c r="R882" s="14"/>
    </row>
    <row r="883">
      <c r="A883" s="14"/>
      <c r="B883" s="21"/>
      <c r="C883" s="14"/>
      <c r="D883" s="16"/>
      <c r="E883" s="16"/>
      <c r="F883" s="21"/>
      <c r="G883" s="21"/>
      <c r="H883" s="24"/>
      <c r="I883" s="24"/>
      <c r="J883" s="20"/>
      <c r="K883" s="20"/>
      <c r="L883" s="20"/>
      <c r="M883" s="20"/>
      <c r="N883" s="20" t="str">
        <f t="shared" si="1"/>
        <v>#</v>
      </c>
      <c r="O883" s="20"/>
      <c r="P883" s="21"/>
      <c r="Q883" s="14" t="str">
        <f t="shared" si="2"/>
        <v/>
      </c>
      <c r="R883" s="14"/>
    </row>
    <row r="884">
      <c r="A884" s="14"/>
      <c r="B884" s="21"/>
      <c r="C884" s="14"/>
      <c r="D884" s="16"/>
      <c r="E884" s="16"/>
      <c r="F884" s="21"/>
      <c r="G884" s="21"/>
      <c r="H884" s="24"/>
      <c r="I884" s="24"/>
      <c r="J884" s="20"/>
      <c r="K884" s="20"/>
      <c r="L884" s="20"/>
      <c r="M884" s="20"/>
      <c r="N884" s="20" t="str">
        <f t="shared" si="1"/>
        <v>#</v>
      </c>
      <c r="O884" s="20"/>
      <c r="P884" s="21"/>
      <c r="Q884" s="14" t="str">
        <f t="shared" si="2"/>
        <v/>
      </c>
      <c r="R884" s="14"/>
    </row>
    <row r="885">
      <c r="A885" s="14"/>
      <c r="B885" s="21"/>
      <c r="C885" s="14"/>
      <c r="D885" s="16"/>
      <c r="E885" s="16"/>
      <c r="F885" s="21"/>
      <c r="G885" s="21"/>
      <c r="H885" s="24"/>
      <c r="I885" s="24"/>
      <c r="J885" s="20"/>
      <c r="K885" s="20"/>
      <c r="L885" s="20"/>
      <c r="M885" s="20"/>
      <c r="N885" s="20" t="str">
        <f t="shared" si="1"/>
        <v>#</v>
      </c>
      <c r="O885" s="20"/>
      <c r="P885" s="21"/>
      <c r="Q885" s="14" t="str">
        <f t="shared" si="2"/>
        <v/>
      </c>
      <c r="R885" s="14"/>
    </row>
    <row r="886">
      <c r="A886" s="14"/>
      <c r="B886" s="21"/>
      <c r="C886" s="14"/>
      <c r="D886" s="16"/>
      <c r="E886" s="16"/>
      <c r="F886" s="21"/>
      <c r="G886" s="21"/>
      <c r="H886" s="24"/>
      <c r="I886" s="24"/>
      <c r="J886" s="20"/>
      <c r="K886" s="20"/>
      <c r="L886" s="20"/>
      <c r="M886" s="20"/>
      <c r="N886" s="20" t="str">
        <f t="shared" si="1"/>
        <v>#</v>
      </c>
      <c r="O886" s="20"/>
      <c r="P886" s="21"/>
      <c r="Q886" s="14" t="str">
        <f t="shared" si="2"/>
        <v/>
      </c>
      <c r="R886" s="14"/>
    </row>
    <row r="887">
      <c r="A887" s="14"/>
      <c r="B887" s="21"/>
      <c r="C887" s="14"/>
      <c r="D887" s="16"/>
      <c r="E887" s="16"/>
      <c r="F887" s="21"/>
      <c r="G887" s="21"/>
      <c r="H887" s="24"/>
      <c r="I887" s="24"/>
      <c r="J887" s="20"/>
      <c r="K887" s="20"/>
      <c r="L887" s="20"/>
      <c r="M887" s="20"/>
      <c r="N887" s="20" t="str">
        <f t="shared" si="1"/>
        <v>#</v>
      </c>
      <c r="O887" s="20"/>
      <c r="P887" s="21"/>
      <c r="Q887" s="14" t="str">
        <f t="shared" si="2"/>
        <v/>
      </c>
      <c r="R887" s="14"/>
    </row>
    <row r="888">
      <c r="A888" s="14"/>
      <c r="B888" s="21"/>
      <c r="C888" s="14"/>
      <c r="D888" s="16"/>
      <c r="E888" s="16"/>
      <c r="F888" s="21"/>
      <c r="G888" s="21"/>
      <c r="H888" s="24"/>
      <c r="I888" s="24"/>
      <c r="J888" s="20"/>
      <c r="K888" s="20"/>
      <c r="L888" s="20"/>
      <c r="M888" s="20"/>
      <c r="N888" s="20" t="str">
        <f t="shared" si="1"/>
        <v>#</v>
      </c>
      <c r="O888" s="20"/>
      <c r="P888" s="21"/>
      <c r="Q888" s="14" t="str">
        <f t="shared" si="2"/>
        <v/>
      </c>
      <c r="R888" s="14"/>
    </row>
    <row r="889">
      <c r="A889" s="14"/>
      <c r="B889" s="21"/>
      <c r="C889" s="14"/>
      <c r="D889" s="16"/>
      <c r="E889" s="16"/>
      <c r="F889" s="21"/>
      <c r="G889" s="21"/>
      <c r="H889" s="24"/>
      <c r="I889" s="24"/>
      <c r="J889" s="20"/>
      <c r="K889" s="20"/>
      <c r="L889" s="20"/>
      <c r="M889" s="20"/>
      <c r="N889" s="20" t="str">
        <f t="shared" si="1"/>
        <v>#</v>
      </c>
      <c r="O889" s="20"/>
      <c r="P889" s="21"/>
      <c r="Q889" s="14" t="str">
        <f t="shared" si="2"/>
        <v/>
      </c>
      <c r="R889" s="14"/>
    </row>
    <row r="890">
      <c r="A890" s="14"/>
      <c r="B890" s="21"/>
      <c r="C890" s="14"/>
      <c r="D890" s="16"/>
      <c r="E890" s="16"/>
      <c r="F890" s="21"/>
      <c r="G890" s="21"/>
      <c r="H890" s="24"/>
      <c r="I890" s="24"/>
      <c r="J890" s="20"/>
      <c r="K890" s="20"/>
      <c r="L890" s="20"/>
      <c r="M890" s="20"/>
      <c r="N890" s="20" t="str">
        <f t="shared" si="1"/>
        <v>#</v>
      </c>
      <c r="O890" s="20"/>
      <c r="P890" s="21"/>
      <c r="Q890" s="14" t="str">
        <f t="shared" si="2"/>
        <v/>
      </c>
      <c r="R890" s="14"/>
    </row>
    <row r="891">
      <c r="A891" s="14"/>
      <c r="B891" s="21"/>
      <c r="C891" s="14"/>
      <c r="D891" s="16"/>
      <c r="E891" s="16"/>
      <c r="F891" s="21"/>
      <c r="G891" s="21"/>
      <c r="H891" s="24"/>
      <c r="I891" s="24"/>
      <c r="J891" s="20"/>
      <c r="K891" s="20"/>
      <c r="L891" s="20"/>
      <c r="M891" s="20"/>
      <c r="N891" s="20" t="str">
        <f t="shared" si="1"/>
        <v>#</v>
      </c>
      <c r="O891" s="20"/>
      <c r="P891" s="21"/>
      <c r="Q891" s="14" t="str">
        <f t="shared" si="2"/>
        <v/>
      </c>
      <c r="R891" s="14"/>
    </row>
    <row r="892">
      <c r="A892" s="14"/>
      <c r="B892" s="21"/>
      <c r="C892" s="14"/>
      <c r="D892" s="16"/>
      <c r="E892" s="16"/>
      <c r="F892" s="21"/>
      <c r="G892" s="21"/>
      <c r="H892" s="24"/>
      <c r="I892" s="24"/>
      <c r="J892" s="20"/>
      <c r="K892" s="20"/>
      <c r="L892" s="20"/>
      <c r="M892" s="20"/>
      <c r="N892" s="20" t="str">
        <f t="shared" si="1"/>
        <v>#</v>
      </c>
      <c r="O892" s="20"/>
      <c r="P892" s="21"/>
      <c r="Q892" s="14" t="str">
        <f t="shared" si="2"/>
        <v/>
      </c>
      <c r="R892" s="14"/>
    </row>
    <row r="893">
      <c r="A893" s="14"/>
      <c r="B893" s="21"/>
      <c r="C893" s="14"/>
      <c r="D893" s="16"/>
      <c r="E893" s="16"/>
      <c r="F893" s="21"/>
      <c r="G893" s="21"/>
      <c r="H893" s="24"/>
      <c r="I893" s="24"/>
      <c r="J893" s="20"/>
      <c r="K893" s="20"/>
      <c r="L893" s="20"/>
      <c r="M893" s="20"/>
      <c r="N893" s="20" t="str">
        <f t="shared" si="1"/>
        <v>#</v>
      </c>
      <c r="O893" s="20"/>
      <c r="P893" s="21"/>
      <c r="Q893" s="14" t="str">
        <f t="shared" si="2"/>
        <v/>
      </c>
      <c r="R893" s="14"/>
    </row>
    <row r="894">
      <c r="A894" s="14"/>
      <c r="B894" s="21"/>
      <c r="C894" s="14"/>
      <c r="D894" s="16"/>
      <c r="E894" s="16"/>
      <c r="F894" s="21"/>
      <c r="G894" s="21"/>
      <c r="H894" s="24"/>
      <c r="I894" s="24"/>
      <c r="J894" s="20"/>
      <c r="K894" s="20"/>
      <c r="L894" s="20"/>
      <c r="M894" s="20"/>
      <c r="N894" s="20" t="str">
        <f t="shared" si="1"/>
        <v>#</v>
      </c>
      <c r="O894" s="20"/>
      <c r="P894" s="21"/>
      <c r="Q894" s="14" t="str">
        <f t="shared" si="2"/>
        <v/>
      </c>
      <c r="R894" s="14"/>
    </row>
    <row r="895">
      <c r="A895" s="14"/>
      <c r="B895" s="21"/>
      <c r="C895" s="14"/>
      <c r="D895" s="16"/>
      <c r="E895" s="16"/>
      <c r="F895" s="21"/>
      <c r="G895" s="21"/>
      <c r="H895" s="24"/>
      <c r="I895" s="24"/>
      <c r="J895" s="20"/>
      <c r="K895" s="20"/>
      <c r="L895" s="20"/>
      <c r="M895" s="20"/>
      <c r="N895" s="20" t="str">
        <f t="shared" si="1"/>
        <v>#</v>
      </c>
      <c r="O895" s="20"/>
      <c r="P895" s="21"/>
      <c r="Q895" s="14" t="str">
        <f t="shared" si="2"/>
        <v/>
      </c>
      <c r="R895" s="14"/>
    </row>
    <row r="896">
      <c r="A896" s="14"/>
      <c r="B896" s="21"/>
      <c r="C896" s="14"/>
      <c r="D896" s="16"/>
      <c r="E896" s="16"/>
      <c r="F896" s="21"/>
      <c r="G896" s="21"/>
      <c r="H896" s="24"/>
      <c r="I896" s="24"/>
      <c r="J896" s="20"/>
      <c r="K896" s="20"/>
      <c r="L896" s="20"/>
      <c r="M896" s="20"/>
      <c r="N896" s="20" t="str">
        <f t="shared" si="1"/>
        <v>#</v>
      </c>
      <c r="O896" s="20"/>
      <c r="P896" s="21"/>
      <c r="Q896" s="14" t="str">
        <f t="shared" si="2"/>
        <v/>
      </c>
      <c r="R896" s="14"/>
    </row>
    <row r="897">
      <c r="A897" s="14"/>
      <c r="B897" s="21"/>
      <c r="C897" s="14"/>
      <c r="D897" s="16"/>
      <c r="E897" s="16"/>
      <c r="F897" s="21"/>
      <c r="G897" s="21"/>
      <c r="H897" s="24"/>
      <c r="I897" s="24"/>
      <c r="J897" s="20"/>
      <c r="K897" s="20"/>
      <c r="L897" s="20"/>
      <c r="M897" s="20"/>
      <c r="N897" s="20" t="str">
        <f t="shared" si="1"/>
        <v>#</v>
      </c>
      <c r="O897" s="20"/>
      <c r="P897" s="21"/>
      <c r="Q897" s="14" t="str">
        <f t="shared" si="2"/>
        <v/>
      </c>
      <c r="R897" s="14"/>
    </row>
    <row r="898">
      <c r="A898" s="14"/>
      <c r="B898" s="21"/>
      <c r="C898" s="14"/>
      <c r="D898" s="16"/>
      <c r="E898" s="16"/>
      <c r="F898" s="21"/>
      <c r="G898" s="21"/>
      <c r="H898" s="24"/>
      <c r="I898" s="24"/>
      <c r="J898" s="20"/>
      <c r="K898" s="20"/>
      <c r="L898" s="20"/>
      <c r="M898" s="20"/>
      <c r="N898" s="20" t="str">
        <f t="shared" si="1"/>
        <v>#</v>
      </c>
      <c r="O898" s="20"/>
      <c r="P898" s="21"/>
      <c r="Q898" s="14" t="str">
        <f t="shared" si="2"/>
        <v/>
      </c>
      <c r="R898" s="14"/>
    </row>
    <row r="899">
      <c r="A899" s="14"/>
      <c r="B899" s="21"/>
      <c r="C899" s="14"/>
      <c r="D899" s="16"/>
      <c r="E899" s="16"/>
      <c r="F899" s="21"/>
      <c r="G899" s="21"/>
      <c r="H899" s="24"/>
      <c r="I899" s="24"/>
      <c r="J899" s="20"/>
      <c r="K899" s="20"/>
      <c r="L899" s="20"/>
      <c r="M899" s="20"/>
      <c r="N899" s="20" t="str">
        <f t="shared" si="1"/>
        <v>#</v>
      </c>
      <c r="O899" s="20"/>
      <c r="P899" s="21"/>
      <c r="Q899" s="14" t="str">
        <f t="shared" si="2"/>
        <v/>
      </c>
      <c r="R899" s="14"/>
    </row>
    <row r="900">
      <c r="A900" s="14"/>
      <c r="B900" s="21"/>
      <c r="C900" s="14"/>
      <c r="D900" s="16"/>
      <c r="E900" s="16"/>
      <c r="F900" s="21"/>
      <c r="G900" s="21"/>
      <c r="H900" s="24"/>
      <c r="I900" s="24"/>
      <c r="J900" s="20"/>
      <c r="K900" s="20"/>
      <c r="L900" s="20"/>
      <c r="M900" s="20"/>
      <c r="N900" s="20" t="str">
        <f t="shared" si="1"/>
        <v>#</v>
      </c>
      <c r="O900" s="20"/>
      <c r="P900" s="21"/>
      <c r="Q900" s="14" t="str">
        <f t="shared" si="2"/>
        <v/>
      </c>
      <c r="R900" s="14"/>
    </row>
    <row r="901">
      <c r="A901" s="14"/>
      <c r="B901" s="21"/>
      <c r="C901" s="14"/>
      <c r="D901" s="16"/>
      <c r="E901" s="16"/>
      <c r="F901" s="21"/>
      <c r="G901" s="21"/>
      <c r="H901" s="24"/>
      <c r="I901" s="24"/>
      <c r="J901" s="20"/>
      <c r="K901" s="20"/>
      <c r="L901" s="20"/>
      <c r="M901" s="20"/>
      <c r="N901" s="20" t="str">
        <f t="shared" si="1"/>
        <v>#</v>
      </c>
      <c r="O901" s="20"/>
      <c r="P901" s="21"/>
      <c r="Q901" s="14" t="str">
        <f t="shared" si="2"/>
        <v/>
      </c>
      <c r="R901" s="14"/>
    </row>
    <row r="902">
      <c r="A902" s="14"/>
      <c r="B902" s="21"/>
      <c r="C902" s="14"/>
      <c r="D902" s="16"/>
      <c r="E902" s="16"/>
      <c r="F902" s="21"/>
      <c r="G902" s="21"/>
      <c r="H902" s="24"/>
      <c r="I902" s="24"/>
      <c r="J902" s="20"/>
      <c r="K902" s="20"/>
      <c r="L902" s="20"/>
      <c r="M902" s="20"/>
      <c r="N902" s="20" t="str">
        <f t="shared" si="1"/>
        <v>#</v>
      </c>
      <c r="O902" s="20"/>
      <c r="P902" s="21"/>
      <c r="Q902" s="14" t="str">
        <f t="shared" si="2"/>
        <v/>
      </c>
      <c r="R902" s="14"/>
    </row>
    <row r="903">
      <c r="A903" s="14"/>
      <c r="B903" s="21"/>
      <c r="C903" s="14"/>
      <c r="D903" s="16"/>
      <c r="E903" s="16"/>
      <c r="F903" s="21"/>
      <c r="G903" s="21"/>
      <c r="H903" s="24"/>
      <c r="I903" s="24"/>
      <c r="J903" s="20"/>
      <c r="K903" s="20"/>
      <c r="L903" s="20"/>
      <c r="M903" s="20"/>
      <c r="N903" s="20" t="str">
        <f t="shared" si="1"/>
        <v>#</v>
      </c>
      <c r="O903" s="20"/>
      <c r="P903" s="21"/>
      <c r="Q903" s="14" t="str">
        <f t="shared" si="2"/>
        <v/>
      </c>
      <c r="R903" s="14"/>
    </row>
    <row r="904">
      <c r="A904" s="14"/>
      <c r="B904" s="21"/>
      <c r="C904" s="14"/>
      <c r="D904" s="16"/>
      <c r="E904" s="16"/>
      <c r="F904" s="21"/>
      <c r="G904" s="21"/>
      <c r="H904" s="24"/>
      <c r="I904" s="24"/>
      <c r="J904" s="20"/>
      <c r="K904" s="20"/>
      <c r="L904" s="20"/>
      <c r="M904" s="20"/>
      <c r="N904" s="20" t="str">
        <f t="shared" si="1"/>
        <v>#</v>
      </c>
      <c r="O904" s="20"/>
      <c r="P904" s="21"/>
      <c r="Q904" s="14" t="str">
        <f t="shared" si="2"/>
        <v/>
      </c>
      <c r="R904" s="14"/>
    </row>
    <row r="905">
      <c r="A905" s="14"/>
      <c r="B905" s="21"/>
      <c r="C905" s="14"/>
      <c r="D905" s="16"/>
      <c r="E905" s="16"/>
      <c r="F905" s="21"/>
      <c r="G905" s="21"/>
      <c r="H905" s="24"/>
      <c r="I905" s="24"/>
      <c r="J905" s="20"/>
      <c r="K905" s="20"/>
      <c r="L905" s="20"/>
      <c r="M905" s="20"/>
      <c r="N905" s="20" t="str">
        <f t="shared" si="1"/>
        <v>#</v>
      </c>
      <c r="O905" s="20"/>
      <c r="P905" s="21"/>
      <c r="Q905" s="14" t="str">
        <f t="shared" si="2"/>
        <v/>
      </c>
      <c r="R905" s="14"/>
    </row>
    <row r="906">
      <c r="A906" s="14"/>
      <c r="B906" s="21"/>
      <c r="C906" s="14"/>
      <c r="D906" s="16"/>
      <c r="E906" s="16"/>
      <c r="F906" s="21"/>
      <c r="G906" s="21"/>
      <c r="H906" s="24"/>
      <c r="I906" s="24"/>
      <c r="J906" s="20"/>
      <c r="K906" s="20"/>
      <c r="L906" s="20"/>
      <c r="M906" s="20"/>
      <c r="N906" s="20" t="str">
        <f t="shared" si="1"/>
        <v>#</v>
      </c>
      <c r="O906" s="20"/>
      <c r="P906" s="21"/>
      <c r="Q906" s="14" t="str">
        <f t="shared" si="2"/>
        <v/>
      </c>
      <c r="R906" s="14"/>
    </row>
    <row r="907">
      <c r="A907" s="14"/>
      <c r="B907" s="21"/>
      <c r="C907" s="14"/>
      <c r="D907" s="16"/>
      <c r="E907" s="16"/>
      <c r="F907" s="21"/>
      <c r="G907" s="21"/>
      <c r="H907" s="24"/>
      <c r="I907" s="24"/>
      <c r="J907" s="20"/>
      <c r="K907" s="20"/>
      <c r="L907" s="20"/>
      <c r="M907" s="20"/>
      <c r="N907" s="20" t="str">
        <f t="shared" si="1"/>
        <v>#</v>
      </c>
      <c r="O907" s="20"/>
      <c r="P907" s="21"/>
      <c r="Q907" s="14" t="str">
        <f t="shared" si="2"/>
        <v/>
      </c>
      <c r="R907" s="14"/>
    </row>
    <row r="908">
      <c r="A908" s="14"/>
      <c r="B908" s="21"/>
      <c r="C908" s="14"/>
      <c r="D908" s="16"/>
      <c r="E908" s="16"/>
      <c r="F908" s="21"/>
      <c r="G908" s="21"/>
      <c r="H908" s="24"/>
      <c r="I908" s="24"/>
      <c r="J908" s="20"/>
      <c r="K908" s="20"/>
      <c r="L908" s="20"/>
      <c r="M908" s="20"/>
      <c r="N908" s="20" t="str">
        <f t="shared" si="1"/>
        <v>#</v>
      </c>
      <c r="O908" s="20"/>
      <c r="P908" s="21"/>
      <c r="Q908" s="14" t="str">
        <f t="shared" si="2"/>
        <v/>
      </c>
      <c r="R908" s="14"/>
    </row>
    <row r="909">
      <c r="A909" s="14"/>
      <c r="B909" s="21"/>
      <c r="C909" s="14"/>
      <c r="D909" s="16"/>
      <c r="E909" s="16"/>
      <c r="F909" s="21"/>
      <c r="G909" s="21"/>
      <c r="H909" s="24"/>
      <c r="I909" s="24"/>
      <c r="J909" s="20"/>
      <c r="K909" s="20"/>
      <c r="L909" s="20"/>
      <c r="M909" s="20"/>
      <c r="N909" s="20" t="str">
        <f t="shared" si="1"/>
        <v>#</v>
      </c>
      <c r="O909" s="20"/>
      <c r="P909" s="21"/>
      <c r="Q909" s="14" t="str">
        <f t="shared" si="2"/>
        <v/>
      </c>
      <c r="R909" s="14"/>
    </row>
    <row r="910">
      <c r="A910" s="14"/>
      <c r="B910" s="21"/>
      <c r="C910" s="14"/>
      <c r="D910" s="16"/>
      <c r="E910" s="16"/>
      <c r="F910" s="21"/>
      <c r="G910" s="21"/>
      <c r="H910" s="24"/>
      <c r="I910" s="24"/>
      <c r="J910" s="20"/>
      <c r="K910" s="20"/>
      <c r="L910" s="20"/>
      <c r="M910" s="20"/>
      <c r="N910" s="20" t="str">
        <f t="shared" si="1"/>
        <v>#</v>
      </c>
      <c r="O910" s="20"/>
      <c r="P910" s="21"/>
      <c r="Q910" s="14" t="str">
        <f t="shared" si="2"/>
        <v/>
      </c>
      <c r="R910" s="14"/>
    </row>
    <row r="911">
      <c r="A911" s="14"/>
      <c r="B911" s="21"/>
      <c r="C911" s="14"/>
      <c r="D911" s="16"/>
      <c r="E911" s="16"/>
      <c r="F911" s="21"/>
      <c r="G911" s="21"/>
      <c r="H911" s="24"/>
      <c r="I911" s="24"/>
      <c r="J911" s="20"/>
      <c r="K911" s="20"/>
      <c r="L911" s="20"/>
      <c r="M911" s="20"/>
      <c r="N911" s="20" t="str">
        <f t="shared" si="1"/>
        <v>#</v>
      </c>
      <c r="O911" s="20"/>
      <c r="P911" s="21"/>
      <c r="Q911" s="14" t="str">
        <f t="shared" si="2"/>
        <v/>
      </c>
      <c r="R911" s="14"/>
    </row>
    <row r="912">
      <c r="A912" s="14"/>
      <c r="B912" s="21"/>
      <c r="C912" s="14"/>
      <c r="D912" s="16"/>
      <c r="E912" s="16"/>
      <c r="F912" s="21"/>
      <c r="G912" s="21"/>
      <c r="H912" s="24"/>
      <c r="I912" s="24"/>
      <c r="J912" s="20"/>
      <c r="K912" s="20"/>
      <c r="L912" s="20"/>
      <c r="M912" s="20"/>
      <c r="N912" s="20" t="str">
        <f t="shared" si="1"/>
        <v>#</v>
      </c>
      <c r="O912" s="20"/>
      <c r="P912" s="21"/>
      <c r="Q912" s="14" t="str">
        <f t="shared" si="2"/>
        <v/>
      </c>
      <c r="R912" s="14"/>
    </row>
    <row r="913">
      <c r="A913" s="14"/>
      <c r="B913" s="21"/>
      <c r="C913" s="14"/>
      <c r="D913" s="16"/>
      <c r="E913" s="16"/>
      <c r="F913" s="21"/>
      <c r="G913" s="21"/>
      <c r="H913" s="24"/>
      <c r="I913" s="24"/>
      <c r="J913" s="20"/>
      <c r="K913" s="20"/>
      <c r="L913" s="20"/>
      <c r="M913" s="20"/>
      <c r="N913" s="20" t="str">
        <f t="shared" si="1"/>
        <v>#</v>
      </c>
      <c r="O913" s="20"/>
      <c r="P913" s="21"/>
      <c r="Q913" s="14" t="str">
        <f t="shared" si="2"/>
        <v/>
      </c>
      <c r="R913" s="14"/>
    </row>
    <row r="914">
      <c r="A914" s="14"/>
      <c r="B914" s="21"/>
      <c r="C914" s="14"/>
      <c r="D914" s="16"/>
      <c r="E914" s="16"/>
      <c r="F914" s="21"/>
      <c r="G914" s="21"/>
      <c r="H914" s="24"/>
      <c r="I914" s="24"/>
      <c r="J914" s="20"/>
      <c r="K914" s="20"/>
      <c r="L914" s="20"/>
      <c r="M914" s="20"/>
      <c r="N914" s="20" t="str">
        <f t="shared" si="1"/>
        <v>#</v>
      </c>
      <c r="O914" s="20"/>
      <c r="P914" s="21"/>
      <c r="Q914" s="14" t="str">
        <f t="shared" si="2"/>
        <v/>
      </c>
      <c r="R914" s="14"/>
    </row>
    <row r="915">
      <c r="A915" s="14"/>
      <c r="B915" s="21"/>
      <c r="C915" s="14"/>
      <c r="D915" s="16"/>
      <c r="E915" s="16"/>
      <c r="F915" s="21"/>
      <c r="G915" s="21"/>
      <c r="H915" s="24"/>
      <c r="I915" s="24"/>
      <c r="J915" s="20"/>
      <c r="K915" s="20"/>
      <c r="L915" s="20"/>
      <c r="M915" s="20"/>
      <c r="N915" s="20" t="str">
        <f t="shared" si="1"/>
        <v>#</v>
      </c>
      <c r="O915" s="20"/>
      <c r="P915" s="21"/>
      <c r="Q915" s="14" t="str">
        <f t="shared" si="2"/>
        <v/>
      </c>
      <c r="R915" s="14"/>
    </row>
    <row r="916">
      <c r="A916" s="14"/>
      <c r="B916" s="21"/>
      <c r="C916" s="14"/>
      <c r="D916" s="16"/>
      <c r="E916" s="16"/>
      <c r="F916" s="21"/>
      <c r="G916" s="21"/>
      <c r="H916" s="24"/>
      <c r="I916" s="24"/>
      <c r="J916" s="20"/>
      <c r="K916" s="20"/>
      <c r="L916" s="20"/>
      <c r="M916" s="20"/>
      <c r="N916" s="20" t="str">
        <f t="shared" si="1"/>
        <v>#</v>
      </c>
      <c r="O916" s="20"/>
      <c r="P916" s="21"/>
      <c r="Q916" s="14" t="str">
        <f t="shared" si="2"/>
        <v/>
      </c>
      <c r="R916" s="14"/>
    </row>
    <row r="917">
      <c r="A917" s="14"/>
      <c r="B917" s="21"/>
      <c r="C917" s="14"/>
      <c r="D917" s="16"/>
      <c r="E917" s="16"/>
      <c r="F917" s="21"/>
      <c r="G917" s="21"/>
      <c r="H917" s="24"/>
      <c r="I917" s="24"/>
      <c r="J917" s="20"/>
      <c r="K917" s="20"/>
      <c r="L917" s="20"/>
      <c r="M917" s="20"/>
      <c r="N917" s="20" t="str">
        <f t="shared" si="1"/>
        <v>#</v>
      </c>
      <c r="O917" s="20"/>
      <c r="P917" s="21"/>
      <c r="Q917" s="14" t="str">
        <f t="shared" si="2"/>
        <v/>
      </c>
      <c r="R917" s="14"/>
    </row>
    <row r="918">
      <c r="A918" s="14"/>
      <c r="B918" s="21"/>
      <c r="C918" s="14"/>
      <c r="D918" s="16"/>
      <c r="E918" s="16"/>
      <c r="F918" s="21"/>
      <c r="G918" s="21"/>
      <c r="H918" s="24"/>
      <c r="I918" s="24"/>
      <c r="J918" s="20"/>
      <c r="K918" s="20"/>
      <c r="L918" s="20"/>
      <c r="M918" s="20"/>
      <c r="N918" s="20" t="str">
        <f t="shared" si="1"/>
        <v>#</v>
      </c>
      <c r="O918" s="20"/>
      <c r="P918" s="21"/>
      <c r="Q918" s="14" t="str">
        <f t="shared" si="2"/>
        <v/>
      </c>
      <c r="R918" s="14"/>
    </row>
    <row r="919">
      <c r="A919" s="14"/>
      <c r="B919" s="21"/>
      <c r="C919" s="14"/>
      <c r="D919" s="16"/>
      <c r="E919" s="16"/>
      <c r="F919" s="21"/>
      <c r="G919" s="21"/>
      <c r="H919" s="24"/>
      <c r="I919" s="24"/>
      <c r="J919" s="20"/>
      <c r="K919" s="20"/>
      <c r="L919" s="20"/>
      <c r="M919" s="20"/>
      <c r="N919" s="20" t="str">
        <f t="shared" si="1"/>
        <v>#</v>
      </c>
      <c r="O919" s="20"/>
      <c r="P919" s="21"/>
      <c r="Q919" s="14" t="str">
        <f t="shared" si="2"/>
        <v/>
      </c>
      <c r="R919" s="14"/>
    </row>
    <row r="920">
      <c r="A920" s="14"/>
      <c r="B920" s="21"/>
      <c r="C920" s="14"/>
      <c r="D920" s="16"/>
      <c r="E920" s="16"/>
      <c r="F920" s="21"/>
      <c r="G920" s="21"/>
      <c r="H920" s="24"/>
      <c r="I920" s="24"/>
      <c r="J920" s="20"/>
      <c r="K920" s="20"/>
      <c r="L920" s="20"/>
      <c r="M920" s="20"/>
      <c r="N920" s="20" t="str">
        <f t="shared" si="1"/>
        <v>#</v>
      </c>
      <c r="O920" s="20"/>
      <c r="P920" s="21"/>
      <c r="Q920" s="14" t="str">
        <f t="shared" si="2"/>
        <v/>
      </c>
      <c r="R920" s="14"/>
    </row>
    <row r="921">
      <c r="A921" s="14"/>
      <c r="B921" s="21"/>
      <c r="C921" s="14"/>
      <c r="D921" s="16"/>
      <c r="E921" s="16"/>
      <c r="F921" s="21"/>
      <c r="G921" s="21"/>
      <c r="H921" s="24"/>
      <c r="I921" s="24"/>
      <c r="J921" s="20"/>
      <c r="K921" s="20"/>
      <c r="L921" s="20"/>
      <c r="M921" s="20"/>
      <c r="N921" s="20" t="str">
        <f t="shared" si="1"/>
        <v>#</v>
      </c>
      <c r="O921" s="20"/>
      <c r="P921" s="21"/>
      <c r="Q921" s="14" t="str">
        <f t="shared" si="2"/>
        <v/>
      </c>
      <c r="R921" s="14"/>
    </row>
    <row r="922">
      <c r="A922" s="14"/>
      <c r="B922" s="21"/>
      <c r="C922" s="14"/>
      <c r="D922" s="16"/>
      <c r="E922" s="16"/>
      <c r="F922" s="21"/>
      <c r="G922" s="21"/>
      <c r="H922" s="24"/>
      <c r="I922" s="24"/>
      <c r="J922" s="20"/>
      <c r="K922" s="20"/>
      <c r="L922" s="20"/>
      <c r="M922" s="20"/>
      <c r="N922" s="20" t="str">
        <f t="shared" si="1"/>
        <v>#</v>
      </c>
      <c r="O922" s="20"/>
      <c r="P922" s="21"/>
      <c r="Q922" s="14" t="str">
        <f t="shared" si="2"/>
        <v/>
      </c>
      <c r="R922" s="14"/>
    </row>
    <row r="923">
      <c r="A923" s="14"/>
      <c r="B923" s="21"/>
      <c r="C923" s="14"/>
      <c r="D923" s="16"/>
      <c r="E923" s="16"/>
      <c r="F923" s="21"/>
      <c r="G923" s="21"/>
      <c r="H923" s="24"/>
      <c r="I923" s="24"/>
      <c r="J923" s="20"/>
      <c r="K923" s="20"/>
      <c r="L923" s="20"/>
      <c r="M923" s="20"/>
      <c r="N923" s="20" t="str">
        <f t="shared" si="1"/>
        <v>#</v>
      </c>
      <c r="O923" s="20"/>
      <c r="P923" s="21"/>
      <c r="Q923" s="14" t="str">
        <f t="shared" si="2"/>
        <v/>
      </c>
      <c r="R923" s="14"/>
    </row>
    <row r="924">
      <c r="A924" s="14"/>
      <c r="B924" s="21"/>
      <c r="C924" s="14"/>
      <c r="D924" s="16"/>
      <c r="E924" s="16"/>
      <c r="F924" s="21"/>
      <c r="G924" s="21"/>
      <c r="H924" s="24"/>
      <c r="I924" s="24"/>
      <c r="J924" s="20"/>
      <c r="K924" s="20"/>
      <c r="L924" s="20"/>
      <c r="M924" s="20"/>
      <c r="N924" s="20" t="str">
        <f t="shared" si="1"/>
        <v>#</v>
      </c>
      <c r="O924" s="20"/>
      <c r="P924" s="21"/>
      <c r="Q924" s="14" t="str">
        <f t="shared" si="2"/>
        <v/>
      </c>
      <c r="R924" s="14"/>
    </row>
    <row r="925">
      <c r="A925" s="14"/>
      <c r="B925" s="21"/>
      <c r="C925" s="14"/>
      <c r="D925" s="16"/>
      <c r="E925" s="16"/>
      <c r="F925" s="21"/>
      <c r="G925" s="21"/>
      <c r="H925" s="24"/>
      <c r="I925" s="24"/>
      <c r="J925" s="20"/>
      <c r="K925" s="20"/>
      <c r="L925" s="20"/>
      <c r="M925" s="20"/>
      <c r="N925" s="20" t="str">
        <f t="shared" si="1"/>
        <v>#</v>
      </c>
      <c r="O925" s="20"/>
      <c r="P925" s="21"/>
      <c r="Q925" s="14" t="str">
        <f t="shared" si="2"/>
        <v/>
      </c>
      <c r="R925" s="14"/>
    </row>
    <row r="926">
      <c r="A926" s="14"/>
      <c r="B926" s="21"/>
      <c r="C926" s="14"/>
      <c r="D926" s="16"/>
      <c r="E926" s="16"/>
      <c r="F926" s="21"/>
      <c r="G926" s="21"/>
      <c r="H926" s="24"/>
      <c r="I926" s="24"/>
      <c r="J926" s="20"/>
      <c r="K926" s="20"/>
      <c r="L926" s="20"/>
      <c r="M926" s="20"/>
      <c r="N926" s="20" t="str">
        <f t="shared" si="1"/>
        <v>#</v>
      </c>
      <c r="O926" s="20"/>
      <c r="P926" s="21"/>
      <c r="Q926" s="14" t="str">
        <f t="shared" si="2"/>
        <v/>
      </c>
      <c r="R926" s="14"/>
    </row>
    <row r="927">
      <c r="A927" s="14"/>
      <c r="B927" s="21"/>
      <c r="C927" s="14"/>
      <c r="D927" s="16"/>
      <c r="E927" s="16"/>
      <c r="F927" s="21"/>
      <c r="G927" s="21"/>
      <c r="H927" s="24"/>
      <c r="I927" s="24"/>
      <c r="J927" s="20"/>
      <c r="K927" s="20"/>
      <c r="L927" s="20"/>
      <c r="M927" s="20"/>
      <c r="N927" s="20" t="str">
        <f t="shared" si="1"/>
        <v>#</v>
      </c>
      <c r="O927" s="20"/>
      <c r="P927" s="21"/>
      <c r="Q927" s="14" t="str">
        <f t="shared" si="2"/>
        <v/>
      </c>
      <c r="R927" s="14"/>
    </row>
    <row r="928">
      <c r="A928" s="14"/>
      <c r="B928" s="21"/>
      <c r="C928" s="14"/>
      <c r="D928" s="16"/>
      <c r="E928" s="16"/>
      <c r="F928" s="21"/>
      <c r="G928" s="21"/>
      <c r="H928" s="24"/>
      <c r="I928" s="24"/>
      <c r="J928" s="20"/>
      <c r="K928" s="20"/>
      <c r="L928" s="20"/>
      <c r="M928" s="20"/>
      <c r="N928" s="20" t="str">
        <f t="shared" si="1"/>
        <v>#</v>
      </c>
      <c r="O928" s="20"/>
      <c r="P928" s="21"/>
      <c r="Q928" s="14" t="str">
        <f t="shared" si="2"/>
        <v/>
      </c>
      <c r="R928" s="14"/>
    </row>
    <row r="929">
      <c r="A929" s="14"/>
      <c r="B929" s="21"/>
      <c r="C929" s="14"/>
      <c r="D929" s="16"/>
      <c r="E929" s="16"/>
      <c r="F929" s="21"/>
      <c r="G929" s="21"/>
      <c r="H929" s="24"/>
      <c r="I929" s="24"/>
      <c r="J929" s="20"/>
      <c r="K929" s="20"/>
      <c r="L929" s="20"/>
      <c r="M929" s="20"/>
      <c r="N929" s="20" t="str">
        <f t="shared" si="1"/>
        <v>#</v>
      </c>
      <c r="O929" s="20"/>
      <c r="P929" s="21"/>
      <c r="Q929" s="14" t="str">
        <f t="shared" si="2"/>
        <v/>
      </c>
      <c r="R929" s="14"/>
    </row>
    <row r="930">
      <c r="A930" s="14"/>
      <c r="B930" s="21"/>
      <c r="C930" s="14"/>
      <c r="D930" s="16"/>
      <c r="E930" s="16"/>
      <c r="F930" s="21"/>
      <c r="G930" s="21"/>
      <c r="H930" s="24"/>
      <c r="I930" s="24"/>
      <c r="J930" s="20"/>
      <c r="K930" s="20"/>
      <c r="L930" s="20"/>
      <c r="M930" s="20"/>
      <c r="N930" s="20" t="str">
        <f t="shared" si="1"/>
        <v>#</v>
      </c>
      <c r="O930" s="20"/>
      <c r="P930" s="21"/>
      <c r="Q930" s="14" t="str">
        <f t="shared" si="2"/>
        <v/>
      </c>
      <c r="R930" s="14"/>
    </row>
    <row r="931">
      <c r="A931" s="14"/>
      <c r="B931" s="21"/>
      <c r="C931" s="14"/>
      <c r="D931" s="16"/>
      <c r="E931" s="16"/>
      <c r="F931" s="21"/>
      <c r="G931" s="21"/>
      <c r="H931" s="24"/>
      <c r="I931" s="24"/>
      <c r="J931" s="20"/>
      <c r="K931" s="20"/>
      <c r="L931" s="20"/>
      <c r="M931" s="20"/>
      <c r="N931" s="20" t="str">
        <f t="shared" si="1"/>
        <v>#</v>
      </c>
      <c r="O931" s="20"/>
      <c r="P931" s="21"/>
      <c r="Q931" s="14" t="str">
        <f t="shared" si="2"/>
        <v/>
      </c>
      <c r="R931" s="14"/>
    </row>
    <row r="932">
      <c r="A932" s="14"/>
      <c r="B932" s="21"/>
      <c r="C932" s="14"/>
      <c r="D932" s="16"/>
      <c r="E932" s="16"/>
      <c r="F932" s="21"/>
      <c r="G932" s="21"/>
      <c r="H932" s="24"/>
      <c r="I932" s="24"/>
      <c r="J932" s="20"/>
      <c r="K932" s="20"/>
      <c r="L932" s="20"/>
      <c r="M932" s="20"/>
      <c r="N932" s="20" t="str">
        <f t="shared" si="1"/>
        <v>#</v>
      </c>
      <c r="O932" s="20"/>
      <c r="P932" s="21"/>
      <c r="Q932" s="14" t="str">
        <f t="shared" si="2"/>
        <v/>
      </c>
      <c r="R932" s="14"/>
    </row>
    <row r="933">
      <c r="A933" s="14"/>
      <c r="B933" s="21"/>
      <c r="C933" s="14"/>
      <c r="D933" s="16"/>
      <c r="E933" s="16"/>
      <c r="F933" s="21"/>
      <c r="G933" s="21"/>
      <c r="H933" s="24"/>
      <c r="I933" s="24"/>
      <c r="J933" s="20"/>
      <c r="K933" s="20"/>
      <c r="L933" s="20"/>
      <c r="M933" s="20"/>
      <c r="N933" s="20" t="str">
        <f t="shared" si="1"/>
        <v>#</v>
      </c>
      <c r="O933" s="20"/>
      <c r="P933" s="21"/>
      <c r="Q933" s="14" t="str">
        <f t="shared" si="2"/>
        <v/>
      </c>
      <c r="R933" s="14"/>
    </row>
    <row r="934">
      <c r="A934" s="14"/>
      <c r="B934" s="21"/>
      <c r="C934" s="14"/>
      <c r="D934" s="16"/>
      <c r="E934" s="16"/>
      <c r="F934" s="21"/>
      <c r="G934" s="21"/>
      <c r="H934" s="24"/>
      <c r="I934" s="24"/>
      <c r="J934" s="20"/>
      <c r="K934" s="20"/>
      <c r="L934" s="20"/>
      <c r="M934" s="20"/>
      <c r="N934" s="20" t="str">
        <f t="shared" si="1"/>
        <v>#</v>
      </c>
      <c r="O934" s="20"/>
      <c r="P934" s="21"/>
      <c r="Q934" s="14" t="str">
        <f t="shared" si="2"/>
        <v/>
      </c>
      <c r="R934" s="14"/>
    </row>
    <row r="935">
      <c r="A935" s="14"/>
      <c r="B935" s="21"/>
      <c r="C935" s="14"/>
      <c r="D935" s="16"/>
      <c r="E935" s="16"/>
      <c r="F935" s="21"/>
      <c r="G935" s="21"/>
      <c r="H935" s="24"/>
      <c r="I935" s="24"/>
      <c r="J935" s="20"/>
      <c r="K935" s="20"/>
      <c r="L935" s="20"/>
      <c r="M935" s="20"/>
      <c r="N935" s="20" t="str">
        <f t="shared" si="1"/>
        <v>#</v>
      </c>
      <c r="O935" s="20"/>
      <c r="P935" s="21"/>
      <c r="Q935" s="14" t="str">
        <f t="shared" si="2"/>
        <v/>
      </c>
      <c r="R935" s="14"/>
    </row>
    <row r="936">
      <c r="A936" s="14"/>
      <c r="B936" s="21"/>
      <c r="C936" s="14"/>
      <c r="D936" s="16"/>
      <c r="E936" s="16"/>
      <c r="F936" s="21"/>
      <c r="G936" s="21"/>
      <c r="H936" s="24"/>
      <c r="I936" s="24"/>
      <c r="J936" s="20"/>
      <c r="K936" s="20"/>
      <c r="L936" s="20"/>
      <c r="M936" s="20"/>
      <c r="N936" s="20" t="str">
        <f t="shared" si="1"/>
        <v>#</v>
      </c>
      <c r="O936" s="20"/>
      <c r="P936" s="21"/>
      <c r="Q936" s="14" t="str">
        <f t="shared" si="2"/>
        <v/>
      </c>
      <c r="R936" s="14"/>
    </row>
    <row r="937">
      <c r="A937" s="14"/>
      <c r="B937" s="21"/>
      <c r="C937" s="14"/>
      <c r="D937" s="16"/>
      <c r="E937" s="16"/>
      <c r="F937" s="21"/>
      <c r="G937" s="21"/>
      <c r="H937" s="24"/>
      <c r="I937" s="24"/>
      <c r="J937" s="20"/>
      <c r="K937" s="20"/>
      <c r="L937" s="20"/>
      <c r="M937" s="20"/>
      <c r="N937" s="20" t="str">
        <f t="shared" si="1"/>
        <v>#</v>
      </c>
      <c r="O937" s="20"/>
      <c r="P937" s="21"/>
      <c r="Q937" s="14" t="str">
        <f t="shared" si="2"/>
        <v/>
      </c>
      <c r="R937" s="14"/>
    </row>
    <row r="938">
      <c r="A938" s="14"/>
      <c r="B938" s="21"/>
      <c r="C938" s="14"/>
      <c r="D938" s="16"/>
      <c r="E938" s="16"/>
      <c r="F938" s="21"/>
      <c r="G938" s="21"/>
      <c r="H938" s="24"/>
      <c r="I938" s="24"/>
      <c r="J938" s="20"/>
      <c r="K938" s="20"/>
      <c r="L938" s="20"/>
      <c r="M938" s="20"/>
      <c r="N938" s="20" t="str">
        <f t="shared" si="1"/>
        <v>#</v>
      </c>
      <c r="O938" s="20"/>
      <c r="P938" s="21"/>
      <c r="Q938" s="14" t="str">
        <f t="shared" si="2"/>
        <v/>
      </c>
      <c r="R938" s="14"/>
    </row>
    <row r="939">
      <c r="A939" s="14"/>
      <c r="B939" s="21"/>
      <c r="C939" s="14"/>
      <c r="D939" s="16"/>
      <c r="E939" s="16"/>
      <c r="F939" s="21"/>
      <c r="G939" s="21"/>
      <c r="H939" s="24"/>
      <c r="I939" s="24"/>
      <c r="J939" s="20"/>
      <c r="K939" s="20"/>
      <c r="L939" s="20"/>
      <c r="M939" s="20"/>
      <c r="N939" s="20" t="str">
        <f t="shared" si="1"/>
        <v>#</v>
      </c>
      <c r="O939" s="20"/>
      <c r="P939" s="21"/>
      <c r="Q939" s="14" t="str">
        <f t="shared" si="2"/>
        <v/>
      </c>
      <c r="R939" s="14"/>
    </row>
    <row r="940">
      <c r="A940" s="14"/>
      <c r="B940" s="21"/>
      <c r="C940" s="14"/>
      <c r="D940" s="16"/>
      <c r="E940" s="16"/>
      <c r="F940" s="21"/>
      <c r="G940" s="21"/>
      <c r="H940" s="24"/>
      <c r="I940" s="24"/>
      <c r="J940" s="20"/>
      <c r="K940" s="20"/>
      <c r="L940" s="20"/>
      <c r="M940" s="20"/>
      <c r="N940" s="20" t="str">
        <f t="shared" si="1"/>
        <v>#</v>
      </c>
      <c r="O940" s="20"/>
      <c r="P940" s="21"/>
      <c r="Q940" s="14" t="str">
        <f t="shared" si="2"/>
        <v/>
      </c>
      <c r="R940" s="14"/>
    </row>
    <row r="941">
      <c r="A941" s="14"/>
      <c r="B941" s="21"/>
      <c r="C941" s="14"/>
      <c r="D941" s="16"/>
      <c r="E941" s="16"/>
      <c r="F941" s="21"/>
      <c r="G941" s="21"/>
      <c r="H941" s="24"/>
      <c r="I941" s="24"/>
      <c r="J941" s="20"/>
      <c r="K941" s="20"/>
      <c r="L941" s="20"/>
      <c r="M941" s="20"/>
      <c r="N941" s="20" t="str">
        <f t="shared" si="1"/>
        <v>#</v>
      </c>
      <c r="O941" s="20"/>
      <c r="P941" s="21"/>
      <c r="Q941" s="14" t="str">
        <f t="shared" si="2"/>
        <v/>
      </c>
      <c r="R941" s="14"/>
    </row>
    <row r="942">
      <c r="A942" s="14"/>
      <c r="B942" s="21"/>
      <c r="C942" s="14"/>
      <c r="D942" s="16"/>
      <c r="E942" s="16"/>
      <c r="F942" s="21"/>
      <c r="G942" s="21"/>
      <c r="H942" s="24"/>
      <c r="I942" s="24"/>
      <c r="J942" s="20"/>
      <c r="K942" s="20"/>
      <c r="L942" s="20"/>
      <c r="M942" s="20"/>
      <c r="N942" s="20" t="str">
        <f t="shared" si="1"/>
        <v>#</v>
      </c>
      <c r="O942" s="20"/>
      <c r="P942" s="21"/>
      <c r="Q942" s="14" t="str">
        <f t="shared" si="2"/>
        <v/>
      </c>
      <c r="R942" s="14"/>
    </row>
    <row r="943">
      <c r="A943" s="14"/>
      <c r="B943" s="21"/>
      <c r="C943" s="14"/>
      <c r="D943" s="16"/>
      <c r="E943" s="16"/>
      <c r="F943" s="21"/>
      <c r="G943" s="21"/>
      <c r="H943" s="24"/>
      <c r="I943" s="24"/>
      <c r="J943" s="20"/>
      <c r="K943" s="20"/>
      <c r="L943" s="20"/>
      <c r="M943" s="20"/>
      <c r="N943" s="20" t="str">
        <f t="shared" si="1"/>
        <v>#</v>
      </c>
      <c r="O943" s="20"/>
      <c r="P943" s="21"/>
      <c r="Q943" s="14" t="str">
        <f t="shared" si="2"/>
        <v/>
      </c>
      <c r="R943" s="14"/>
    </row>
    <row r="944">
      <c r="A944" s="14"/>
      <c r="B944" s="21"/>
      <c r="C944" s="14"/>
      <c r="D944" s="16"/>
      <c r="E944" s="16"/>
      <c r="F944" s="21"/>
      <c r="G944" s="21"/>
      <c r="H944" s="24"/>
      <c r="I944" s="24"/>
      <c r="J944" s="20"/>
      <c r="K944" s="20"/>
      <c r="L944" s="20"/>
      <c r="M944" s="20"/>
      <c r="N944" s="20" t="str">
        <f t="shared" si="1"/>
        <v>#</v>
      </c>
      <c r="O944" s="20"/>
      <c r="P944" s="21"/>
      <c r="Q944" s="14" t="str">
        <f t="shared" si="2"/>
        <v/>
      </c>
      <c r="R944" s="14"/>
    </row>
    <row r="945">
      <c r="A945" s="14"/>
      <c r="B945" s="21"/>
      <c r="C945" s="14"/>
      <c r="D945" s="16"/>
      <c r="E945" s="16"/>
      <c r="F945" s="21"/>
      <c r="G945" s="21"/>
      <c r="H945" s="24"/>
      <c r="I945" s="24"/>
      <c r="J945" s="20"/>
      <c r="K945" s="20"/>
      <c r="L945" s="20"/>
      <c r="M945" s="20"/>
      <c r="N945" s="20" t="str">
        <f t="shared" si="1"/>
        <v>#</v>
      </c>
      <c r="O945" s="20"/>
      <c r="P945" s="21"/>
      <c r="Q945" s="14" t="str">
        <f t="shared" si="2"/>
        <v/>
      </c>
      <c r="R945" s="14"/>
    </row>
    <row r="946">
      <c r="A946" s="14"/>
      <c r="B946" s="21"/>
      <c r="C946" s="14"/>
      <c r="D946" s="16"/>
      <c r="E946" s="16"/>
      <c r="F946" s="21"/>
      <c r="G946" s="21"/>
      <c r="H946" s="24"/>
      <c r="I946" s="24"/>
      <c r="J946" s="20"/>
      <c r="K946" s="20"/>
      <c r="L946" s="20"/>
      <c r="M946" s="20"/>
      <c r="N946" s="20" t="str">
        <f t="shared" si="1"/>
        <v>#</v>
      </c>
      <c r="O946" s="20"/>
      <c r="P946" s="21"/>
      <c r="Q946" s="14" t="str">
        <f t="shared" si="2"/>
        <v/>
      </c>
      <c r="R946" s="14"/>
    </row>
    <row r="947">
      <c r="A947" s="14"/>
      <c r="B947" s="21"/>
      <c r="C947" s="14"/>
      <c r="D947" s="16"/>
      <c r="E947" s="16"/>
      <c r="F947" s="21"/>
      <c r="G947" s="21"/>
      <c r="H947" s="24"/>
      <c r="I947" s="24"/>
      <c r="J947" s="20"/>
      <c r="K947" s="20"/>
      <c r="L947" s="20"/>
      <c r="M947" s="20"/>
      <c r="N947" s="20" t="str">
        <f t="shared" si="1"/>
        <v>#</v>
      </c>
      <c r="O947" s="20"/>
      <c r="P947" s="21"/>
      <c r="Q947" s="14" t="str">
        <f t="shared" si="2"/>
        <v/>
      </c>
      <c r="R947" s="14"/>
    </row>
    <row r="948">
      <c r="A948" s="14"/>
      <c r="B948" s="21"/>
      <c r="C948" s="14"/>
      <c r="D948" s="16"/>
      <c r="E948" s="16"/>
      <c r="F948" s="21"/>
      <c r="G948" s="21"/>
      <c r="H948" s="24"/>
      <c r="I948" s="24"/>
      <c r="J948" s="20"/>
      <c r="K948" s="20"/>
      <c r="L948" s="20"/>
      <c r="M948" s="20"/>
      <c r="N948" s="20" t="str">
        <f t="shared" si="1"/>
        <v>#</v>
      </c>
      <c r="O948" s="20"/>
      <c r="P948" s="21"/>
      <c r="Q948" s="14" t="str">
        <f t="shared" si="2"/>
        <v/>
      </c>
      <c r="R948" s="14"/>
    </row>
    <row r="949">
      <c r="A949" s="14"/>
      <c r="B949" s="21"/>
      <c r="C949" s="14"/>
      <c r="D949" s="16"/>
      <c r="E949" s="16"/>
      <c r="F949" s="21"/>
      <c r="G949" s="21"/>
      <c r="H949" s="24"/>
      <c r="I949" s="24"/>
      <c r="J949" s="20"/>
      <c r="K949" s="20"/>
      <c r="L949" s="20"/>
      <c r="M949" s="20"/>
      <c r="N949" s="20" t="str">
        <f t="shared" si="1"/>
        <v>#</v>
      </c>
      <c r="O949" s="20"/>
      <c r="P949" s="21"/>
      <c r="Q949" s="14" t="str">
        <f t="shared" si="2"/>
        <v/>
      </c>
      <c r="R949" s="14"/>
    </row>
    <row r="950">
      <c r="A950" s="14"/>
      <c r="B950" s="21"/>
      <c r="C950" s="14"/>
      <c r="D950" s="16"/>
      <c r="E950" s="16"/>
      <c r="F950" s="21"/>
      <c r="G950" s="21"/>
      <c r="H950" s="24"/>
      <c r="I950" s="24"/>
      <c r="J950" s="20"/>
      <c r="K950" s="20"/>
      <c r="L950" s="20"/>
      <c r="M950" s="20"/>
      <c r="N950" s="20" t="str">
        <f t="shared" si="1"/>
        <v>#</v>
      </c>
      <c r="O950" s="20"/>
      <c r="P950" s="21"/>
      <c r="Q950" s="14" t="str">
        <f t="shared" si="2"/>
        <v/>
      </c>
      <c r="R950" s="14"/>
    </row>
    <row r="951">
      <c r="A951" s="14"/>
      <c r="B951" s="21"/>
      <c r="C951" s="14"/>
      <c r="D951" s="16"/>
      <c r="E951" s="16"/>
      <c r="F951" s="21"/>
      <c r="G951" s="21"/>
      <c r="H951" s="24"/>
      <c r="I951" s="24"/>
      <c r="J951" s="20"/>
      <c r="K951" s="20"/>
      <c r="L951" s="20"/>
      <c r="M951" s="20"/>
      <c r="N951" s="20" t="str">
        <f t="shared" si="1"/>
        <v>#</v>
      </c>
      <c r="O951" s="20"/>
      <c r="P951" s="21"/>
      <c r="Q951" s="14" t="str">
        <f t="shared" si="2"/>
        <v/>
      </c>
      <c r="R951" s="14"/>
    </row>
    <row r="952">
      <c r="A952" s="14"/>
      <c r="B952" s="21"/>
      <c r="C952" s="14"/>
      <c r="D952" s="16"/>
      <c r="E952" s="16"/>
      <c r="F952" s="21"/>
      <c r="G952" s="21"/>
      <c r="H952" s="24"/>
      <c r="I952" s="24"/>
      <c r="J952" s="20"/>
      <c r="K952" s="20"/>
      <c r="L952" s="20"/>
      <c r="M952" s="20"/>
      <c r="N952" s="20" t="str">
        <f t="shared" si="1"/>
        <v>#</v>
      </c>
      <c r="O952" s="20"/>
      <c r="P952" s="21"/>
      <c r="Q952" s="14" t="str">
        <f t="shared" si="2"/>
        <v/>
      </c>
      <c r="R952" s="14"/>
    </row>
    <row r="953">
      <c r="A953" s="14"/>
      <c r="B953" s="21"/>
      <c r="C953" s="14"/>
      <c r="D953" s="16"/>
      <c r="E953" s="16"/>
      <c r="F953" s="21"/>
      <c r="G953" s="21"/>
      <c r="H953" s="24"/>
      <c r="I953" s="24"/>
      <c r="J953" s="20"/>
      <c r="K953" s="20"/>
      <c r="L953" s="20"/>
      <c r="M953" s="20"/>
      <c r="N953" s="20" t="str">
        <f t="shared" si="1"/>
        <v>#</v>
      </c>
      <c r="O953" s="20"/>
      <c r="P953" s="21"/>
      <c r="Q953" s="14" t="str">
        <f t="shared" si="2"/>
        <v/>
      </c>
      <c r="R953" s="14"/>
    </row>
    <row r="954">
      <c r="A954" s="14"/>
      <c r="B954" s="21"/>
      <c r="C954" s="14"/>
      <c r="D954" s="16"/>
      <c r="E954" s="16"/>
      <c r="F954" s="21"/>
      <c r="G954" s="21"/>
      <c r="H954" s="24"/>
      <c r="I954" s="24"/>
      <c r="J954" s="20"/>
      <c r="K954" s="20"/>
      <c r="L954" s="20"/>
      <c r="M954" s="20"/>
      <c r="N954" s="20" t="str">
        <f t="shared" si="1"/>
        <v>#</v>
      </c>
      <c r="O954" s="20"/>
      <c r="P954" s="21"/>
      <c r="Q954" s="14" t="str">
        <f t="shared" si="2"/>
        <v/>
      </c>
      <c r="R954" s="14"/>
    </row>
    <row r="955">
      <c r="A955" s="14"/>
      <c r="B955" s="21"/>
      <c r="C955" s="14"/>
      <c r="D955" s="16"/>
      <c r="E955" s="16"/>
      <c r="F955" s="21"/>
      <c r="G955" s="21"/>
      <c r="H955" s="24"/>
      <c r="I955" s="24"/>
      <c r="J955" s="20"/>
      <c r="K955" s="20"/>
      <c r="L955" s="20"/>
      <c r="M955" s="20"/>
      <c r="N955" s="20" t="str">
        <f t="shared" si="1"/>
        <v>#</v>
      </c>
      <c r="O955" s="20"/>
      <c r="P955" s="21"/>
      <c r="Q955" s="14" t="str">
        <f t="shared" si="2"/>
        <v/>
      </c>
      <c r="R955" s="14"/>
    </row>
    <row r="956">
      <c r="A956" s="14"/>
      <c r="B956" s="21"/>
      <c r="C956" s="14"/>
      <c r="D956" s="16"/>
      <c r="E956" s="16"/>
      <c r="F956" s="21"/>
      <c r="G956" s="21"/>
      <c r="H956" s="24"/>
      <c r="I956" s="24"/>
      <c r="J956" s="20"/>
      <c r="K956" s="20"/>
      <c r="L956" s="20"/>
      <c r="M956" s="20"/>
      <c r="N956" s="20" t="str">
        <f t="shared" si="1"/>
        <v>#</v>
      </c>
      <c r="O956" s="20"/>
      <c r="P956" s="21"/>
      <c r="Q956" s="14" t="str">
        <f t="shared" si="2"/>
        <v/>
      </c>
      <c r="R956" s="14"/>
    </row>
    <row r="957">
      <c r="A957" s="14"/>
      <c r="B957" s="21"/>
      <c r="C957" s="14"/>
      <c r="D957" s="16"/>
      <c r="E957" s="16"/>
      <c r="F957" s="21"/>
      <c r="G957" s="21"/>
      <c r="H957" s="24"/>
      <c r="I957" s="24"/>
      <c r="J957" s="20"/>
      <c r="K957" s="20"/>
      <c r="L957" s="20"/>
      <c r="M957" s="20"/>
      <c r="N957" s="20" t="str">
        <f t="shared" si="1"/>
        <v>#</v>
      </c>
      <c r="O957" s="20"/>
      <c r="P957" s="21"/>
      <c r="Q957" s="14" t="str">
        <f t="shared" si="2"/>
        <v/>
      </c>
      <c r="R957" s="14"/>
    </row>
    <row r="958">
      <c r="A958" s="14"/>
      <c r="B958" s="21"/>
      <c r="C958" s="14"/>
      <c r="D958" s="16"/>
      <c r="E958" s="16"/>
      <c r="F958" s="21"/>
      <c r="G958" s="21"/>
      <c r="H958" s="24"/>
      <c r="I958" s="24"/>
      <c r="J958" s="20"/>
      <c r="K958" s="20"/>
      <c r="L958" s="20"/>
      <c r="M958" s="20"/>
      <c r="N958" s="20" t="str">
        <f t="shared" si="1"/>
        <v>#</v>
      </c>
      <c r="O958" s="20"/>
      <c r="P958" s="21"/>
      <c r="Q958" s="14" t="str">
        <f t="shared" si="2"/>
        <v/>
      </c>
      <c r="R958" s="14"/>
    </row>
    <row r="959">
      <c r="A959" s="14"/>
      <c r="B959" s="21"/>
      <c r="C959" s="14"/>
      <c r="D959" s="16"/>
      <c r="E959" s="16"/>
      <c r="F959" s="21"/>
      <c r="G959" s="21"/>
      <c r="H959" s="24"/>
      <c r="I959" s="24"/>
      <c r="J959" s="20"/>
      <c r="K959" s="20"/>
      <c r="L959" s="20"/>
      <c r="M959" s="20"/>
      <c r="N959" s="20" t="str">
        <f t="shared" si="1"/>
        <v>#</v>
      </c>
      <c r="O959" s="20"/>
      <c r="P959" s="21"/>
      <c r="Q959" s="14" t="str">
        <f t="shared" si="2"/>
        <v/>
      </c>
      <c r="R959" s="14"/>
    </row>
    <row r="960">
      <c r="A960" s="14"/>
      <c r="B960" s="21"/>
      <c r="C960" s="14"/>
      <c r="D960" s="16"/>
      <c r="E960" s="16"/>
      <c r="F960" s="21"/>
      <c r="G960" s="21"/>
      <c r="H960" s="24"/>
      <c r="I960" s="24"/>
      <c r="J960" s="20"/>
      <c r="K960" s="20"/>
      <c r="L960" s="20"/>
      <c r="M960" s="20"/>
      <c r="N960" s="20" t="str">
        <f t="shared" si="1"/>
        <v>#</v>
      </c>
      <c r="O960" s="20"/>
      <c r="P960" s="21"/>
      <c r="Q960" s="14" t="str">
        <f t="shared" si="2"/>
        <v/>
      </c>
      <c r="R960" s="14"/>
    </row>
    <row r="961">
      <c r="A961" s="14"/>
      <c r="B961" s="21"/>
      <c r="C961" s="14"/>
      <c r="D961" s="16"/>
      <c r="E961" s="16"/>
      <c r="F961" s="21"/>
      <c r="G961" s="21"/>
      <c r="H961" s="24"/>
      <c r="I961" s="24"/>
      <c r="J961" s="20"/>
      <c r="K961" s="20"/>
      <c r="L961" s="20"/>
      <c r="M961" s="20"/>
      <c r="N961" s="20" t="str">
        <f t="shared" si="1"/>
        <v>#</v>
      </c>
      <c r="O961" s="20"/>
      <c r="P961" s="21"/>
      <c r="Q961" s="14" t="str">
        <f t="shared" si="2"/>
        <v/>
      </c>
      <c r="R961" s="14"/>
    </row>
    <row r="962">
      <c r="A962" s="14"/>
      <c r="B962" s="21"/>
      <c r="C962" s="14"/>
      <c r="D962" s="16"/>
      <c r="E962" s="16"/>
      <c r="F962" s="21"/>
      <c r="G962" s="21"/>
      <c r="H962" s="24"/>
      <c r="I962" s="24"/>
      <c r="J962" s="20"/>
      <c r="K962" s="20"/>
      <c r="L962" s="20"/>
      <c r="M962" s="20"/>
      <c r="N962" s="20" t="str">
        <f t="shared" si="1"/>
        <v>#</v>
      </c>
      <c r="O962" s="20"/>
      <c r="P962" s="21"/>
      <c r="Q962" s="14" t="str">
        <f t="shared" si="2"/>
        <v/>
      </c>
      <c r="R962" s="14"/>
    </row>
    <row r="963">
      <c r="A963" s="14"/>
      <c r="B963" s="21"/>
      <c r="C963" s="14"/>
      <c r="D963" s="16"/>
      <c r="E963" s="16"/>
      <c r="F963" s="21"/>
      <c r="G963" s="21"/>
      <c r="H963" s="24"/>
      <c r="I963" s="24"/>
      <c r="J963" s="20"/>
      <c r="K963" s="20"/>
      <c r="L963" s="20"/>
      <c r="M963" s="20"/>
      <c r="N963" s="20" t="str">
        <f t="shared" si="1"/>
        <v>#</v>
      </c>
      <c r="O963" s="20"/>
      <c r="P963" s="21"/>
      <c r="Q963" s="14" t="str">
        <f t="shared" si="2"/>
        <v/>
      </c>
      <c r="R963" s="14"/>
    </row>
    <row r="964">
      <c r="A964" s="14"/>
      <c r="B964" s="21"/>
      <c r="C964" s="14"/>
      <c r="D964" s="16"/>
      <c r="E964" s="16"/>
      <c r="F964" s="21"/>
      <c r="G964" s="21"/>
      <c r="H964" s="24"/>
      <c r="I964" s="24"/>
      <c r="J964" s="20"/>
      <c r="K964" s="20"/>
      <c r="L964" s="20"/>
      <c r="M964" s="20"/>
      <c r="N964" s="20" t="str">
        <f t="shared" si="1"/>
        <v>#</v>
      </c>
      <c r="O964" s="20"/>
      <c r="P964" s="21"/>
      <c r="Q964" s="14" t="str">
        <f t="shared" si="2"/>
        <v/>
      </c>
      <c r="R964" s="14"/>
    </row>
    <row r="965">
      <c r="A965" s="14"/>
      <c r="B965" s="21"/>
      <c r="C965" s="14"/>
      <c r="D965" s="16"/>
      <c r="E965" s="16"/>
      <c r="F965" s="21"/>
      <c r="G965" s="21"/>
      <c r="H965" s="24"/>
      <c r="I965" s="24"/>
      <c r="J965" s="20"/>
      <c r="K965" s="20"/>
      <c r="L965" s="20"/>
      <c r="M965" s="20"/>
      <c r="N965" s="20" t="str">
        <f t="shared" si="1"/>
        <v>#</v>
      </c>
      <c r="O965" s="20"/>
      <c r="P965" s="21"/>
      <c r="Q965" s="14" t="str">
        <f t="shared" si="2"/>
        <v/>
      </c>
      <c r="R965" s="14"/>
    </row>
    <row r="966">
      <c r="A966" s="14"/>
      <c r="B966" s="21"/>
      <c r="C966" s="14"/>
      <c r="D966" s="16"/>
      <c r="E966" s="16"/>
      <c r="F966" s="21"/>
      <c r="G966" s="21"/>
      <c r="H966" s="24"/>
      <c r="I966" s="24"/>
      <c r="J966" s="20"/>
      <c r="K966" s="20"/>
      <c r="L966" s="20"/>
      <c r="M966" s="20"/>
      <c r="N966" s="20" t="str">
        <f t="shared" si="1"/>
        <v>#</v>
      </c>
      <c r="O966" s="20"/>
      <c r="P966" s="21"/>
      <c r="Q966" s="14" t="str">
        <f t="shared" si="2"/>
        <v/>
      </c>
      <c r="R966" s="14"/>
    </row>
    <row r="967">
      <c r="A967" s="14"/>
      <c r="B967" s="21"/>
      <c r="C967" s="14"/>
      <c r="D967" s="16"/>
      <c r="E967" s="16"/>
      <c r="F967" s="21"/>
      <c r="G967" s="21"/>
      <c r="H967" s="24"/>
      <c r="I967" s="24"/>
      <c r="J967" s="20"/>
      <c r="K967" s="20"/>
      <c r="L967" s="20"/>
      <c r="M967" s="20"/>
      <c r="N967" s="20" t="str">
        <f t="shared" si="1"/>
        <v>#</v>
      </c>
      <c r="O967" s="20"/>
      <c r="P967" s="21"/>
      <c r="Q967" s="14" t="str">
        <f t="shared" si="2"/>
        <v/>
      </c>
      <c r="R967" s="14"/>
    </row>
    <row r="968">
      <c r="A968" s="14"/>
      <c r="B968" s="21"/>
      <c r="C968" s="14"/>
      <c r="D968" s="16"/>
      <c r="E968" s="16"/>
      <c r="F968" s="21"/>
      <c r="G968" s="21"/>
      <c r="H968" s="24"/>
      <c r="I968" s="24"/>
      <c r="J968" s="20"/>
      <c r="K968" s="20"/>
      <c r="L968" s="20"/>
      <c r="M968" s="20"/>
      <c r="N968" s="20" t="str">
        <f t="shared" si="1"/>
        <v>#</v>
      </c>
      <c r="O968" s="20"/>
      <c r="P968" s="21"/>
      <c r="Q968" s="14" t="str">
        <f t="shared" si="2"/>
        <v/>
      </c>
      <c r="R968" s="14"/>
    </row>
    <row r="969">
      <c r="A969" s="14"/>
      <c r="B969" s="21"/>
      <c r="C969" s="14"/>
      <c r="D969" s="16"/>
      <c r="E969" s="16"/>
      <c r="F969" s="21"/>
      <c r="G969" s="21"/>
      <c r="H969" s="24"/>
      <c r="I969" s="24"/>
      <c r="J969" s="20"/>
      <c r="K969" s="20"/>
      <c r="L969" s="20"/>
      <c r="M969" s="20"/>
      <c r="N969" s="20" t="str">
        <f t="shared" si="1"/>
        <v>#</v>
      </c>
      <c r="O969" s="20"/>
      <c r="P969" s="21"/>
      <c r="Q969" s="14" t="str">
        <f t="shared" si="2"/>
        <v/>
      </c>
      <c r="R969" s="14"/>
    </row>
    <row r="970">
      <c r="A970" s="14"/>
      <c r="B970" s="21"/>
      <c r="C970" s="14"/>
      <c r="D970" s="16"/>
      <c r="E970" s="16"/>
      <c r="F970" s="21"/>
      <c r="G970" s="21"/>
      <c r="H970" s="24"/>
      <c r="I970" s="24"/>
      <c r="J970" s="20"/>
      <c r="K970" s="20"/>
      <c r="L970" s="20"/>
      <c r="M970" s="20"/>
      <c r="N970" s="20" t="str">
        <f t="shared" si="1"/>
        <v>#</v>
      </c>
      <c r="O970" s="20"/>
      <c r="P970" s="21"/>
      <c r="Q970" s="14" t="str">
        <f t="shared" si="2"/>
        <v/>
      </c>
      <c r="R970" s="14"/>
    </row>
    <row r="971">
      <c r="A971" s="14"/>
      <c r="B971" s="21"/>
      <c r="C971" s="14"/>
      <c r="D971" s="16"/>
      <c r="E971" s="16"/>
      <c r="F971" s="21"/>
      <c r="G971" s="21"/>
      <c r="H971" s="24"/>
      <c r="I971" s="24"/>
      <c r="J971" s="20"/>
      <c r="K971" s="20"/>
      <c r="L971" s="20"/>
      <c r="M971" s="20"/>
      <c r="N971" s="20" t="str">
        <f t="shared" si="1"/>
        <v>#</v>
      </c>
      <c r="O971" s="20"/>
      <c r="P971" s="21"/>
      <c r="Q971" s="14" t="str">
        <f t="shared" si="2"/>
        <v/>
      </c>
      <c r="R971" s="14"/>
    </row>
    <row r="972">
      <c r="A972" s="14"/>
      <c r="B972" s="21"/>
      <c r="C972" s="14"/>
      <c r="D972" s="16"/>
      <c r="E972" s="16"/>
      <c r="F972" s="21"/>
      <c r="G972" s="21"/>
      <c r="H972" s="24"/>
      <c r="I972" s="24"/>
      <c r="J972" s="20"/>
      <c r="K972" s="20"/>
      <c r="L972" s="20"/>
      <c r="M972" s="20"/>
      <c r="N972" s="20" t="str">
        <f t="shared" si="1"/>
        <v>#</v>
      </c>
      <c r="O972" s="20"/>
      <c r="P972" s="21"/>
      <c r="Q972" s="14" t="str">
        <f t="shared" si="2"/>
        <v/>
      </c>
      <c r="R972" s="14"/>
    </row>
    <row r="973">
      <c r="A973" s="14"/>
      <c r="B973" s="21"/>
      <c r="C973" s="14"/>
      <c r="D973" s="16"/>
      <c r="E973" s="16"/>
      <c r="F973" s="21"/>
      <c r="G973" s="21"/>
      <c r="H973" s="24"/>
      <c r="I973" s="24"/>
      <c r="J973" s="20"/>
      <c r="K973" s="20"/>
      <c r="L973" s="20"/>
      <c r="M973" s="20"/>
      <c r="N973" s="20" t="str">
        <f t="shared" si="1"/>
        <v>#</v>
      </c>
      <c r="O973" s="20"/>
      <c r="P973" s="21"/>
      <c r="Q973" s="14" t="str">
        <f t="shared" si="2"/>
        <v/>
      </c>
      <c r="R973" s="14"/>
    </row>
    <row r="974">
      <c r="A974" s="14"/>
      <c r="B974" s="21"/>
      <c r="C974" s="14"/>
      <c r="D974" s="16"/>
      <c r="E974" s="16"/>
      <c r="F974" s="21"/>
      <c r="G974" s="21"/>
      <c r="H974" s="24"/>
      <c r="I974" s="24"/>
      <c r="J974" s="20"/>
      <c r="K974" s="20"/>
      <c r="L974" s="20"/>
      <c r="M974" s="20"/>
      <c r="N974" s="20" t="str">
        <f t="shared" si="1"/>
        <v>#</v>
      </c>
      <c r="O974" s="20"/>
      <c r="P974" s="21"/>
      <c r="Q974" s="14" t="str">
        <f t="shared" si="2"/>
        <v/>
      </c>
      <c r="R974" s="14"/>
    </row>
    <row r="975">
      <c r="A975" s="14"/>
      <c r="B975" s="21"/>
      <c r="C975" s="14"/>
      <c r="D975" s="16"/>
      <c r="E975" s="16"/>
      <c r="F975" s="21"/>
      <c r="G975" s="21"/>
      <c r="H975" s="24"/>
      <c r="I975" s="24"/>
      <c r="J975" s="20"/>
      <c r="K975" s="20"/>
      <c r="L975" s="20"/>
      <c r="M975" s="20"/>
      <c r="N975" s="20" t="str">
        <f t="shared" si="1"/>
        <v>#</v>
      </c>
      <c r="O975" s="20"/>
      <c r="P975" s="21"/>
      <c r="Q975" s="14" t="str">
        <f t="shared" si="2"/>
        <v/>
      </c>
      <c r="R975" s="14"/>
    </row>
    <row r="976">
      <c r="A976" s="14"/>
      <c r="B976" s="21"/>
      <c r="C976" s="14"/>
      <c r="D976" s="16"/>
      <c r="E976" s="16"/>
      <c r="F976" s="21"/>
      <c r="G976" s="21"/>
      <c r="H976" s="24"/>
      <c r="I976" s="24"/>
      <c r="J976" s="20"/>
      <c r="K976" s="20"/>
      <c r="L976" s="20"/>
      <c r="M976" s="20"/>
      <c r="N976" s="20" t="str">
        <f t="shared" si="1"/>
        <v>#</v>
      </c>
      <c r="O976" s="20"/>
      <c r="P976" s="21"/>
      <c r="Q976" s="14" t="str">
        <f t="shared" si="2"/>
        <v/>
      </c>
      <c r="R976" s="14"/>
    </row>
    <row r="977">
      <c r="A977" s="14"/>
      <c r="B977" s="21"/>
      <c r="C977" s="14"/>
      <c r="D977" s="16"/>
      <c r="E977" s="16"/>
      <c r="F977" s="21"/>
      <c r="G977" s="21"/>
      <c r="H977" s="24"/>
      <c r="I977" s="24"/>
      <c r="J977" s="20"/>
      <c r="K977" s="20"/>
      <c r="L977" s="20"/>
      <c r="M977" s="20"/>
      <c r="N977" s="20" t="str">
        <f t="shared" si="1"/>
        <v>#</v>
      </c>
      <c r="O977" s="20"/>
      <c r="P977" s="21"/>
      <c r="Q977" s="14" t="str">
        <f t="shared" si="2"/>
        <v/>
      </c>
      <c r="R977" s="14"/>
    </row>
    <row r="978">
      <c r="A978" s="14"/>
      <c r="B978" s="21"/>
      <c r="C978" s="14"/>
      <c r="D978" s="16"/>
      <c r="E978" s="16"/>
      <c r="F978" s="21"/>
      <c r="G978" s="21"/>
      <c r="H978" s="24"/>
      <c r="I978" s="24"/>
      <c r="J978" s="20"/>
      <c r="K978" s="20"/>
      <c r="L978" s="20"/>
      <c r="M978" s="20"/>
      <c r="N978" s="20" t="str">
        <f t="shared" si="1"/>
        <v>#</v>
      </c>
      <c r="O978" s="20"/>
      <c r="P978" s="21"/>
      <c r="Q978" s="14" t="str">
        <f t="shared" si="2"/>
        <v/>
      </c>
      <c r="R978" s="14"/>
    </row>
    <row r="979">
      <c r="A979" s="14"/>
      <c r="B979" s="21"/>
      <c r="C979" s="14"/>
      <c r="D979" s="16"/>
      <c r="E979" s="16"/>
      <c r="F979" s="21"/>
      <c r="G979" s="21"/>
      <c r="H979" s="24"/>
      <c r="I979" s="24"/>
      <c r="J979" s="20"/>
      <c r="K979" s="20"/>
      <c r="L979" s="20"/>
      <c r="M979" s="20"/>
      <c r="N979" s="20" t="str">
        <f t="shared" si="1"/>
        <v>#</v>
      </c>
      <c r="O979" s="20"/>
      <c r="P979" s="21"/>
      <c r="Q979" s="14" t="str">
        <f t="shared" si="2"/>
        <v/>
      </c>
      <c r="R979" s="14"/>
    </row>
    <row r="980">
      <c r="A980" s="14"/>
      <c r="B980" s="21"/>
      <c r="C980" s="14"/>
      <c r="D980" s="16"/>
      <c r="E980" s="16"/>
      <c r="F980" s="21"/>
      <c r="G980" s="21"/>
      <c r="H980" s="24"/>
      <c r="I980" s="24"/>
      <c r="J980" s="20"/>
      <c r="K980" s="20"/>
      <c r="L980" s="20"/>
      <c r="M980" s="20"/>
      <c r="N980" s="20" t="str">
        <f t="shared" si="1"/>
        <v>#</v>
      </c>
      <c r="O980" s="20"/>
      <c r="P980" s="21"/>
      <c r="Q980" s="14" t="str">
        <f t="shared" si="2"/>
        <v/>
      </c>
      <c r="R980" s="14"/>
    </row>
    <row r="981">
      <c r="A981" s="14"/>
      <c r="B981" s="21"/>
      <c r="C981" s="14"/>
      <c r="D981" s="16"/>
      <c r="E981" s="16"/>
      <c r="F981" s="21"/>
      <c r="G981" s="21"/>
      <c r="H981" s="24"/>
      <c r="I981" s="24"/>
      <c r="J981" s="20"/>
      <c r="K981" s="20"/>
      <c r="L981" s="20"/>
      <c r="M981" s="20"/>
      <c r="N981" s="20" t="str">
        <f t="shared" si="1"/>
        <v>#</v>
      </c>
      <c r="O981" s="20"/>
      <c r="P981" s="21"/>
      <c r="Q981" s="14" t="str">
        <f t="shared" si="2"/>
        <v/>
      </c>
      <c r="R981" s="14"/>
    </row>
    <row r="982">
      <c r="A982" s="14"/>
      <c r="B982" s="21"/>
      <c r="C982" s="14"/>
      <c r="D982" s="16"/>
      <c r="E982" s="16"/>
      <c r="F982" s="21"/>
      <c r="G982" s="21"/>
      <c r="H982" s="24"/>
      <c r="I982" s="24"/>
      <c r="J982" s="20"/>
      <c r="K982" s="20"/>
      <c r="L982" s="20"/>
      <c r="M982" s="20"/>
      <c r="N982" s="20" t="str">
        <f t="shared" si="1"/>
        <v>#</v>
      </c>
      <c r="O982" s="20"/>
      <c r="P982" s="21"/>
      <c r="Q982" s="14" t="str">
        <f t="shared" si="2"/>
        <v/>
      </c>
      <c r="R982" s="14"/>
    </row>
    <row r="983">
      <c r="A983" s="14"/>
      <c r="B983" s="21"/>
      <c r="C983" s="14"/>
      <c r="D983" s="16"/>
      <c r="E983" s="16"/>
      <c r="F983" s="21"/>
      <c r="G983" s="21"/>
      <c r="H983" s="24"/>
      <c r="I983" s="24"/>
      <c r="J983" s="20"/>
      <c r="K983" s="20"/>
      <c r="L983" s="20"/>
      <c r="M983" s="20"/>
      <c r="N983" s="20" t="str">
        <f t="shared" si="1"/>
        <v>#</v>
      </c>
      <c r="O983" s="20"/>
      <c r="P983" s="21"/>
      <c r="Q983" s="14" t="str">
        <f t="shared" si="2"/>
        <v/>
      </c>
      <c r="R983" s="14"/>
    </row>
    <row r="984">
      <c r="A984" s="14"/>
      <c r="B984" s="21"/>
      <c r="C984" s="14"/>
      <c r="D984" s="16"/>
      <c r="E984" s="16"/>
      <c r="F984" s="21"/>
      <c r="G984" s="21"/>
      <c r="H984" s="24"/>
      <c r="I984" s="24"/>
      <c r="J984" s="20"/>
      <c r="K984" s="20"/>
      <c r="L984" s="20"/>
      <c r="M984" s="20"/>
      <c r="N984" s="20" t="str">
        <f t="shared" si="1"/>
        <v>#</v>
      </c>
      <c r="O984" s="20"/>
      <c r="P984" s="21"/>
      <c r="Q984" s="14" t="str">
        <f t="shared" si="2"/>
        <v/>
      </c>
      <c r="R984" s="14"/>
    </row>
    <row r="985">
      <c r="A985" s="14"/>
      <c r="B985" s="21"/>
      <c r="C985" s="14"/>
      <c r="D985" s="16"/>
      <c r="E985" s="16"/>
      <c r="F985" s="21"/>
      <c r="G985" s="21"/>
      <c r="H985" s="24"/>
      <c r="I985" s="24"/>
      <c r="J985" s="20"/>
      <c r="K985" s="20"/>
      <c r="L985" s="20"/>
      <c r="M985" s="20"/>
      <c r="N985" s="20" t="str">
        <f t="shared" si="1"/>
        <v>#</v>
      </c>
      <c r="O985" s="20"/>
      <c r="P985" s="21"/>
      <c r="Q985" s="14" t="str">
        <f t="shared" si="2"/>
        <v/>
      </c>
      <c r="R985" s="14"/>
    </row>
    <row r="986">
      <c r="A986" s="14"/>
      <c r="B986" s="21"/>
      <c r="C986" s="14"/>
      <c r="D986" s="16"/>
      <c r="E986" s="16"/>
      <c r="F986" s="21"/>
      <c r="G986" s="21"/>
      <c r="H986" s="24"/>
      <c r="I986" s="24"/>
      <c r="J986" s="20"/>
      <c r="K986" s="20"/>
      <c r="L986" s="20"/>
      <c r="M986" s="20"/>
      <c r="N986" s="20" t="str">
        <f t="shared" si="1"/>
        <v>#</v>
      </c>
      <c r="O986" s="20"/>
      <c r="P986" s="21"/>
      <c r="Q986" s="14" t="str">
        <f t="shared" si="2"/>
        <v/>
      </c>
      <c r="R986" s="14"/>
    </row>
    <row r="987">
      <c r="A987" s="14"/>
      <c r="B987" s="21"/>
      <c r="C987" s="14"/>
      <c r="D987" s="16"/>
      <c r="E987" s="16"/>
      <c r="F987" s="21"/>
      <c r="G987" s="21"/>
      <c r="H987" s="24"/>
      <c r="I987" s="24"/>
      <c r="J987" s="20"/>
      <c r="K987" s="20"/>
      <c r="L987" s="20"/>
      <c r="M987" s="20"/>
      <c r="N987" s="20" t="str">
        <f t="shared" si="1"/>
        <v>#</v>
      </c>
      <c r="O987" s="20"/>
      <c r="P987" s="21"/>
      <c r="Q987" s="14" t="str">
        <f t="shared" si="2"/>
        <v/>
      </c>
      <c r="R987" s="14"/>
    </row>
    <row r="988">
      <c r="A988" s="14"/>
      <c r="B988" s="21"/>
      <c r="C988" s="14"/>
      <c r="D988" s="16"/>
      <c r="E988" s="16"/>
      <c r="F988" s="21"/>
      <c r="G988" s="21"/>
      <c r="H988" s="24"/>
      <c r="I988" s="24"/>
      <c r="J988" s="20"/>
      <c r="K988" s="20"/>
      <c r="L988" s="20"/>
      <c r="M988" s="20"/>
      <c r="N988" s="20" t="str">
        <f t="shared" si="1"/>
        <v>#</v>
      </c>
      <c r="O988" s="20"/>
      <c r="P988" s="21"/>
      <c r="Q988" s="14" t="str">
        <f t="shared" si="2"/>
        <v/>
      </c>
      <c r="R988" s="14"/>
    </row>
    <row r="989">
      <c r="A989" s="14"/>
      <c r="B989" s="21"/>
      <c r="C989" s="14"/>
      <c r="D989" s="16"/>
      <c r="E989" s="16"/>
      <c r="F989" s="21"/>
      <c r="G989" s="21"/>
      <c r="H989" s="24"/>
      <c r="I989" s="24"/>
      <c r="J989" s="20"/>
      <c r="K989" s="20"/>
      <c r="L989" s="20"/>
      <c r="M989" s="20"/>
      <c r="N989" s="20" t="str">
        <f t="shared" si="1"/>
        <v>#</v>
      </c>
      <c r="O989" s="20"/>
      <c r="P989" s="21"/>
      <c r="Q989" s="14" t="str">
        <f t="shared" si="2"/>
        <v/>
      </c>
      <c r="R989" s="14"/>
    </row>
    <row r="990">
      <c r="A990" s="14"/>
      <c r="B990" s="21"/>
      <c r="C990" s="14"/>
      <c r="D990" s="16"/>
      <c r="E990" s="16"/>
      <c r="F990" s="21"/>
      <c r="G990" s="21"/>
      <c r="H990" s="24"/>
      <c r="I990" s="24"/>
      <c r="J990" s="20"/>
      <c r="K990" s="20"/>
      <c r="L990" s="20"/>
      <c r="M990" s="20"/>
      <c r="N990" s="20" t="str">
        <f t="shared" si="1"/>
        <v>#</v>
      </c>
      <c r="O990" s="20"/>
      <c r="P990" s="21"/>
      <c r="Q990" s="14" t="str">
        <f t="shared" si="2"/>
        <v/>
      </c>
      <c r="R990" s="14"/>
    </row>
    <row r="991">
      <c r="A991" s="14"/>
      <c r="B991" s="21"/>
      <c r="C991" s="14"/>
      <c r="D991" s="16"/>
      <c r="E991" s="16"/>
      <c r="F991" s="21"/>
      <c r="G991" s="21"/>
      <c r="H991" s="24"/>
      <c r="I991" s="24"/>
      <c r="J991" s="20"/>
      <c r="K991" s="20"/>
      <c r="L991" s="20"/>
      <c r="M991" s="20"/>
      <c r="N991" s="20" t="str">
        <f t="shared" si="1"/>
        <v>#</v>
      </c>
      <c r="O991" s="20"/>
      <c r="P991" s="21"/>
      <c r="Q991" s="14" t="str">
        <f t="shared" si="2"/>
        <v/>
      </c>
      <c r="R991" s="14"/>
    </row>
    <row r="992">
      <c r="A992" s="14"/>
      <c r="B992" s="21"/>
      <c r="C992" s="14"/>
      <c r="D992" s="16"/>
      <c r="E992" s="16"/>
      <c r="F992" s="21"/>
      <c r="G992" s="21"/>
      <c r="H992" s="24"/>
      <c r="I992" s="24"/>
      <c r="J992" s="20"/>
      <c r="K992" s="20"/>
      <c r="L992" s="20"/>
      <c r="M992" s="20"/>
      <c r="N992" s="20" t="str">
        <f t="shared" si="1"/>
        <v>#</v>
      </c>
      <c r="O992" s="20"/>
      <c r="P992" s="21"/>
      <c r="Q992" s="14" t="str">
        <f t="shared" si="2"/>
        <v/>
      </c>
      <c r="R992" s="14"/>
    </row>
    <row r="993">
      <c r="A993" s="14"/>
      <c r="B993" s="21"/>
      <c r="C993" s="14"/>
      <c r="D993" s="16"/>
      <c r="E993" s="16"/>
      <c r="F993" s="21"/>
      <c r="G993" s="21"/>
      <c r="H993" s="24"/>
      <c r="I993" s="24"/>
      <c r="J993" s="20"/>
      <c r="K993" s="20"/>
      <c r="L993" s="20"/>
      <c r="M993" s="20"/>
      <c r="N993" s="20" t="str">
        <f t="shared" si="1"/>
        <v>#</v>
      </c>
      <c r="O993" s="20"/>
      <c r="P993" s="21"/>
      <c r="Q993" s="14" t="str">
        <f t="shared" si="2"/>
        <v/>
      </c>
      <c r="R993" s="14"/>
    </row>
    <row r="994">
      <c r="A994" s="14"/>
      <c r="B994" s="21"/>
      <c r="C994" s="14"/>
      <c r="D994" s="16"/>
      <c r="E994" s="16"/>
      <c r="F994" s="21"/>
      <c r="G994" s="21"/>
      <c r="H994" s="24"/>
      <c r="I994" s="24"/>
      <c r="J994" s="20"/>
      <c r="K994" s="20"/>
      <c r="L994" s="20"/>
      <c r="M994" s="20"/>
      <c r="N994" s="20" t="str">
        <f t="shared" si="1"/>
        <v>#</v>
      </c>
      <c r="O994" s="20"/>
      <c r="P994" s="21"/>
      <c r="Q994" s="14" t="str">
        <f t="shared" si="2"/>
        <v/>
      </c>
      <c r="R994" s="14"/>
    </row>
    <row r="995">
      <c r="A995" s="14"/>
      <c r="B995" s="21"/>
      <c r="C995" s="14"/>
      <c r="D995" s="16"/>
      <c r="E995" s="16"/>
      <c r="F995" s="21"/>
      <c r="G995" s="21"/>
      <c r="H995" s="24"/>
      <c r="I995" s="24"/>
      <c r="J995" s="20"/>
      <c r="K995" s="20"/>
      <c r="L995" s="20"/>
      <c r="M995" s="20"/>
      <c r="N995" s="20" t="str">
        <f t="shared" si="1"/>
        <v>#</v>
      </c>
      <c r="O995" s="20"/>
      <c r="P995" s="21"/>
      <c r="Q995" s="14" t="str">
        <f t="shared" si="2"/>
        <v/>
      </c>
      <c r="R995" s="14"/>
    </row>
    <row r="996">
      <c r="A996" s="14"/>
      <c r="B996" s="21"/>
      <c r="C996" s="14"/>
      <c r="D996" s="16"/>
      <c r="E996" s="16"/>
      <c r="F996" s="21"/>
      <c r="G996" s="21"/>
      <c r="H996" s="24"/>
      <c r="I996" s="24"/>
      <c r="J996" s="20"/>
      <c r="K996" s="20"/>
      <c r="L996" s="20"/>
      <c r="M996" s="20"/>
      <c r="N996" s="20" t="str">
        <f t="shared" si="1"/>
        <v>#</v>
      </c>
      <c r="O996" s="20"/>
      <c r="P996" s="21"/>
      <c r="Q996" s="14" t="str">
        <f t="shared" si="2"/>
        <v/>
      </c>
      <c r="R996" s="14"/>
    </row>
    <row r="997">
      <c r="A997" s="14"/>
      <c r="B997" s="21"/>
      <c r="C997" s="14"/>
      <c r="D997" s="16"/>
      <c r="E997" s="16"/>
      <c r="F997" s="21"/>
      <c r="G997" s="21"/>
      <c r="H997" s="24"/>
      <c r="I997" s="24"/>
      <c r="J997" s="20"/>
      <c r="K997" s="20"/>
      <c r="L997" s="20"/>
      <c r="M997" s="20"/>
      <c r="N997" s="20" t="str">
        <f t="shared" si="1"/>
        <v>#</v>
      </c>
      <c r="O997" s="20"/>
      <c r="P997" s="21"/>
      <c r="Q997" s="14" t="str">
        <f t="shared" si="2"/>
        <v/>
      </c>
      <c r="R997" s="14"/>
    </row>
    <row r="998">
      <c r="A998" s="14"/>
      <c r="B998" s="21"/>
      <c r="C998" s="14"/>
      <c r="D998" s="16"/>
      <c r="E998" s="16"/>
      <c r="F998" s="21"/>
      <c r="G998" s="21"/>
      <c r="H998" s="24"/>
      <c r="I998" s="24"/>
      <c r="J998" s="20"/>
      <c r="K998" s="20"/>
      <c r="L998" s="20"/>
      <c r="M998" s="20"/>
      <c r="N998" s="20" t="str">
        <f t="shared" si="1"/>
        <v>#</v>
      </c>
      <c r="O998" s="20"/>
      <c r="P998" s="21"/>
      <c r="Q998" s="14" t="str">
        <f t="shared" si="2"/>
        <v/>
      </c>
      <c r="R998" s="14"/>
    </row>
    <row r="999">
      <c r="A999" s="14"/>
      <c r="B999" s="21"/>
      <c r="C999" s="14"/>
      <c r="D999" s="16"/>
      <c r="E999" s="16"/>
      <c r="F999" s="21"/>
      <c r="G999" s="21"/>
      <c r="H999" s="24"/>
      <c r="I999" s="24"/>
      <c r="J999" s="20"/>
      <c r="K999" s="20"/>
      <c r="L999" s="20"/>
      <c r="M999" s="20"/>
      <c r="N999" s="20" t="str">
        <f t="shared" si="1"/>
        <v>#</v>
      </c>
      <c r="O999" s="20"/>
      <c r="P999" s="21"/>
      <c r="Q999" s="14" t="str">
        <f t="shared" si="2"/>
        <v/>
      </c>
      <c r="R999" s="14"/>
    </row>
    <row r="1000">
      <c r="A1000" s="14"/>
      <c r="B1000" s="21"/>
      <c r="C1000" s="14"/>
      <c r="D1000" s="16"/>
      <c r="E1000" s="16"/>
      <c r="F1000" s="21"/>
      <c r="G1000" s="21"/>
      <c r="H1000" s="24"/>
      <c r="I1000" s="24"/>
      <c r="J1000" s="20"/>
      <c r="K1000" s="20"/>
      <c r="L1000" s="20"/>
      <c r="M1000" s="20"/>
      <c r="N1000" s="20" t="str">
        <f t="shared" si="1"/>
        <v>#</v>
      </c>
      <c r="O1000" s="20"/>
      <c r="P1000" s="21"/>
      <c r="Q1000" s="14" t="str">
        <f t="shared" si="2"/>
        <v/>
      </c>
      <c r="R1000" s="14"/>
    </row>
  </sheetData>
  <dataValidations>
    <dataValidation type="list" allowBlank="1" showErrorMessage="1" sqref="E2:E1000">
      <formula1>DropDown!$F$2:$F$10</formula1>
    </dataValidation>
    <dataValidation type="list" allowBlank="1" sqref="C2:C1000">
      <formula1>DropDown!$A$2:$A$152</formula1>
    </dataValidation>
    <dataValidation type="list" allowBlank="1" showErrorMessage="1" sqref="A2:A1000">
      <formula1>DropDown!$C$2</formula1>
    </dataValidation>
    <dataValidation type="list" allowBlank="1" sqref="Q2:Q1000">
      <formula1>DropDown!$B$2:$B$1000</formula1>
    </dataValidation>
    <dataValidation type="list" allowBlank="1" showErrorMessage="1" sqref="D2:D1000">
      <formula1>DropDown!$E$2:$E$10</formula1>
    </dataValidation>
    <dataValidation type="list" allowBlank="1" sqref="R2:R1000">
      <formula1>DropDown!$D$2:$D$7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2" width="32.25"/>
    <col customWidth="1" min="4" max="4" width="27.63"/>
    <col customWidth="1" min="5" max="5" width="33.0"/>
  </cols>
  <sheetData>
    <row r="1">
      <c r="A1" s="30" t="s">
        <v>41</v>
      </c>
      <c r="B1" s="31" t="s">
        <v>55</v>
      </c>
      <c r="C1" s="32" t="s">
        <v>39</v>
      </c>
      <c r="D1" s="31" t="s">
        <v>56</v>
      </c>
      <c r="E1" s="31" t="s">
        <v>42</v>
      </c>
      <c r="F1" s="30" t="s">
        <v>43</v>
      </c>
    </row>
    <row r="2">
      <c r="A2" s="31" t="s">
        <v>58</v>
      </c>
      <c r="B2" s="31" t="s">
        <v>59</v>
      </c>
      <c r="C2" s="32" t="s">
        <v>57</v>
      </c>
      <c r="D2" s="31" t="s">
        <v>60</v>
      </c>
      <c r="E2" s="27" t="s">
        <v>61</v>
      </c>
      <c r="F2" s="31" t="s">
        <v>62</v>
      </c>
    </row>
    <row r="3">
      <c r="D3" s="27" t="s">
        <v>63</v>
      </c>
      <c r="E3" s="27" t="s">
        <v>64</v>
      </c>
      <c r="F3" s="33" t="s">
        <v>65</v>
      </c>
    </row>
    <row r="4">
      <c r="D4" s="27" t="s">
        <v>66</v>
      </c>
      <c r="E4" s="27" t="s">
        <v>67</v>
      </c>
      <c r="F4" s="31" t="s">
        <v>68</v>
      </c>
    </row>
    <row r="5">
      <c r="D5" s="27" t="s">
        <v>69</v>
      </c>
      <c r="E5" s="27" t="s">
        <v>70</v>
      </c>
      <c r="F5" s="31" t="s">
        <v>71</v>
      </c>
    </row>
    <row r="6">
      <c r="D6" s="31" t="s">
        <v>72</v>
      </c>
      <c r="E6" s="27" t="s">
        <v>73</v>
      </c>
      <c r="F6" s="31" t="s">
        <v>74</v>
      </c>
    </row>
    <row r="7">
      <c r="D7" s="31" t="s">
        <v>75</v>
      </c>
      <c r="E7" s="27" t="s">
        <v>76</v>
      </c>
      <c r="F7" s="31"/>
    </row>
    <row r="8">
      <c r="D8" s="31" t="s">
        <v>77</v>
      </c>
      <c r="E8" s="27" t="s">
        <v>78</v>
      </c>
    </row>
    <row r="9">
      <c r="D9" s="31" t="s">
        <v>79</v>
      </c>
      <c r="E9" s="27" t="s">
        <v>80</v>
      </c>
    </row>
    <row r="10">
      <c r="D10" s="31" t="s">
        <v>81</v>
      </c>
      <c r="E10" s="27" t="s">
        <v>82</v>
      </c>
    </row>
    <row r="11">
      <c r="D11" s="31" t="s">
        <v>83</v>
      </c>
      <c r="E11" s="27"/>
    </row>
    <row r="12">
      <c r="D12" s="31" t="s">
        <v>84</v>
      </c>
      <c r="E12" s="27"/>
    </row>
    <row r="13">
      <c r="E13" s="27"/>
    </row>
    <row r="14">
      <c r="E14" s="27"/>
    </row>
    <row r="15">
      <c r="E15" s="27"/>
    </row>
    <row r="16">
      <c r="E16" s="27"/>
    </row>
    <row r="17">
      <c r="E17" s="27"/>
    </row>
    <row r="18">
      <c r="E18" s="27"/>
    </row>
    <row r="19">
      <c r="E19" s="27"/>
    </row>
    <row r="20">
      <c r="E20" s="27"/>
    </row>
    <row r="21">
      <c r="E21" s="27"/>
    </row>
    <row r="22">
      <c r="E22" s="27"/>
    </row>
    <row r="23">
      <c r="E23" s="27"/>
    </row>
    <row r="24">
      <c r="E24" s="27"/>
      <c r="J24" s="34"/>
    </row>
    <row r="25">
      <c r="E25" s="27"/>
    </row>
    <row r="26">
      <c r="E26" s="27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7">
      <c r="B37" s="35"/>
    </row>
    <row r="38">
      <c r="B38" s="35"/>
    </row>
    <row r="39">
      <c r="B39" s="35"/>
    </row>
    <row r="40">
      <c r="B40" s="36"/>
    </row>
    <row r="47">
      <c r="A47" s="34"/>
    </row>
  </sheetData>
  <autoFilter ref="$A$1:$F$12">
    <sortState ref="A1:F12">
      <sortCondition ref="E1:E12"/>
    </sortState>
  </autoFilter>
  <drawing r:id="rId1"/>
</worksheet>
</file>