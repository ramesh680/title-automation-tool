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Def" sheetId="1" r:id="rId4"/>
    <sheet state="visible" name="Ingest Template" sheetId="2" r:id="rId5"/>
    <sheet state="visible" name="DropDown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blank for new brands</t>
      </text>
    </comment>
    <comment authorId="0" ref="AG1">
      <text>
        <t xml:space="preserve">Automatically Populate for brands. This would only have to be populated to create a custom unofficial search term/s</t>
      </text>
    </comment>
    <comment authorId="0" ref="E1">
      <text>
        <t xml:space="preserve">Merges multiple brand sets into one cell. Drop Down available</t>
      </text>
    </comment>
    <comment authorId="0" ref="F1">
      <text>
        <t xml:space="preserve">Auto-populates based on genre</t>
      </text>
    </comment>
    <comment authorId="0" ref="G1">
      <text>
        <t xml:space="preserve">optional</t>
      </text>
    </comment>
    <comment authorId="0" ref="I1">
      <text>
        <t xml:space="preserve">Populates based on DAR vs Non-DAR &amp; Network</t>
      </text>
    </comment>
    <comment authorId="0" ref="J1">
      <text>
        <t xml:space="preserve">Merges multiple brand sets into one cell. Drop Down available</t>
      </text>
    </comment>
    <comment authorId="0" ref="K1">
      <text>
        <t xml:space="preserve">t vs f. defaults t</t>
      </text>
    </comment>
    <comment authorId="0" ref="L1">
      <text>
        <t xml:space="preserve">Auto-format</t>
      </text>
    </comment>
    <comment authorId="0" ref="Q1">
      <text>
        <t xml:space="preserve">DropDown</t>
      </text>
    </comment>
    <comment authorId="0" ref="R1">
      <text>
        <t xml:space="preserve">defaults F</t>
      </text>
    </comment>
    <comment authorId="0" ref="T1">
      <text>
        <t xml:space="preserve">Insert the full URL of the Twitter account handle (i.e. http:@twittername).</t>
      </text>
    </comment>
    <comment authorId="0" ref="U1">
      <text>
        <t xml:space="preserve">Only insert the IG handle without the @ 
(i.e. the show Taskmaster, or @taskmaster, would be ingested as "taskmaster")</t>
      </text>
    </comment>
    <comment authorId="0" ref="Z1">
      <text>
        <t xml:space="preserve">Boards automatically add based on the user</t>
      </text>
    </comment>
    <comment authorId="0" ref="AC1">
      <text>
        <t xml:space="preserve">Type in #hashtags here</t>
      </text>
    </comment>
    <comment authorId="0" ref="AE1">
      <text>
        <t xml:space="preserve">No longer applicable</t>
      </text>
    </comment>
    <comment authorId="0" ref="AF1">
      <text>
        <t xml:space="preserve">Switch to the "Twitter Episodic Keyword Template" tab on this sheet to populate the twitter keyword string.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Twitter Hashtag #3</t>
      </text>
    </comment>
    <comment authorId="0" ref="H1">
      <text>
        <t xml:space="preserve">Twitter Hashtag #3</t>
      </text>
    </comment>
    <comment authorId="0" ref="K1">
      <text>
        <t xml:space="preserve">Double check on BrandDef sheet to see if Instagram string is stripped of everything besides the unique instagram handle (no @'s, no "https://")</t>
      </text>
    </comment>
  </commentList>
</comments>
</file>

<file path=xl/sharedStrings.xml><?xml version="1.0" encoding="utf-8"?>
<sst xmlns="http://schemas.openxmlformats.org/spreadsheetml/2006/main" count="1372" uniqueCount="171">
  <si>
    <t>brand_id</t>
  </si>
  <si>
    <t>title</t>
  </si>
  <si>
    <t>title_category</t>
  </si>
  <si>
    <t>title_sub_category</t>
  </si>
  <si>
    <t>genre</t>
  </si>
  <si>
    <t>primary_genre</t>
  </si>
  <si>
    <t>rovi_id</t>
  </si>
  <si>
    <t>ticker_symbol</t>
  </si>
  <si>
    <t>companies</t>
  </si>
  <si>
    <t>brand_set</t>
  </si>
  <si>
    <t>active</t>
  </si>
  <si>
    <t>released_on</t>
  </si>
  <si>
    <t>box_office</t>
  </si>
  <si>
    <t>street_date</t>
  </si>
  <si>
    <t>gross_screen</t>
  </si>
  <si>
    <t>opening_weekend_box_office</t>
  </si>
  <si>
    <t>network</t>
  </si>
  <si>
    <t>brand_listing_hidden</t>
  </si>
  <si>
    <t>facebook_page</t>
  </si>
  <si>
    <t>twitter_handle</t>
  </si>
  <si>
    <t>instagram_user</t>
  </si>
  <si>
    <t>youtube_channel_username</t>
  </si>
  <si>
    <t>tiktok_user</t>
  </si>
  <si>
    <t>tumblr_page</t>
  </si>
  <si>
    <t>pinterest_user_username</t>
  </si>
  <si>
    <t>pinterest_board</t>
  </si>
  <si>
    <t>wikipedia_page</t>
  </si>
  <si>
    <t>facebook_search_terms</t>
  </si>
  <si>
    <t>twitter_search_terms</t>
  </si>
  <si>
    <t>instagram_search_terms</t>
  </si>
  <si>
    <t>tumblr_search_terms</t>
  </si>
  <si>
    <t>twitter_search_term_keywords</t>
  </si>
  <si>
    <t>youtube_search_terms</t>
  </si>
  <si>
    <t>url_managers</t>
  </si>
  <si>
    <t>Beverages</t>
  </si>
  <si>
    <t>t</t>
  </si>
  <si>
    <t>f</t>
  </si>
  <si>
    <t>Perspective</t>
  </si>
  <si>
    <t>Title</t>
  </si>
  <si>
    <t>Beverage Type</t>
  </si>
  <si>
    <t>Beverage Company</t>
  </si>
  <si>
    <t>Wikipedia</t>
  </si>
  <si>
    <t>Twitter Hashtag 1</t>
  </si>
  <si>
    <t># 2</t>
  </si>
  <si>
    <t># 3</t>
  </si>
  <si>
    <t>Twitter Page (URL)</t>
  </si>
  <si>
    <t>Facebook Page (URL)</t>
  </si>
  <si>
    <t>Instagram Account (URL)</t>
  </si>
  <si>
    <t>YouTube (Brand)</t>
  </si>
  <si>
    <t>TikTok</t>
  </si>
  <si>
    <t>Tumblr</t>
  </si>
  <si>
    <t>Pinterest Username</t>
  </si>
  <si>
    <t>Title Category</t>
  </si>
  <si>
    <t>Subscriber</t>
  </si>
  <si>
    <t>Brand Sets</t>
  </si>
  <si>
    <t>Company</t>
  </si>
  <si>
    <t>DAR</t>
  </si>
  <si>
    <t>Extended</t>
  </si>
  <si>
    <t>Competitive View</t>
  </si>
  <si>
    <t>Beverage Type - Energy Drinks</t>
  </si>
  <si>
    <t>Beverage Company - AB InBev</t>
  </si>
  <si>
    <t>Pristine Brand</t>
  </si>
  <si>
    <t>Operations - Core Title</t>
  </si>
  <si>
    <t>Standard</t>
  </si>
  <si>
    <t>LF // Beverages</t>
  </si>
  <si>
    <t>Beverage Type - Juices &amp; Shakes</t>
  </si>
  <si>
    <t>Beverage Company - All Market Inc.</t>
  </si>
  <si>
    <t>Beverage Type - Water</t>
  </si>
  <si>
    <t>Beverage Company - Arizona Beverage Company</t>
  </si>
  <si>
    <t>Beverage Type - Tea</t>
  </si>
  <si>
    <t>Beverage Company - BA Sports Nutrition</t>
  </si>
  <si>
    <t>Beverage Type - Coffee</t>
  </si>
  <si>
    <t>Beverage Company - Bacardi</t>
  </si>
  <si>
    <t>Beverage Type - Hard Seltzer/RTD Cocktails</t>
  </si>
  <si>
    <t>Beverage Company - Banfi Vintners</t>
  </si>
  <si>
    <t>Beverage Type - Cider</t>
  </si>
  <si>
    <t>Beverage Company - Bell's Brewery</t>
  </si>
  <si>
    <t>Beverage Type - Spirits</t>
  </si>
  <si>
    <t>Beverage Company - Britvic</t>
  </si>
  <si>
    <t>Beverage Type - Wine/Champagne</t>
  </si>
  <si>
    <t>Beverage Company - Bronco Wine Company</t>
  </si>
  <si>
    <t>Beverage Type - Sports Drinks</t>
  </si>
  <si>
    <t>Beverage Company - Brooklyn Bottling Group</t>
  </si>
  <si>
    <t>Beverage Type - Beer</t>
  </si>
  <si>
    <t>Beverage Company - Brooklyn Brewery</t>
  </si>
  <si>
    <t>Beverage Type - Soft Drinks</t>
  </si>
  <si>
    <t>Beverage Company - Brown-Forman</t>
  </si>
  <si>
    <t>Beverage Type - Dairy/Alternative</t>
  </si>
  <si>
    <t>Beverage Company - C&amp;C Group</t>
  </si>
  <si>
    <t>Beverage Company - Campbell Soup Company</t>
  </si>
  <si>
    <t>Beverage Company - CANarchy</t>
  </si>
  <si>
    <t>Beverage Company - Castle Brands</t>
  </si>
  <si>
    <t>Beverage Company - Celsius Holdings</t>
  </si>
  <si>
    <t>Beverage Company - Constellation Brands</t>
  </si>
  <si>
    <t>Beverage Company - D.G. Yuengling &amp; Son</t>
  </si>
  <si>
    <t>Beverage Company - Danone Group</t>
  </si>
  <si>
    <t>Beverage Company - Davide Campari</t>
  </si>
  <si>
    <t>Beverage Company - Deschutes Brewery</t>
  </si>
  <si>
    <t>Beverage Company - Diageo</t>
  </si>
  <si>
    <t>Beverage Company - Don Sebastiani &amp; Sons</t>
  </si>
  <si>
    <t>Beverage Company - Duvel Moortgat</t>
  </si>
  <si>
    <t>Beverage Company - E &amp; J Gallo Winery</t>
  </si>
  <si>
    <t>Beverage Company - Essentia Water</t>
  </si>
  <si>
    <t>Beverage Company - Farmer Brothers Company</t>
  </si>
  <si>
    <t>Beverage Company - FIFCO USA</t>
  </si>
  <si>
    <t>Beverage Company - Florida's Natural Growers</t>
  </si>
  <si>
    <t>Beverage Company - Founders Brewing Co.</t>
  </si>
  <si>
    <t>Beverage Company - Geloso Beverage Group</t>
  </si>
  <si>
    <t>Beverage Company - GT's Living Foods</t>
  </si>
  <si>
    <t>Beverage Company - Hain Celestial Group</t>
  </si>
  <si>
    <t>Beverage Company - Harvest Hill Beverage Company</t>
  </si>
  <si>
    <t>Beverage Company - Health-Ade, LLC</t>
  </si>
  <si>
    <t>Beverage Company - Heaven Hill Distilleries</t>
  </si>
  <si>
    <t>Beverage Company - Heineken N.V.</t>
  </si>
  <si>
    <t>Beverage Company - Henkell Freixenet</t>
  </si>
  <si>
    <t>Beverage Company - Hint, Inc.</t>
  </si>
  <si>
    <t>Beverage Company - ITO EN</t>
  </si>
  <si>
    <t>Beverage Company - Jacobs Douwe Egberts</t>
  </si>
  <si>
    <t>Beverage Company - Jel Sert Co</t>
  </si>
  <si>
    <t>Beverage Company - Kasapreko</t>
  </si>
  <si>
    <t>Beverage Company - Kendall-Jackson Wine Estates</t>
  </si>
  <si>
    <t>Beverage Company - Keurig Dr Pepper</t>
  </si>
  <si>
    <t>Beverage Company - Langer Juice Company</t>
  </si>
  <si>
    <t>Beverage Company - Lassonde Industries Inc</t>
  </si>
  <si>
    <t>Beverage Company - Lifeway Foods</t>
  </si>
  <si>
    <t>Beverage Company - Living Essentials LLC</t>
  </si>
  <si>
    <t>Beverage Company - LVMH</t>
  </si>
  <si>
    <t>Beverage Company - Marchesi de' Frescobaldi</t>
  </si>
  <si>
    <t>Beverage Company - Mark Anthony Group</t>
  </si>
  <si>
    <t>Beverage Company - Mast-Jägermeister</t>
  </si>
  <si>
    <t>Beverage Company - Molson Coors Beverage Company</t>
  </si>
  <si>
    <t>Beverage Company - Monster Beverage</t>
  </si>
  <si>
    <t>Beverage Company - National Beverage Corp.</t>
  </si>
  <si>
    <t>Beverage Company - Nestlé</t>
  </si>
  <si>
    <t>Beverage Company - New Belgium Brewing Company</t>
  </si>
  <si>
    <t>Beverage Company - Niagara Bottling</t>
  </si>
  <si>
    <t>Beverage Company - Ocean Spray</t>
  </si>
  <si>
    <t>Beverage Company - Pabst Brewing Company</t>
  </si>
  <si>
    <t>Beverage Company - PepsiCo</t>
  </si>
  <si>
    <t>Beverage Company - Pernod Ricard</t>
  </si>
  <si>
    <t>Beverage Company - Phusion Projects, LLC</t>
  </si>
  <si>
    <t>Beverage Company - Polar Beverages</t>
  </si>
  <si>
    <t>Beverage Company - Primo Water</t>
  </si>
  <si>
    <t>Beverage Company - RC Bigelow, Inc.</t>
  </si>
  <si>
    <t>Beverage Company - Red Bull GMBH</t>
  </si>
  <si>
    <t>Beverage Company - Reed's Inc.</t>
  </si>
  <si>
    <t>Beverage Company - Sierra Nevada Brewing Company</t>
  </si>
  <si>
    <t>Beverage Company - Starbucks Corporation</t>
  </si>
  <si>
    <t>Beverage Company - Ste. Michelle Wine Estates</t>
  </si>
  <si>
    <t>Beverage Company - Stone Brewing Co.</t>
  </si>
  <si>
    <t>Beverage Company - Sun Orchard, Inc.</t>
  </si>
  <si>
    <t>Beverage Company - Suntory Holdings</t>
  </si>
  <si>
    <t>Beverage Company - SweetWater Brewing Company</t>
  </si>
  <si>
    <t>Beverage Company - Talking Rain Beverage Company</t>
  </si>
  <si>
    <t>Beverage Company - Tampico Beverages</t>
  </si>
  <si>
    <t>Beverage Company - Tata Global Beverages</t>
  </si>
  <si>
    <t>Beverage Company - Terlato Wines International</t>
  </si>
  <si>
    <t>Beverage Company - The Boston Beer Company</t>
  </si>
  <si>
    <t>Beverage Company - The Coca-Cola Company</t>
  </si>
  <si>
    <t>Beverage Company - The Gambrinus Company</t>
  </si>
  <si>
    <t>Beverage Company - The J.M. Smucker Company</t>
  </si>
  <si>
    <t>Beverage Company - The Wine Group</t>
  </si>
  <si>
    <t>Beverage Company - The Wonderful Company</t>
  </si>
  <si>
    <t>Beverage Company - Treasury Wine Estates</t>
  </si>
  <si>
    <t>Beverage Company - Tree Top Inc.</t>
  </si>
  <si>
    <t>Beverage Company - Trinchero Family Estates</t>
  </si>
  <si>
    <t>Beverage Company - Unilever</t>
  </si>
  <si>
    <t>Beverage Company - Vina Concha Y Toro</t>
  </si>
  <si>
    <t>Beverage Company - VPX/Bang Energy</t>
  </si>
  <si>
    <t>Beverage Company - Welch Foods Inc.</t>
  </si>
  <si>
    <t>Beverage Company - Total Beverage 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</si>
</sst>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9">
    <font>
      <sz val="10.0"/>
      <color rgb="FF000000"/>
      <name val="Arial"/>
    </font>
    <font>
      <b/>
      <name val="Arial"/>
    </font>
    <font>
      <name val="Arial"/>
    </font>
    <font>
      <color rgb="FF000000"/>
      <name val="Arial"/>
    </font>
    <font>
      <sz val="12.0"/>
      <color rgb="FF000000"/>
      <name val="Calibri"/>
    </font>
    <font>
      <b/>
      <color rgb="FF000000"/>
    </font>
    <font>
      <color rgb="FF000000"/>
    </font>
    <font/>
    <font>
      <sz val="9.0"/>
      <color rgb="FF323537"/>
      <name val="&quot;Helvetica Neue&quot;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readingOrder="0"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vertical="bottom"/>
    </xf>
    <xf borderId="0" fillId="4" fontId="2" numFmtId="164" xfId="0" applyAlignment="1" applyFont="1" applyNumberFormat="1">
      <alignment vertical="bottom"/>
    </xf>
    <xf borderId="0" fillId="4" fontId="4" numFmtId="0" xfId="0" applyAlignment="1" applyFont="1">
      <alignment horizontal="center" vertical="bottom"/>
    </xf>
    <xf borderId="0" fillId="4" fontId="2" numFmtId="0" xfId="0" applyAlignment="1" applyFont="1">
      <alignment vertical="bottom"/>
    </xf>
    <xf borderId="0" fillId="2" fontId="5" numFmtId="0" xfId="0" applyAlignment="1" applyFont="1">
      <alignment readingOrder="0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5" fontId="6" numFmtId="0" xfId="0" applyAlignment="1" applyFill="1" applyFont="1">
      <alignment readingOrder="0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6" numFmtId="0" xfId="0" applyFont="1"/>
    <xf borderId="0" fillId="5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6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vertical="bottom"/>
    </xf>
    <xf borderId="0" fillId="5" fontId="8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44.63"/>
    <col customWidth="1" min="23" max="23" width="16.75"/>
    <col customWidth="1" min="30" max="30" width="20.75"/>
    <col customWidth="1" min="31" max="31" width="21.25"/>
    <col customWidth="1" min="32" max="32" width="28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>
      <c r="A2" s="4"/>
      <c r="B2" s="4" t="str">
        <f>'Ingest Template'!B2&amp;IF('Ingest Template'!A2 = "Standard", " - DAR","")</f>
        <v/>
      </c>
      <c r="C2" s="5" t="s">
        <v>34</v>
      </c>
      <c r="D2" s="5" t="str">
        <f>CONCATENATE('Ingest Template'!C2,'Ingest Template'!D2)</f>
        <v/>
      </c>
      <c r="E2" s="4"/>
      <c r="F2" s="4"/>
      <c r="G2" s="4"/>
      <c r="H2" s="6"/>
      <c r="I2" s="6" t="str">
        <f>iF('Ingest Template'!A2="Standard","Pristine Brand","Unknown")</f>
        <v>Unknown</v>
      </c>
      <c r="J2" s="4" t="str">
        <f>iF('Ingest Template'!A2="Standard","LF // Beverages","Competitive View")</f>
        <v>Competitive View</v>
      </c>
      <c r="K2" s="7" t="s">
        <v>35</v>
      </c>
      <c r="L2" s="8"/>
      <c r="M2" s="4"/>
      <c r="N2" s="4"/>
      <c r="O2" s="4"/>
      <c r="P2" s="4"/>
      <c r="Q2" s="4"/>
      <c r="R2" s="7" t="s">
        <v>36</v>
      </c>
      <c r="S2" s="4" t="str">
        <f>'Ingest Template'!J2</f>
        <v/>
      </c>
      <c r="T2" s="4" t="str">
        <f>'Ingest Template'!I2</f>
        <v/>
      </c>
      <c r="U2" s="4" t="str">
        <f>LOWER(SUBSTITUTE(SUBSTITUTE(SUBSTITUTE(SUBSTITUTE(SUBSTITUTE('Ingest Template'!K2,"https:",""),"www.",""),"/",""),"?hl=en",""),"instagram.com",""))</f>
        <v/>
      </c>
      <c r="V2" s="9" t="str">
        <f>'Ingest Template'!L2</f>
        <v/>
      </c>
      <c r="W2" s="9" t="str">
        <f>'Ingest Template'!M2</f>
        <v/>
      </c>
      <c r="X2" s="4" t="str">
        <f>SUBSTITUTE(SUBSTITUTE(SUBSTITUTE('Ingest Template'!N2,"http:",""),"https:",""),"/","")</f>
        <v/>
      </c>
      <c r="Y2" s="4" t="str">
        <f t="array" ref="Y2">IF('Ingest Template'!A2="Standard",(IF(ISBLANK('Ingest Template'!O2),"", 'Ingest Template'!O2&amp;"|DAR")),(IF(ISBLANK('Ingest Template'!O2),"", 'Ingest Template'!O2&amp;"|Film Ops")))</f>
        <v/>
      </c>
      <c r="Z2" s="4"/>
      <c r="AA2" s="4" t="str">
        <f>'Ingest Template'!E2</f>
        <v/>
      </c>
      <c r="AB2" s="7"/>
      <c r="AC2" s="4" t="str">
        <f t="array" ref="AC2">IF('Ingest Template'!A2="Standard",(CONCATENATE(IF(ISBLANK('Ingest Template'!F2),"", 'Ingest Template'!F2&amp;"|DAR"),CHAR(10), IF(ISBLANK('Ingest Template'!G2),"", 'Ingest Template'!G2&amp;"|DAR"),CHAR(10), IF(ISBLANK('Ingest Template'!H2),"", 'Ingest Template'!H2&amp;"|DAR"))),(CONCATENATE(IF(ISBLANK('Ingest Template'!F2),"", 'Ingest Template'!F2&amp;"|Film Ops"),CHAR(10), IF(ISBLANK('Ingest Template'!G2),"", 'Ingest Template'!G2&amp;"|Film Ops"),CHAR(10), IF(ISBLANK('Ingest Template'!H2),"", 'Ingest Template'!H2&amp;"|Film Ops"))))</f>
        <v>
</v>
      </c>
      <c r="AD2" s="4"/>
      <c r="AE2" s="4"/>
      <c r="AF2" s="10"/>
      <c r="AG2" s="4"/>
      <c r="AH2" s="4"/>
    </row>
    <row r="3">
      <c r="A3" s="4"/>
      <c r="B3" s="4" t="str">
        <f>'Ingest Template'!B3&amp;IF('Ingest Template'!A3 = "Standard", " - DAR","")</f>
        <v/>
      </c>
      <c r="C3" s="5" t="s">
        <v>34</v>
      </c>
      <c r="D3" s="5" t="str">
        <f>CONCATENATE('Ingest Template'!C3,'Ingest Template'!D3)</f>
        <v/>
      </c>
      <c r="E3" s="4"/>
      <c r="F3" s="4"/>
      <c r="G3" s="4"/>
      <c r="H3" s="6"/>
      <c r="I3" s="6" t="str">
        <f>iF('Ingest Template'!A3="Standard","Pristine Brand","Unknown")</f>
        <v>Unknown</v>
      </c>
      <c r="J3" s="4" t="str">
        <f>iF('Ingest Template'!A3="Standard","LF // Beverages","Competitive View")</f>
        <v>Competitive View</v>
      </c>
      <c r="K3" s="7" t="s">
        <v>35</v>
      </c>
      <c r="L3" s="8"/>
      <c r="M3" s="4"/>
      <c r="N3" s="4"/>
      <c r="O3" s="4"/>
      <c r="P3" s="4"/>
      <c r="Q3" s="4"/>
      <c r="R3" s="7" t="s">
        <v>36</v>
      </c>
      <c r="S3" s="4" t="str">
        <f>'Ingest Template'!J3</f>
        <v/>
      </c>
      <c r="T3" s="4" t="str">
        <f>'Ingest Template'!I3</f>
        <v/>
      </c>
      <c r="U3" s="4" t="str">
        <f>LOWER(SUBSTITUTE(SUBSTITUTE(SUBSTITUTE(SUBSTITUTE(SUBSTITUTE('Ingest Template'!K3,"https:",""),"www.",""),"/",""),"?hl=en",""),"instagram.com",""))</f>
        <v/>
      </c>
      <c r="V3" s="9" t="str">
        <f>'Ingest Template'!L3</f>
        <v/>
      </c>
      <c r="W3" s="9" t="str">
        <f>'Ingest Template'!M3</f>
        <v/>
      </c>
      <c r="X3" s="4" t="str">
        <f>SUBSTITUTE(SUBSTITUTE(SUBSTITUTE('Ingest Template'!N3,"http:",""),"https:",""),"/","")</f>
        <v/>
      </c>
      <c r="Y3" s="4" t="str">
        <f t="array" ref="Y3">IF('Ingest Template'!A3="Standard",(IF(ISBLANK('Ingest Template'!O3),"", 'Ingest Template'!O3&amp;"|DAR")),(IF(ISBLANK('Ingest Template'!O3),"", 'Ingest Template'!O3&amp;"|Film Ops")))</f>
        <v/>
      </c>
      <c r="Z3" s="4"/>
      <c r="AA3" s="4" t="str">
        <f>'Ingest Template'!E3</f>
        <v/>
      </c>
      <c r="AB3" s="7"/>
      <c r="AC3" s="4" t="str">
        <f t="array" ref="AC3">IF('Ingest Template'!A3="Standard",(CONCATENATE(IF(ISBLANK('Ingest Template'!F3),"", 'Ingest Template'!F3&amp;"|DAR"),CHAR(10), IF(ISBLANK('Ingest Template'!G3),"", 'Ingest Template'!G3&amp;"|DAR"),CHAR(10), IF(ISBLANK('Ingest Template'!H3),"", 'Ingest Template'!H3&amp;"|DAR"))),(CONCATENATE(IF(ISBLANK('Ingest Template'!F3),"", 'Ingest Template'!F3&amp;"|Film Ops"),CHAR(10), IF(ISBLANK('Ingest Template'!G3),"", 'Ingest Template'!G3&amp;"|Film Ops"),CHAR(10), IF(ISBLANK('Ingest Template'!H3),"", 'Ingest Template'!H3&amp;"|Film Ops"))))</f>
        <v>
</v>
      </c>
      <c r="AD3" s="4"/>
      <c r="AE3" s="4"/>
      <c r="AF3" s="10"/>
      <c r="AG3" s="4"/>
      <c r="AH3" s="4"/>
    </row>
    <row r="4">
      <c r="A4" s="4"/>
      <c r="B4" s="4" t="str">
        <f>'Ingest Template'!B4&amp;IF('Ingest Template'!A4 = "Standard", " - DAR","")</f>
        <v/>
      </c>
      <c r="C4" s="5" t="s">
        <v>34</v>
      </c>
      <c r="D4" s="5" t="str">
        <f>CONCATENATE('Ingest Template'!C4,'Ingest Template'!D4)</f>
        <v/>
      </c>
      <c r="E4" s="4"/>
      <c r="F4" s="4"/>
      <c r="G4" s="4"/>
      <c r="H4" s="6"/>
      <c r="I4" s="6" t="str">
        <f>iF('Ingest Template'!A4="Standard","Pristine Brand","Unknown")</f>
        <v>Unknown</v>
      </c>
      <c r="J4" s="4" t="str">
        <f>iF('Ingest Template'!A4="Standard","LF // Beverages","Competitive View")</f>
        <v>Competitive View</v>
      </c>
      <c r="K4" s="7" t="s">
        <v>35</v>
      </c>
      <c r="L4" s="8"/>
      <c r="M4" s="4"/>
      <c r="N4" s="4"/>
      <c r="O4" s="4"/>
      <c r="P4" s="4"/>
      <c r="Q4" s="4"/>
      <c r="R4" s="7" t="s">
        <v>36</v>
      </c>
      <c r="S4" s="4" t="str">
        <f>'Ingest Template'!J4</f>
        <v/>
      </c>
      <c r="T4" s="4" t="str">
        <f>'Ingest Template'!I4</f>
        <v/>
      </c>
      <c r="U4" s="4" t="str">
        <f>LOWER(SUBSTITUTE(SUBSTITUTE(SUBSTITUTE(SUBSTITUTE(SUBSTITUTE('Ingest Template'!K4,"https:",""),"www.",""),"/",""),"?hl=en",""),"instagram.com",""))</f>
        <v/>
      </c>
      <c r="V4" s="9" t="str">
        <f>'Ingest Template'!L4</f>
        <v/>
      </c>
      <c r="W4" s="9" t="str">
        <f>'Ingest Template'!M4</f>
        <v/>
      </c>
      <c r="X4" s="4" t="str">
        <f>SUBSTITUTE(SUBSTITUTE(SUBSTITUTE('Ingest Template'!N4,"http:",""),"https:",""),"/","")</f>
        <v/>
      </c>
      <c r="Y4" s="4" t="str">
        <f t="array" ref="Y4">IF('Ingest Template'!A4="Standard",(IF(ISBLANK('Ingest Template'!O4),"", 'Ingest Template'!O4&amp;"|DAR")),(IF(ISBLANK('Ingest Template'!O4),"", 'Ingest Template'!O4&amp;"|Film Ops")))</f>
        <v/>
      </c>
      <c r="Z4" s="4"/>
      <c r="AA4" s="4" t="str">
        <f>'Ingest Template'!E4</f>
        <v/>
      </c>
      <c r="AB4" s="7"/>
      <c r="AC4" s="4" t="str">
        <f t="array" ref="AC4">IF('Ingest Template'!A4="Standard",(CONCATENATE(IF(ISBLANK('Ingest Template'!F4),"", 'Ingest Template'!F4&amp;"|DAR"),CHAR(10), IF(ISBLANK('Ingest Template'!G4),"", 'Ingest Template'!G4&amp;"|DAR"),CHAR(10), IF(ISBLANK('Ingest Template'!H4),"", 'Ingest Template'!H4&amp;"|DAR"))),(CONCATENATE(IF(ISBLANK('Ingest Template'!F4),"", 'Ingest Template'!F4&amp;"|Film Ops"),CHAR(10), IF(ISBLANK('Ingest Template'!G4),"", 'Ingest Template'!G4&amp;"|Film Ops"),CHAR(10), IF(ISBLANK('Ingest Template'!H4),"", 'Ingest Template'!H4&amp;"|Film Ops"))))</f>
        <v>
</v>
      </c>
      <c r="AD4" s="4"/>
      <c r="AE4" s="4"/>
      <c r="AF4" s="10"/>
      <c r="AG4" s="4"/>
      <c r="AH4" s="4"/>
    </row>
    <row r="5">
      <c r="A5" s="4"/>
      <c r="B5" s="4" t="str">
        <f>'Ingest Template'!B5&amp;IF('Ingest Template'!A5 = "Standard", " - DAR","")</f>
        <v/>
      </c>
      <c r="C5" s="5" t="s">
        <v>34</v>
      </c>
      <c r="D5" s="5" t="str">
        <f>CONCATENATE('Ingest Template'!C5,'Ingest Template'!D5)</f>
        <v/>
      </c>
      <c r="E5" s="4"/>
      <c r="F5" s="4"/>
      <c r="G5" s="4"/>
      <c r="H5" s="6"/>
      <c r="I5" s="6" t="str">
        <f>iF('Ingest Template'!A5="Standard","Pristine Brand","Unknown")</f>
        <v>Unknown</v>
      </c>
      <c r="J5" s="4" t="str">
        <f>iF('Ingest Template'!A5="Standard","LF // Beverages","Competitive View")</f>
        <v>Competitive View</v>
      </c>
      <c r="K5" s="7" t="s">
        <v>35</v>
      </c>
      <c r="L5" s="8"/>
      <c r="M5" s="4"/>
      <c r="N5" s="4"/>
      <c r="O5" s="4"/>
      <c r="P5" s="4"/>
      <c r="Q5" s="4"/>
      <c r="R5" s="7" t="s">
        <v>36</v>
      </c>
      <c r="S5" s="4" t="str">
        <f>'Ingest Template'!J5</f>
        <v/>
      </c>
      <c r="T5" s="4" t="str">
        <f>'Ingest Template'!I5</f>
        <v/>
      </c>
      <c r="U5" s="4" t="str">
        <f>LOWER(SUBSTITUTE(SUBSTITUTE(SUBSTITUTE(SUBSTITUTE(SUBSTITUTE('Ingest Template'!K5,"https:",""),"www.",""),"/",""),"?hl=en",""),"instagram.com",""))</f>
        <v/>
      </c>
      <c r="V5" s="9" t="str">
        <f>'Ingest Template'!L5</f>
        <v/>
      </c>
      <c r="W5" s="9" t="str">
        <f>'Ingest Template'!M5</f>
        <v/>
      </c>
      <c r="X5" s="4" t="str">
        <f>SUBSTITUTE(SUBSTITUTE(SUBSTITUTE('Ingest Template'!N5,"http:",""),"https:",""),"/","")</f>
        <v/>
      </c>
      <c r="Y5" s="4" t="str">
        <f t="array" ref="Y5">IF('Ingest Template'!A5="Standard",(IF(ISBLANK('Ingest Template'!O5),"", 'Ingest Template'!O5&amp;"|DAR")),(IF(ISBLANK('Ingest Template'!O5),"", 'Ingest Template'!O5&amp;"|Film Ops")))</f>
        <v/>
      </c>
      <c r="Z5" s="4"/>
      <c r="AA5" s="4" t="str">
        <f>'Ingest Template'!E5</f>
        <v/>
      </c>
      <c r="AB5" s="7"/>
      <c r="AC5" s="4" t="str">
        <f t="array" ref="AC5">IF('Ingest Template'!A5="Standard",(CONCATENATE(IF(ISBLANK('Ingest Template'!F5),"", 'Ingest Template'!F5&amp;"|DAR"),CHAR(10), IF(ISBLANK('Ingest Template'!G5),"", 'Ingest Template'!G5&amp;"|DAR"),CHAR(10), IF(ISBLANK('Ingest Template'!H5),"", 'Ingest Template'!H5&amp;"|DAR"))),(CONCATENATE(IF(ISBLANK('Ingest Template'!F5),"", 'Ingest Template'!F5&amp;"|Film Ops"),CHAR(10), IF(ISBLANK('Ingest Template'!G5),"", 'Ingest Template'!G5&amp;"|Film Ops"),CHAR(10), IF(ISBLANK('Ingest Template'!H5),"", 'Ingest Template'!H5&amp;"|Film Ops"))))</f>
        <v>
</v>
      </c>
      <c r="AD5" s="4"/>
      <c r="AE5" s="4"/>
      <c r="AF5" s="10"/>
      <c r="AG5" s="4"/>
      <c r="AH5" s="4"/>
    </row>
    <row r="6">
      <c r="A6" s="4"/>
      <c r="B6" s="4" t="str">
        <f>'Ingest Template'!B6&amp;IF('Ingest Template'!A6 = "Standard", " - DAR","")</f>
        <v/>
      </c>
      <c r="C6" s="5" t="s">
        <v>34</v>
      </c>
      <c r="D6" s="5" t="str">
        <f>CONCATENATE('Ingest Template'!C6,'Ingest Template'!D6)</f>
        <v/>
      </c>
      <c r="E6" s="4"/>
      <c r="F6" s="4"/>
      <c r="G6" s="4"/>
      <c r="H6" s="6"/>
      <c r="I6" s="6" t="str">
        <f>iF('Ingest Template'!A6="Standard","Pristine Brand","Unknown")</f>
        <v>Unknown</v>
      </c>
      <c r="J6" s="4" t="str">
        <f>iF('Ingest Template'!A6="Standard","LF // Beverages","Competitive View")</f>
        <v>Competitive View</v>
      </c>
      <c r="K6" s="7" t="s">
        <v>35</v>
      </c>
      <c r="L6" s="8"/>
      <c r="M6" s="4"/>
      <c r="N6" s="4"/>
      <c r="O6" s="4"/>
      <c r="P6" s="4"/>
      <c r="Q6" s="4"/>
      <c r="R6" s="7" t="s">
        <v>36</v>
      </c>
      <c r="S6" s="4" t="str">
        <f>'Ingest Template'!J6</f>
        <v/>
      </c>
      <c r="T6" s="4" t="str">
        <f>'Ingest Template'!I6</f>
        <v/>
      </c>
      <c r="U6" s="4" t="str">
        <f>LOWER(SUBSTITUTE(SUBSTITUTE(SUBSTITUTE(SUBSTITUTE(SUBSTITUTE('Ingest Template'!K6,"https:",""),"www.",""),"/",""),"?hl=en",""),"instagram.com",""))</f>
        <v/>
      </c>
      <c r="V6" s="9" t="str">
        <f>'Ingest Template'!L6</f>
        <v/>
      </c>
      <c r="W6" s="9" t="str">
        <f>'Ingest Template'!M6</f>
        <v/>
      </c>
      <c r="X6" s="4" t="str">
        <f>SUBSTITUTE(SUBSTITUTE(SUBSTITUTE('Ingest Template'!N6,"http:",""),"https:",""),"/","")</f>
        <v/>
      </c>
      <c r="Y6" s="4" t="str">
        <f t="array" ref="Y6">IF('Ingest Template'!A6="Standard",(IF(ISBLANK('Ingest Template'!O6),"", 'Ingest Template'!O6&amp;"|DAR")),(IF(ISBLANK('Ingest Template'!O6),"", 'Ingest Template'!O6&amp;"|Film Ops")))</f>
        <v/>
      </c>
      <c r="Z6" s="4"/>
      <c r="AA6" s="4" t="str">
        <f>'Ingest Template'!E6</f>
        <v/>
      </c>
      <c r="AB6" s="7"/>
      <c r="AC6" s="4" t="str">
        <f t="array" ref="AC6">IF('Ingest Template'!A6="Standard",(CONCATENATE(IF(ISBLANK('Ingest Template'!F6),"", 'Ingest Template'!F6&amp;"|DAR"),CHAR(10), IF(ISBLANK('Ingest Template'!G6),"", 'Ingest Template'!G6&amp;"|DAR"),CHAR(10), IF(ISBLANK('Ingest Template'!H6),"", 'Ingest Template'!H6&amp;"|DAR"))),(CONCATENATE(IF(ISBLANK('Ingest Template'!F6),"", 'Ingest Template'!F6&amp;"|Film Ops"),CHAR(10), IF(ISBLANK('Ingest Template'!G6),"", 'Ingest Template'!G6&amp;"|Film Ops"),CHAR(10), IF(ISBLANK('Ingest Template'!H6),"", 'Ingest Template'!H6&amp;"|Film Ops"))))</f>
        <v>
</v>
      </c>
      <c r="AD6" s="4"/>
      <c r="AE6" s="4"/>
      <c r="AF6" s="10"/>
      <c r="AG6" s="4"/>
      <c r="AH6" s="4"/>
    </row>
    <row r="7">
      <c r="A7" s="4"/>
      <c r="B7" s="4" t="str">
        <f>'Ingest Template'!B7&amp;IF('Ingest Template'!A7 = "Standard", " - DAR","")</f>
        <v/>
      </c>
      <c r="C7" s="5" t="s">
        <v>34</v>
      </c>
      <c r="D7" s="5" t="str">
        <f>CONCATENATE('Ingest Template'!C7,'Ingest Template'!D7)</f>
        <v/>
      </c>
      <c r="E7" s="4"/>
      <c r="F7" s="4"/>
      <c r="G7" s="4"/>
      <c r="H7" s="6"/>
      <c r="I7" s="6" t="str">
        <f>iF('Ingest Template'!A7="Standard","Pristine Brand","Unknown")</f>
        <v>Unknown</v>
      </c>
      <c r="J7" s="4" t="str">
        <f>iF('Ingest Template'!A7="Standard","LF // Beverages","Competitive View")</f>
        <v>Competitive View</v>
      </c>
      <c r="K7" s="7" t="s">
        <v>35</v>
      </c>
      <c r="L7" s="8"/>
      <c r="M7" s="4"/>
      <c r="N7" s="4"/>
      <c r="O7" s="4"/>
      <c r="P7" s="4"/>
      <c r="Q7" s="4"/>
      <c r="R7" s="7" t="s">
        <v>36</v>
      </c>
      <c r="S7" s="4" t="str">
        <f>'Ingest Template'!J7</f>
        <v/>
      </c>
      <c r="T7" s="4" t="str">
        <f>'Ingest Template'!I7</f>
        <v/>
      </c>
      <c r="U7" s="4" t="str">
        <f>LOWER(SUBSTITUTE(SUBSTITUTE(SUBSTITUTE(SUBSTITUTE(SUBSTITUTE('Ingest Template'!K7,"https:",""),"www.",""),"/",""),"?hl=en",""),"instagram.com",""))</f>
        <v/>
      </c>
      <c r="V7" s="9" t="str">
        <f>'Ingest Template'!L7</f>
        <v/>
      </c>
      <c r="W7" s="9" t="str">
        <f>'Ingest Template'!M7</f>
        <v/>
      </c>
      <c r="X7" s="4" t="str">
        <f>SUBSTITUTE(SUBSTITUTE(SUBSTITUTE('Ingest Template'!N7,"http:",""),"https:",""),"/","")</f>
        <v/>
      </c>
      <c r="Y7" s="4" t="str">
        <f t="array" ref="Y7">IF('Ingest Template'!A7="Standard",(IF(ISBLANK('Ingest Template'!O7),"", 'Ingest Template'!O7&amp;"|DAR")),(IF(ISBLANK('Ingest Template'!O7),"", 'Ingest Template'!O7&amp;"|Film Ops")))</f>
        <v/>
      </c>
      <c r="Z7" s="4"/>
      <c r="AA7" s="4" t="str">
        <f>'Ingest Template'!E7</f>
        <v/>
      </c>
      <c r="AB7" s="7"/>
      <c r="AC7" s="4" t="str">
        <f t="array" ref="AC7">IF('Ingest Template'!A7="Standard",(CONCATENATE(IF(ISBLANK('Ingest Template'!F7),"", 'Ingest Template'!F7&amp;"|DAR"),CHAR(10), IF(ISBLANK('Ingest Template'!G7),"", 'Ingest Template'!G7&amp;"|DAR"),CHAR(10), IF(ISBLANK('Ingest Template'!H7),"", 'Ingest Template'!H7&amp;"|DAR"))),(CONCATENATE(IF(ISBLANK('Ingest Template'!F7),"", 'Ingest Template'!F7&amp;"|Film Ops"),CHAR(10), IF(ISBLANK('Ingest Template'!G7),"", 'Ingest Template'!G7&amp;"|Film Ops"),CHAR(10), IF(ISBLANK('Ingest Template'!H7),"", 'Ingest Template'!H7&amp;"|Film Ops"))))</f>
        <v>
</v>
      </c>
      <c r="AD7" s="4"/>
      <c r="AE7" s="4"/>
      <c r="AF7" s="10"/>
      <c r="AG7" s="4"/>
      <c r="AH7" s="4"/>
    </row>
    <row r="8">
      <c r="A8" s="4"/>
      <c r="B8" s="4" t="str">
        <f>'Ingest Template'!B8&amp;IF('Ingest Template'!A8 = "Standard", " - DAR","")</f>
        <v/>
      </c>
      <c r="C8" s="5" t="s">
        <v>34</v>
      </c>
      <c r="D8" s="5" t="str">
        <f>CONCATENATE('Ingest Template'!C8,'Ingest Template'!D8)</f>
        <v/>
      </c>
      <c r="E8" s="4"/>
      <c r="F8" s="4"/>
      <c r="G8" s="4"/>
      <c r="H8" s="6"/>
      <c r="I8" s="6" t="str">
        <f>iF('Ingest Template'!A8="Standard","Pristine Brand","Unknown")</f>
        <v>Unknown</v>
      </c>
      <c r="J8" s="4" t="str">
        <f>iF('Ingest Template'!A8="Standard","LF // Beverages","Competitive View")</f>
        <v>Competitive View</v>
      </c>
      <c r="K8" s="7" t="s">
        <v>35</v>
      </c>
      <c r="L8" s="8"/>
      <c r="M8" s="4"/>
      <c r="N8" s="4"/>
      <c r="O8" s="4"/>
      <c r="P8" s="4"/>
      <c r="Q8" s="4"/>
      <c r="R8" s="7" t="s">
        <v>36</v>
      </c>
      <c r="S8" s="4" t="str">
        <f>'Ingest Template'!J8</f>
        <v/>
      </c>
      <c r="T8" s="4" t="str">
        <f>'Ingest Template'!I8</f>
        <v/>
      </c>
      <c r="U8" s="4" t="str">
        <f>LOWER(SUBSTITUTE(SUBSTITUTE(SUBSTITUTE(SUBSTITUTE(SUBSTITUTE('Ingest Template'!K8,"https:",""),"www.",""),"/",""),"?hl=en",""),"instagram.com",""))</f>
        <v/>
      </c>
      <c r="V8" s="9" t="str">
        <f>'Ingest Template'!L8</f>
        <v/>
      </c>
      <c r="W8" s="9" t="str">
        <f>'Ingest Template'!M8</f>
        <v/>
      </c>
      <c r="X8" s="4" t="str">
        <f>SUBSTITUTE(SUBSTITUTE(SUBSTITUTE('Ingest Template'!N8,"http:",""),"https:",""),"/","")</f>
        <v/>
      </c>
      <c r="Y8" s="4" t="str">
        <f t="array" ref="Y8">IF('Ingest Template'!A8="Standard",(IF(ISBLANK('Ingest Template'!O8),"", 'Ingest Template'!O8&amp;"|DAR")),(IF(ISBLANK('Ingest Template'!O8),"", 'Ingest Template'!O8&amp;"|Film Ops")))</f>
        <v/>
      </c>
      <c r="Z8" s="4"/>
      <c r="AA8" s="4" t="str">
        <f>'Ingest Template'!E8</f>
        <v/>
      </c>
      <c r="AB8" s="7"/>
      <c r="AC8" s="4" t="str">
        <f t="array" ref="AC8">IF('Ingest Template'!A8="Standard",(CONCATENATE(IF(ISBLANK('Ingest Template'!F8),"", 'Ingest Template'!F8&amp;"|DAR"),CHAR(10), IF(ISBLANK('Ingest Template'!G8),"", 'Ingest Template'!G8&amp;"|DAR"),CHAR(10), IF(ISBLANK('Ingest Template'!H8),"", 'Ingest Template'!H8&amp;"|DAR"))),(CONCATENATE(IF(ISBLANK('Ingest Template'!F8),"", 'Ingest Template'!F8&amp;"|Film Ops"),CHAR(10), IF(ISBLANK('Ingest Template'!G8),"", 'Ingest Template'!G8&amp;"|Film Ops"),CHAR(10), IF(ISBLANK('Ingest Template'!H8),"", 'Ingest Template'!H8&amp;"|Film Ops"))))</f>
        <v>
</v>
      </c>
      <c r="AD8" s="4"/>
      <c r="AE8" s="4"/>
      <c r="AF8" s="10"/>
      <c r="AG8" s="4"/>
      <c r="AH8" s="4"/>
    </row>
    <row r="9">
      <c r="A9" s="4"/>
      <c r="B9" s="4" t="str">
        <f>'Ingest Template'!B9&amp;IF('Ingest Template'!A9 = "Standard", " - DAR","")</f>
        <v/>
      </c>
      <c r="C9" s="5" t="s">
        <v>34</v>
      </c>
      <c r="D9" s="5" t="str">
        <f>CONCATENATE('Ingest Template'!C9,'Ingest Template'!D9)</f>
        <v/>
      </c>
      <c r="E9" s="4"/>
      <c r="F9" s="4"/>
      <c r="G9" s="4"/>
      <c r="H9" s="6"/>
      <c r="I9" s="6" t="str">
        <f>iF('Ingest Template'!A9="Standard","Pristine Brand","Unknown")</f>
        <v>Unknown</v>
      </c>
      <c r="J9" s="4" t="str">
        <f>iF('Ingest Template'!A9="Standard","LF // Beverages","Competitive View")</f>
        <v>Competitive View</v>
      </c>
      <c r="K9" s="7" t="s">
        <v>35</v>
      </c>
      <c r="L9" s="8"/>
      <c r="M9" s="4"/>
      <c r="N9" s="4"/>
      <c r="O9" s="4"/>
      <c r="P9" s="4"/>
      <c r="Q9" s="4"/>
      <c r="R9" s="7" t="s">
        <v>36</v>
      </c>
      <c r="S9" s="4" t="str">
        <f>'Ingest Template'!J9</f>
        <v/>
      </c>
      <c r="T9" s="4" t="str">
        <f>'Ingest Template'!I9</f>
        <v/>
      </c>
      <c r="U9" s="4" t="str">
        <f>LOWER(SUBSTITUTE(SUBSTITUTE(SUBSTITUTE(SUBSTITUTE(SUBSTITUTE('Ingest Template'!K9,"https:",""),"www.",""),"/",""),"?hl=en",""),"instagram.com",""))</f>
        <v/>
      </c>
      <c r="V9" s="9" t="str">
        <f>'Ingest Template'!L9</f>
        <v/>
      </c>
      <c r="W9" s="9" t="str">
        <f>'Ingest Template'!M9</f>
        <v/>
      </c>
      <c r="X9" s="4" t="str">
        <f>SUBSTITUTE(SUBSTITUTE(SUBSTITUTE('Ingest Template'!N9,"http:",""),"https:",""),"/","")</f>
        <v/>
      </c>
      <c r="Y9" s="4" t="str">
        <f t="array" ref="Y9">IF('Ingest Template'!A9="Standard",(IF(ISBLANK('Ingest Template'!O9),"", 'Ingest Template'!O9&amp;"|DAR")),(IF(ISBLANK('Ingest Template'!O9),"", 'Ingest Template'!O9&amp;"|Film Ops")))</f>
        <v/>
      </c>
      <c r="Z9" s="4"/>
      <c r="AA9" s="4" t="str">
        <f>'Ingest Template'!E9</f>
        <v/>
      </c>
      <c r="AB9" s="7"/>
      <c r="AC9" s="4" t="str">
        <f t="array" ref="AC9">IF('Ingest Template'!A9="Standard",(CONCATENATE(IF(ISBLANK('Ingest Template'!F9),"", 'Ingest Template'!F9&amp;"|DAR"),CHAR(10), IF(ISBLANK('Ingest Template'!G9),"", 'Ingest Template'!G9&amp;"|DAR"),CHAR(10), IF(ISBLANK('Ingest Template'!H9),"", 'Ingest Template'!H9&amp;"|DAR"))),(CONCATENATE(IF(ISBLANK('Ingest Template'!F9),"", 'Ingest Template'!F9&amp;"|Film Ops"),CHAR(10), IF(ISBLANK('Ingest Template'!G9),"", 'Ingest Template'!G9&amp;"|Film Ops"),CHAR(10), IF(ISBLANK('Ingest Template'!H9),"", 'Ingest Template'!H9&amp;"|Film Ops"))))</f>
        <v>
</v>
      </c>
      <c r="AD9" s="4"/>
      <c r="AE9" s="4"/>
      <c r="AF9" s="10"/>
      <c r="AG9" s="4"/>
      <c r="AH9" s="4"/>
    </row>
    <row r="10">
      <c r="A10" s="4"/>
      <c r="B10" s="4" t="str">
        <f>'Ingest Template'!B10&amp;IF('Ingest Template'!A10 = "Standard", " - DAR","")</f>
        <v/>
      </c>
      <c r="C10" s="5" t="s">
        <v>34</v>
      </c>
      <c r="D10" s="5" t="str">
        <f>CONCATENATE('Ingest Template'!C10,'Ingest Template'!D10)</f>
        <v/>
      </c>
      <c r="E10" s="4"/>
      <c r="F10" s="4"/>
      <c r="G10" s="4"/>
      <c r="H10" s="6"/>
      <c r="I10" s="6" t="str">
        <f>iF('Ingest Template'!A10="Standard","Pristine Brand","Unknown")</f>
        <v>Unknown</v>
      </c>
      <c r="J10" s="4" t="str">
        <f>iF('Ingest Template'!A10="Standard","LF // Beverages","Competitive View")</f>
        <v>Competitive View</v>
      </c>
      <c r="K10" s="7" t="s">
        <v>35</v>
      </c>
      <c r="L10" s="8"/>
      <c r="M10" s="4"/>
      <c r="N10" s="4"/>
      <c r="O10" s="4"/>
      <c r="P10" s="4"/>
      <c r="Q10" s="4"/>
      <c r="R10" s="7" t="s">
        <v>36</v>
      </c>
      <c r="S10" s="4" t="str">
        <f>'Ingest Template'!J10</f>
        <v/>
      </c>
      <c r="T10" s="4" t="str">
        <f>'Ingest Template'!I10</f>
        <v/>
      </c>
      <c r="U10" s="4" t="str">
        <f>LOWER(SUBSTITUTE(SUBSTITUTE(SUBSTITUTE(SUBSTITUTE(SUBSTITUTE('Ingest Template'!K10,"https:",""),"www.",""),"/",""),"?hl=en",""),"instagram.com",""))</f>
        <v/>
      </c>
      <c r="V10" s="9" t="str">
        <f>'Ingest Template'!L10</f>
        <v/>
      </c>
      <c r="W10" s="9" t="str">
        <f>'Ingest Template'!M10</f>
        <v/>
      </c>
      <c r="X10" s="4" t="str">
        <f>SUBSTITUTE(SUBSTITUTE(SUBSTITUTE('Ingest Template'!N10,"http:",""),"https:",""),"/","")</f>
        <v/>
      </c>
      <c r="Y10" s="4" t="str">
        <f t="array" ref="Y10">IF('Ingest Template'!A10="Standard",(IF(ISBLANK('Ingest Template'!O10),"", 'Ingest Template'!O10&amp;"|DAR")),(IF(ISBLANK('Ingest Template'!O10),"", 'Ingest Template'!O10&amp;"|Film Ops")))</f>
        <v/>
      </c>
      <c r="Z10" s="4"/>
      <c r="AA10" s="4" t="str">
        <f>'Ingest Template'!E10</f>
        <v/>
      </c>
      <c r="AB10" s="7"/>
      <c r="AC10" s="4" t="str">
        <f t="array" ref="AC10">IF('Ingest Template'!A10="Standard",(CONCATENATE(IF(ISBLANK('Ingest Template'!F10),"", 'Ingest Template'!F10&amp;"|DAR"),CHAR(10), IF(ISBLANK('Ingest Template'!G10),"", 'Ingest Template'!G10&amp;"|DAR"),CHAR(10), IF(ISBLANK('Ingest Template'!H10),"", 'Ingest Template'!H10&amp;"|DAR"))),(CONCATENATE(IF(ISBLANK('Ingest Template'!F10),"", 'Ingest Template'!F10&amp;"|Film Ops"),CHAR(10), IF(ISBLANK('Ingest Template'!G10),"", 'Ingest Template'!G10&amp;"|Film Ops"),CHAR(10), IF(ISBLANK('Ingest Template'!H10),"", 'Ingest Template'!H10&amp;"|Film Ops"))))</f>
        <v>
</v>
      </c>
      <c r="AD10" s="4"/>
      <c r="AE10" s="4"/>
      <c r="AF10" s="10"/>
      <c r="AG10" s="4"/>
      <c r="AH10" s="4"/>
    </row>
    <row r="11">
      <c r="A11" s="4"/>
      <c r="B11" s="4" t="str">
        <f>'Ingest Template'!B11&amp;IF('Ingest Template'!A11 = "Standard", " - DAR","")</f>
        <v/>
      </c>
      <c r="C11" s="5" t="s">
        <v>34</v>
      </c>
      <c r="D11" s="5" t="str">
        <f>CONCATENATE('Ingest Template'!C11,'Ingest Template'!D11)</f>
        <v/>
      </c>
      <c r="E11" s="4"/>
      <c r="F11" s="4"/>
      <c r="G11" s="4"/>
      <c r="H11" s="6"/>
      <c r="I11" s="6" t="str">
        <f>iF('Ingest Template'!A11="Standard","Pristine Brand","Unknown")</f>
        <v>Unknown</v>
      </c>
      <c r="J11" s="4" t="str">
        <f>iF('Ingest Template'!A11="Standard","LF // Beverages","Competitive View")</f>
        <v>Competitive View</v>
      </c>
      <c r="K11" s="7" t="s">
        <v>35</v>
      </c>
      <c r="L11" s="8"/>
      <c r="M11" s="4"/>
      <c r="N11" s="4"/>
      <c r="O11" s="4"/>
      <c r="P11" s="4"/>
      <c r="Q11" s="4"/>
      <c r="R11" s="7" t="s">
        <v>36</v>
      </c>
      <c r="S11" s="4" t="str">
        <f>'Ingest Template'!J11</f>
        <v/>
      </c>
      <c r="T11" s="4" t="str">
        <f>'Ingest Template'!I11</f>
        <v/>
      </c>
      <c r="U11" s="4" t="str">
        <f>LOWER(SUBSTITUTE(SUBSTITUTE(SUBSTITUTE(SUBSTITUTE(SUBSTITUTE('Ingest Template'!K11,"https:",""),"www.",""),"/",""),"?hl=en",""),"instagram.com",""))</f>
        <v/>
      </c>
      <c r="V11" s="9" t="str">
        <f>'Ingest Template'!L11</f>
        <v/>
      </c>
      <c r="W11" s="9" t="str">
        <f>'Ingest Template'!M11</f>
        <v/>
      </c>
      <c r="X11" s="4" t="str">
        <f>SUBSTITUTE(SUBSTITUTE(SUBSTITUTE('Ingest Template'!N11,"http:",""),"https:",""),"/","")</f>
        <v/>
      </c>
      <c r="Y11" s="4" t="str">
        <f t="array" ref="Y11">IF('Ingest Template'!A11="Standard",(IF(ISBLANK('Ingest Template'!O11),"", 'Ingest Template'!O11&amp;"|DAR")),(IF(ISBLANK('Ingest Template'!O11),"", 'Ingest Template'!O11&amp;"|Film Ops")))</f>
        <v/>
      </c>
      <c r="Z11" s="4"/>
      <c r="AA11" s="4" t="str">
        <f>'Ingest Template'!E11</f>
        <v/>
      </c>
      <c r="AB11" s="7"/>
      <c r="AC11" s="4" t="str">
        <f t="array" ref="AC11">IF('Ingest Template'!A11="Standard",(CONCATENATE(IF(ISBLANK('Ingest Template'!F11),"", 'Ingest Template'!F11&amp;"|DAR"),CHAR(10), IF(ISBLANK('Ingest Template'!G11),"", 'Ingest Template'!G11&amp;"|DAR"),CHAR(10), IF(ISBLANK('Ingest Template'!H11),"", 'Ingest Template'!H11&amp;"|DAR"))),(CONCATENATE(IF(ISBLANK('Ingest Template'!F11),"", 'Ingest Template'!F11&amp;"|Film Ops"),CHAR(10), IF(ISBLANK('Ingest Template'!G11),"", 'Ingest Template'!G11&amp;"|Film Ops"),CHAR(10), IF(ISBLANK('Ingest Template'!H11),"", 'Ingest Template'!H11&amp;"|Film Ops"))))</f>
        <v>
</v>
      </c>
      <c r="AD11" s="4"/>
      <c r="AE11" s="4"/>
      <c r="AF11" s="10"/>
      <c r="AG11" s="4"/>
      <c r="AH11" s="4"/>
    </row>
    <row r="12">
      <c r="A12" s="4"/>
      <c r="B12" s="4" t="str">
        <f>'Ingest Template'!B12&amp;IF('Ingest Template'!A12 = "Standard", " - DAR","")</f>
        <v/>
      </c>
      <c r="C12" s="5" t="s">
        <v>34</v>
      </c>
      <c r="D12" s="5" t="str">
        <f>CONCATENATE('Ingest Template'!C12,'Ingest Template'!D12)</f>
        <v/>
      </c>
      <c r="E12" s="4"/>
      <c r="F12" s="4"/>
      <c r="G12" s="4"/>
      <c r="H12" s="6"/>
      <c r="I12" s="6" t="str">
        <f>iF('Ingest Template'!A12="Standard","Pristine Brand","Unknown")</f>
        <v>Unknown</v>
      </c>
      <c r="J12" s="4" t="str">
        <f>iF('Ingest Template'!A12="Standard","LF // Beverages","Competitive View")</f>
        <v>Competitive View</v>
      </c>
      <c r="K12" s="7" t="s">
        <v>35</v>
      </c>
      <c r="L12" s="8"/>
      <c r="M12" s="4"/>
      <c r="N12" s="4"/>
      <c r="O12" s="4"/>
      <c r="P12" s="4"/>
      <c r="Q12" s="4"/>
      <c r="R12" s="7" t="s">
        <v>36</v>
      </c>
      <c r="S12" s="4" t="str">
        <f>'Ingest Template'!J12</f>
        <v/>
      </c>
      <c r="T12" s="4" t="str">
        <f>'Ingest Template'!I12</f>
        <v/>
      </c>
      <c r="U12" s="4" t="str">
        <f>LOWER(SUBSTITUTE(SUBSTITUTE(SUBSTITUTE(SUBSTITUTE(SUBSTITUTE('Ingest Template'!K12,"https:",""),"www.",""),"/",""),"?hl=en",""),"instagram.com",""))</f>
        <v/>
      </c>
      <c r="V12" s="9" t="str">
        <f>'Ingest Template'!L12</f>
        <v/>
      </c>
      <c r="W12" s="9" t="str">
        <f>'Ingest Template'!M12</f>
        <v/>
      </c>
      <c r="X12" s="4" t="str">
        <f>SUBSTITUTE(SUBSTITUTE(SUBSTITUTE('Ingest Template'!N12,"http:",""),"https:",""),"/","")</f>
        <v/>
      </c>
      <c r="Y12" s="4" t="str">
        <f t="array" ref="Y12">IF('Ingest Template'!A12="Standard",(IF(ISBLANK('Ingest Template'!O12),"", 'Ingest Template'!O12&amp;"|DAR")),(IF(ISBLANK('Ingest Template'!O12),"", 'Ingest Template'!O12&amp;"|Film Ops")))</f>
        <v/>
      </c>
      <c r="Z12" s="4"/>
      <c r="AA12" s="4" t="str">
        <f>'Ingest Template'!E12</f>
        <v/>
      </c>
      <c r="AB12" s="7"/>
      <c r="AC12" s="4" t="str">
        <f t="array" ref="AC12">IF('Ingest Template'!A12="Standard",(CONCATENATE(IF(ISBLANK('Ingest Template'!F12),"", 'Ingest Template'!F12&amp;"|DAR"),CHAR(10), IF(ISBLANK('Ingest Template'!G12),"", 'Ingest Template'!G12&amp;"|DAR"),CHAR(10), IF(ISBLANK('Ingest Template'!H12),"", 'Ingest Template'!H12&amp;"|DAR"))),(CONCATENATE(IF(ISBLANK('Ingest Template'!F12),"", 'Ingest Template'!F12&amp;"|Film Ops"),CHAR(10), IF(ISBLANK('Ingest Template'!G12),"", 'Ingest Template'!G12&amp;"|Film Ops"),CHAR(10), IF(ISBLANK('Ingest Template'!H12),"", 'Ingest Template'!H12&amp;"|Film Ops"))))</f>
        <v>
</v>
      </c>
      <c r="AD12" s="4"/>
      <c r="AE12" s="4"/>
      <c r="AF12" s="10"/>
      <c r="AG12" s="4"/>
      <c r="AH12" s="4"/>
    </row>
    <row r="13">
      <c r="A13" s="4"/>
      <c r="B13" s="4" t="str">
        <f>'Ingest Template'!B13&amp;IF('Ingest Template'!A13 = "Standard", " - DAR","")</f>
        <v/>
      </c>
      <c r="C13" s="5" t="s">
        <v>34</v>
      </c>
      <c r="D13" s="5" t="str">
        <f>CONCATENATE('Ingest Template'!C13,'Ingest Template'!D13)</f>
        <v/>
      </c>
      <c r="E13" s="4"/>
      <c r="F13" s="4"/>
      <c r="G13" s="4"/>
      <c r="H13" s="6"/>
      <c r="I13" s="6" t="str">
        <f>iF('Ingest Template'!A13="Standard","Pristine Brand","Unknown")</f>
        <v>Unknown</v>
      </c>
      <c r="J13" s="4" t="str">
        <f>iF('Ingest Template'!A13="Standard","LF // Beverages","Competitive View")</f>
        <v>Competitive View</v>
      </c>
      <c r="K13" s="7" t="s">
        <v>35</v>
      </c>
      <c r="L13" s="8"/>
      <c r="M13" s="4"/>
      <c r="N13" s="4"/>
      <c r="O13" s="4"/>
      <c r="P13" s="4"/>
      <c r="Q13" s="4"/>
      <c r="R13" s="7" t="s">
        <v>36</v>
      </c>
      <c r="S13" s="4" t="str">
        <f>'Ingest Template'!J13</f>
        <v/>
      </c>
      <c r="T13" s="4" t="str">
        <f>'Ingest Template'!I13</f>
        <v/>
      </c>
      <c r="U13" s="4" t="str">
        <f>LOWER(SUBSTITUTE(SUBSTITUTE(SUBSTITUTE(SUBSTITUTE(SUBSTITUTE('Ingest Template'!K13,"https:",""),"www.",""),"/",""),"?hl=en",""),"instagram.com",""))</f>
        <v/>
      </c>
      <c r="V13" s="9" t="str">
        <f>'Ingest Template'!L13</f>
        <v/>
      </c>
      <c r="W13" s="9" t="str">
        <f>'Ingest Template'!M13</f>
        <v/>
      </c>
      <c r="X13" s="4" t="str">
        <f>SUBSTITUTE(SUBSTITUTE(SUBSTITUTE('Ingest Template'!N13,"http:",""),"https:",""),"/","")</f>
        <v/>
      </c>
      <c r="Y13" s="4" t="str">
        <f t="array" ref="Y13">IF('Ingest Template'!A13="Standard",(IF(ISBLANK('Ingest Template'!O13),"", 'Ingest Template'!O13&amp;"|DAR")),(IF(ISBLANK('Ingest Template'!O13),"", 'Ingest Template'!O13&amp;"|Film Ops")))</f>
        <v/>
      </c>
      <c r="Z13" s="4"/>
      <c r="AA13" s="4" t="str">
        <f>'Ingest Template'!E13</f>
        <v/>
      </c>
      <c r="AB13" s="7"/>
      <c r="AC13" s="4" t="str">
        <f t="array" ref="AC13">IF('Ingest Template'!A13="Standard",(CONCATENATE(IF(ISBLANK('Ingest Template'!F13),"", 'Ingest Template'!F13&amp;"|DAR"),CHAR(10), IF(ISBLANK('Ingest Template'!G13),"", 'Ingest Template'!G13&amp;"|DAR"),CHAR(10), IF(ISBLANK('Ingest Template'!H13),"", 'Ingest Template'!H13&amp;"|DAR"))),(CONCATENATE(IF(ISBLANK('Ingest Template'!F13),"", 'Ingest Template'!F13&amp;"|Film Ops"),CHAR(10), IF(ISBLANK('Ingest Template'!G13),"", 'Ingest Template'!G13&amp;"|Film Ops"),CHAR(10), IF(ISBLANK('Ingest Template'!H13),"", 'Ingest Template'!H13&amp;"|Film Ops"))))</f>
        <v>
</v>
      </c>
      <c r="AD13" s="4"/>
      <c r="AE13" s="4"/>
      <c r="AF13" s="10"/>
      <c r="AG13" s="4"/>
      <c r="AH13" s="4"/>
    </row>
    <row r="14">
      <c r="A14" s="4"/>
      <c r="B14" s="4" t="str">
        <f>'Ingest Template'!B14&amp;IF('Ingest Template'!A14 = "Standard", " - DAR","")</f>
        <v/>
      </c>
      <c r="C14" s="5" t="s">
        <v>34</v>
      </c>
      <c r="D14" s="5" t="str">
        <f>CONCATENATE('Ingest Template'!C14,'Ingest Template'!D14)</f>
        <v/>
      </c>
      <c r="E14" s="4"/>
      <c r="F14" s="4"/>
      <c r="G14" s="4"/>
      <c r="H14" s="6"/>
      <c r="I14" s="6" t="str">
        <f>iF('Ingest Template'!A14="Standard","Pristine Brand","Unknown")</f>
        <v>Unknown</v>
      </c>
      <c r="J14" s="4" t="str">
        <f>iF('Ingest Template'!A14="Standard","LF // Beverages","Competitive View")</f>
        <v>Competitive View</v>
      </c>
      <c r="K14" s="7" t="s">
        <v>35</v>
      </c>
      <c r="L14" s="8"/>
      <c r="M14" s="4"/>
      <c r="N14" s="4"/>
      <c r="O14" s="4"/>
      <c r="P14" s="4"/>
      <c r="Q14" s="4"/>
      <c r="R14" s="7" t="s">
        <v>36</v>
      </c>
      <c r="S14" s="4" t="str">
        <f>'Ingest Template'!J14</f>
        <v/>
      </c>
      <c r="T14" s="4" t="str">
        <f>'Ingest Template'!I14</f>
        <v/>
      </c>
      <c r="U14" s="4" t="str">
        <f>LOWER(SUBSTITUTE(SUBSTITUTE(SUBSTITUTE(SUBSTITUTE(SUBSTITUTE('Ingest Template'!K14,"https:",""),"www.",""),"/",""),"?hl=en",""),"instagram.com",""))</f>
        <v/>
      </c>
      <c r="V14" s="9" t="str">
        <f>'Ingest Template'!L14</f>
        <v/>
      </c>
      <c r="W14" s="9" t="str">
        <f>'Ingest Template'!M14</f>
        <v/>
      </c>
      <c r="X14" s="4" t="str">
        <f>SUBSTITUTE(SUBSTITUTE(SUBSTITUTE('Ingest Template'!N14,"http:",""),"https:",""),"/","")</f>
        <v/>
      </c>
      <c r="Y14" s="4" t="str">
        <f t="array" ref="Y14">IF('Ingest Template'!A14="Standard",(IF(ISBLANK('Ingest Template'!O14),"", 'Ingest Template'!O14&amp;"|DAR")),(IF(ISBLANK('Ingest Template'!O14),"", 'Ingest Template'!O14&amp;"|Film Ops")))</f>
        <v/>
      </c>
      <c r="Z14" s="4"/>
      <c r="AA14" s="4" t="str">
        <f>'Ingest Template'!E14</f>
        <v/>
      </c>
      <c r="AB14" s="7"/>
      <c r="AC14" s="4" t="str">
        <f t="array" ref="AC14">IF('Ingest Template'!A14="Standard",(CONCATENATE(IF(ISBLANK('Ingest Template'!F14),"", 'Ingest Template'!F14&amp;"|DAR"),CHAR(10), IF(ISBLANK('Ingest Template'!G14),"", 'Ingest Template'!G14&amp;"|DAR"),CHAR(10), IF(ISBLANK('Ingest Template'!H14),"", 'Ingest Template'!H14&amp;"|DAR"))),(CONCATENATE(IF(ISBLANK('Ingest Template'!F14),"", 'Ingest Template'!F14&amp;"|Film Ops"),CHAR(10), IF(ISBLANK('Ingest Template'!G14),"", 'Ingest Template'!G14&amp;"|Film Ops"),CHAR(10), IF(ISBLANK('Ingest Template'!H14),"", 'Ingest Template'!H14&amp;"|Film Ops"))))</f>
        <v>
</v>
      </c>
      <c r="AD14" s="4"/>
      <c r="AE14" s="4"/>
      <c r="AF14" s="10"/>
      <c r="AG14" s="4"/>
      <c r="AH14" s="4"/>
    </row>
    <row r="15">
      <c r="A15" s="4"/>
      <c r="B15" s="4" t="str">
        <f>'Ingest Template'!B15&amp;IF('Ingest Template'!A15 = "Standard", " - DAR","")</f>
        <v/>
      </c>
      <c r="C15" s="5" t="s">
        <v>34</v>
      </c>
      <c r="D15" s="5" t="str">
        <f>CONCATENATE('Ingest Template'!C15,'Ingest Template'!D15)</f>
        <v/>
      </c>
      <c r="E15" s="4"/>
      <c r="F15" s="4"/>
      <c r="G15" s="4"/>
      <c r="H15" s="6"/>
      <c r="I15" s="6" t="str">
        <f>iF('Ingest Template'!A15="Standard","Pristine Brand","Unknown")</f>
        <v>Unknown</v>
      </c>
      <c r="J15" s="4" t="str">
        <f>iF('Ingest Template'!A15="Standard","LF // Beverages","Competitive View")</f>
        <v>Competitive View</v>
      </c>
      <c r="K15" s="7" t="s">
        <v>35</v>
      </c>
      <c r="L15" s="8"/>
      <c r="M15" s="4"/>
      <c r="N15" s="4"/>
      <c r="O15" s="4"/>
      <c r="P15" s="4"/>
      <c r="Q15" s="4"/>
      <c r="R15" s="7" t="s">
        <v>36</v>
      </c>
      <c r="S15" s="4" t="str">
        <f>'Ingest Template'!J15</f>
        <v/>
      </c>
      <c r="T15" s="4" t="str">
        <f>'Ingest Template'!I15</f>
        <v/>
      </c>
      <c r="U15" s="4" t="str">
        <f>LOWER(SUBSTITUTE(SUBSTITUTE(SUBSTITUTE(SUBSTITUTE(SUBSTITUTE('Ingest Template'!K15,"https:",""),"www.",""),"/",""),"?hl=en",""),"instagram.com",""))</f>
        <v/>
      </c>
      <c r="V15" s="9" t="str">
        <f>'Ingest Template'!L15</f>
        <v/>
      </c>
      <c r="W15" s="9" t="str">
        <f>'Ingest Template'!M15</f>
        <v/>
      </c>
      <c r="X15" s="4" t="str">
        <f>SUBSTITUTE(SUBSTITUTE(SUBSTITUTE('Ingest Template'!N15,"http:",""),"https:",""),"/","")</f>
        <v/>
      </c>
      <c r="Y15" s="4" t="str">
        <f t="array" ref="Y15">IF('Ingest Template'!A15="Standard",(IF(ISBLANK('Ingest Template'!O15),"", 'Ingest Template'!O15&amp;"|DAR")),(IF(ISBLANK('Ingest Template'!O15),"", 'Ingest Template'!O15&amp;"|Film Ops")))</f>
        <v/>
      </c>
      <c r="Z15" s="4"/>
      <c r="AA15" s="4" t="str">
        <f>'Ingest Template'!E15</f>
        <v/>
      </c>
      <c r="AB15" s="7"/>
      <c r="AC15" s="4" t="str">
        <f t="array" ref="AC15">IF('Ingest Template'!A15="Standard",(CONCATENATE(IF(ISBLANK('Ingest Template'!F15),"", 'Ingest Template'!F15&amp;"|DAR"),CHAR(10), IF(ISBLANK('Ingest Template'!G15),"", 'Ingest Template'!G15&amp;"|DAR"),CHAR(10), IF(ISBLANK('Ingest Template'!H15),"", 'Ingest Template'!H15&amp;"|DAR"))),(CONCATENATE(IF(ISBLANK('Ingest Template'!F15),"", 'Ingest Template'!F15&amp;"|Film Ops"),CHAR(10), IF(ISBLANK('Ingest Template'!G15),"", 'Ingest Template'!G15&amp;"|Film Ops"),CHAR(10), IF(ISBLANK('Ingest Template'!H15),"", 'Ingest Template'!H15&amp;"|Film Ops"))))</f>
        <v>
</v>
      </c>
      <c r="AD15" s="4"/>
      <c r="AE15" s="4"/>
      <c r="AF15" s="10"/>
      <c r="AG15" s="4"/>
      <c r="AH15" s="4"/>
    </row>
    <row r="16">
      <c r="A16" s="4"/>
      <c r="B16" s="4" t="str">
        <f>'Ingest Template'!B16&amp;IF('Ingest Template'!A16 = "Standard", " - DAR","")</f>
        <v/>
      </c>
      <c r="C16" s="5" t="s">
        <v>34</v>
      </c>
      <c r="D16" s="5" t="str">
        <f>CONCATENATE('Ingest Template'!C16,'Ingest Template'!D16)</f>
        <v/>
      </c>
      <c r="E16" s="4"/>
      <c r="F16" s="4"/>
      <c r="G16" s="4"/>
      <c r="H16" s="6"/>
      <c r="I16" s="6" t="str">
        <f>iF('Ingest Template'!A16="Standard","Pristine Brand","Unknown")</f>
        <v>Unknown</v>
      </c>
      <c r="J16" s="4" t="str">
        <f>iF('Ingest Template'!A16="Standard","LF // Beverages","Competitive View")</f>
        <v>Competitive View</v>
      </c>
      <c r="K16" s="7" t="s">
        <v>35</v>
      </c>
      <c r="L16" s="8"/>
      <c r="M16" s="4"/>
      <c r="N16" s="4"/>
      <c r="O16" s="4"/>
      <c r="P16" s="4"/>
      <c r="Q16" s="4"/>
      <c r="R16" s="7" t="s">
        <v>36</v>
      </c>
      <c r="S16" s="4" t="str">
        <f>'Ingest Template'!J16</f>
        <v/>
      </c>
      <c r="T16" s="4" t="str">
        <f>'Ingest Template'!I16</f>
        <v/>
      </c>
      <c r="U16" s="4" t="str">
        <f>LOWER(SUBSTITUTE(SUBSTITUTE(SUBSTITUTE(SUBSTITUTE(SUBSTITUTE('Ingest Template'!K16,"https:",""),"www.",""),"/",""),"?hl=en",""),"instagram.com",""))</f>
        <v/>
      </c>
      <c r="V16" s="9" t="str">
        <f>'Ingest Template'!L16</f>
        <v/>
      </c>
      <c r="W16" s="9" t="str">
        <f>'Ingest Template'!M16</f>
        <v/>
      </c>
      <c r="X16" s="4" t="str">
        <f>SUBSTITUTE(SUBSTITUTE(SUBSTITUTE('Ingest Template'!N16,"http:",""),"https:",""),"/","")</f>
        <v/>
      </c>
      <c r="Y16" s="4" t="str">
        <f t="array" ref="Y16">IF('Ingest Template'!A16="Standard",(IF(ISBLANK('Ingest Template'!O16),"", 'Ingest Template'!O16&amp;"|DAR")),(IF(ISBLANK('Ingest Template'!O16),"", 'Ingest Template'!O16&amp;"|Film Ops")))</f>
        <v/>
      </c>
      <c r="Z16" s="4"/>
      <c r="AA16" s="4" t="str">
        <f>'Ingest Template'!E16</f>
        <v/>
      </c>
      <c r="AB16" s="7"/>
      <c r="AC16" s="4" t="str">
        <f t="array" ref="AC16">IF('Ingest Template'!A16="Standard",(CONCATENATE(IF(ISBLANK('Ingest Template'!F16),"", 'Ingest Template'!F16&amp;"|DAR"),CHAR(10), IF(ISBLANK('Ingest Template'!G16),"", 'Ingest Template'!G16&amp;"|DAR"),CHAR(10), IF(ISBLANK('Ingest Template'!H16),"", 'Ingest Template'!H16&amp;"|DAR"))),(CONCATENATE(IF(ISBLANK('Ingest Template'!F16),"", 'Ingest Template'!F16&amp;"|Film Ops"),CHAR(10), IF(ISBLANK('Ingest Template'!G16),"", 'Ingest Template'!G16&amp;"|Film Ops"),CHAR(10), IF(ISBLANK('Ingest Template'!H16),"", 'Ingest Template'!H16&amp;"|Film Ops"))))</f>
        <v>
</v>
      </c>
      <c r="AD16" s="4"/>
      <c r="AE16" s="4"/>
      <c r="AF16" s="10"/>
      <c r="AG16" s="4"/>
      <c r="AH16" s="4"/>
    </row>
    <row r="17">
      <c r="A17" s="4"/>
      <c r="B17" s="4" t="str">
        <f>'Ingest Template'!B17&amp;IF('Ingest Template'!A17 = "Standard", " - DAR","")</f>
        <v/>
      </c>
      <c r="C17" s="5" t="s">
        <v>34</v>
      </c>
      <c r="D17" s="5" t="str">
        <f>CONCATENATE('Ingest Template'!C17,'Ingest Template'!D17)</f>
        <v/>
      </c>
      <c r="E17" s="4"/>
      <c r="F17" s="4"/>
      <c r="G17" s="4"/>
      <c r="H17" s="6"/>
      <c r="I17" s="6" t="str">
        <f>iF('Ingest Template'!A17="Standard","Pristine Brand","Unknown")</f>
        <v>Unknown</v>
      </c>
      <c r="J17" s="4" t="str">
        <f>iF('Ingest Template'!A17="Standard","LF // Beverages","Competitive View")</f>
        <v>Competitive View</v>
      </c>
      <c r="K17" s="7" t="s">
        <v>35</v>
      </c>
      <c r="L17" s="8"/>
      <c r="M17" s="4"/>
      <c r="N17" s="4"/>
      <c r="O17" s="4"/>
      <c r="P17" s="4"/>
      <c r="Q17" s="4"/>
      <c r="R17" s="7" t="s">
        <v>36</v>
      </c>
      <c r="S17" s="4" t="str">
        <f>'Ingest Template'!J17</f>
        <v/>
      </c>
      <c r="T17" s="4" t="str">
        <f>'Ingest Template'!I17</f>
        <v/>
      </c>
      <c r="U17" s="4" t="str">
        <f>LOWER(SUBSTITUTE(SUBSTITUTE(SUBSTITUTE(SUBSTITUTE(SUBSTITUTE('Ingest Template'!K17,"https:",""),"www.",""),"/",""),"?hl=en",""),"instagram.com",""))</f>
        <v/>
      </c>
      <c r="V17" s="9" t="str">
        <f>'Ingest Template'!L17</f>
        <v/>
      </c>
      <c r="W17" s="9" t="str">
        <f>'Ingest Template'!M17</f>
        <v/>
      </c>
      <c r="X17" s="4" t="str">
        <f>SUBSTITUTE(SUBSTITUTE(SUBSTITUTE('Ingest Template'!N17,"http:",""),"https:",""),"/","")</f>
        <v/>
      </c>
      <c r="Y17" s="4" t="str">
        <f t="array" ref="Y17">IF('Ingest Template'!A17="Standard",(IF(ISBLANK('Ingest Template'!O17),"", 'Ingest Template'!O17&amp;"|DAR")),(IF(ISBLANK('Ingest Template'!O17),"", 'Ingest Template'!O17&amp;"|Film Ops")))</f>
        <v/>
      </c>
      <c r="Z17" s="4"/>
      <c r="AA17" s="4" t="str">
        <f>'Ingest Template'!E17</f>
        <v/>
      </c>
      <c r="AB17" s="7"/>
      <c r="AC17" s="4" t="str">
        <f t="array" ref="AC17">IF('Ingest Template'!A17="Standard",(CONCATENATE(IF(ISBLANK('Ingest Template'!F17),"", 'Ingest Template'!F17&amp;"|DAR"),CHAR(10), IF(ISBLANK('Ingest Template'!G17),"", 'Ingest Template'!G17&amp;"|DAR"),CHAR(10), IF(ISBLANK('Ingest Template'!H17),"", 'Ingest Template'!H17&amp;"|DAR"))),(CONCATENATE(IF(ISBLANK('Ingest Template'!F17),"", 'Ingest Template'!F17&amp;"|Film Ops"),CHAR(10), IF(ISBLANK('Ingest Template'!G17),"", 'Ingest Template'!G17&amp;"|Film Ops"),CHAR(10), IF(ISBLANK('Ingest Template'!H17),"", 'Ingest Template'!H17&amp;"|Film Ops"))))</f>
        <v>
</v>
      </c>
      <c r="AD17" s="4"/>
      <c r="AE17" s="4"/>
      <c r="AF17" s="10"/>
      <c r="AG17" s="4"/>
      <c r="AH17" s="4"/>
    </row>
    <row r="18">
      <c r="A18" s="4"/>
      <c r="B18" s="4" t="str">
        <f>'Ingest Template'!B18&amp;IF('Ingest Template'!A18 = "Standard", " - DAR","")</f>
        <v/>
      </c>
      <c r="C18" s="5" t="s">
        <v>34</v>
      </c>
      <c r="D18" s="5" t="str">
        <f>CONCATENATE('Ingest Template'!C18,'Ingest Template'!D18)</f>
        <v/>
      </c>
      <c r="E18" s="4"/>
      <c r="F18" s="4"/>
      <c r="G18" s="4"/>
      <c r="H18" s="6"/>
      <c r="I18" s="6" t="str">
        <f>iF('Ingest Template'!A18="Standard","Pristine Brand","Unknown")</f>
        <v>Unknown</v>
      </c>
      <c r="J18" s="4" t="str">
        <f>iF('Ingest Template'!A18="Standard","LF // Beverages","Competitive View")</f>
        <v>Competitive View</v>
      </c>
      <c r="K18" s="7" t="s">
        <v>35</v>
      </c>
      <c r="L18" s="8"/>
      <c r="M18" s="4"/>
      <c r="N18" s="4"/>
      <c r="O18" s="4"/>
      <c r="P18" s="4"/>
      <c r="Q18" s="4"/>
      <c r="R18" s="7" t="s">
        <v>36</v>
      </c>
      <c r="S18" s="4" t="str">
        <f>'Ingest Template'!J18</f>
        <v/>
      </c>
      <c r="T18" s="4" t="str">
        <f>'Ingest Template'!I18</f>
        <v/>
      </c>
      <c r="U18" s="4" t="str">
        <f>LOWER(SUBSTITUTE(SUBSTITUTE(SUBSTITUTE(SUBSTITUTE(SUBSTITUTE('Ingest Template'!K18,"https:",""),"www.",""),"/",""),"?hl=en",""),"instagram.com",""))</f>
        <v/>
      </c>
      <c r="V18" s="9" t="str">
        <f>'Ingest Template'!L18</f>
        <v/>
      </c>
      <c r="W18" s="9" t="str">
        <f>'Ingest Template'!M18</f>
        <v/>
      </c>
      <c r="X18" s="4" t="str">
        <f>SUBSTITUTE(SUBSTITUTE(SUBSTITUTE('Ingest Template'!N18,"http:",""),"https:",""),"/","")</f>
        <v/>
      </c>
      <c r="Y18" s="4" t="str">
        <f t="array" ref="Y18">IF('Ingest Template'!A18="Standard",(IF(ISBLANK('Ingest Template'!O18),"", 'Ingest Template'!O18&amp;"|DAR")),(IF(ISBLANK('Ingest Template'!O18),"", 'Ingest Template'!O18&amp;"|Film Ops")))</f>
        <v/>
      </c>
      <c r="Z18" s="4"/>
      <c r="AA18" s="4" t="str">
        <f>'Ingest Template'!E18</f>
        <v/>
      </c>
      <c r="AB18" s="7"/>
      <c r="AC18" s="4" t="str">
        <f t="array" ref="AC18">IF('Ingest Template'!A18="Standard",(CONCATENATE(IF(ISBLANK('Ingest Template'!F18),"", 'Ingest Template'!F18&amp;"|DAR"),CHAR(10), IF(ISBLANK('Ingest Template'!G18),"", 'Ingest Template'!G18&amp;"|DAR"),CHAR(10), IF(ISBLANK('Ingest Template'!H18),"", 'Ingest Template'!H18&amp;"|DAR"))),(CONCATENATE(IF(ISBLANK('Ingest Template'!F18),"", 'Ingest Template'!F18&amp;"|Film Ops"),CHAR(10), IF(ISBLANK('Ingest Template'!G18),"", 'Ingest Template'!G18&amp;"|Film Ops"),CHAR(10), IF(ISBLANK('Ingest Template'!H18),"", 'Ingest Template'!H18&amp;"|Film Ops"))))</f>
        <v>
</v>
      </c>
      <c r="AD18" s="4"/>
      <c r="AE18" s="4"/>
      <c r="AF18" s="10"/>
      <c r="AG18" s="4"/>
      <c r="AH18" s="4"/>
    </row>
    <row r="19">
      <c r="A19" s="4"/>
      <c r="B19" s="4" t="str">
        <f>'Ingest Template'!B19&amp;IF('Ingest Template'!A19 = "Standard", " - DAR","")</f>
        <v/>
      </c>
      <c r="C19" s="5" t="s">
        <v>34</v>
      </c>
      <c r="D19" s="5" t="str">
        <f>CONCATENATE('Ingest Template'!C19,'Ingest Template'!D19)</f>
        <v/>
      </c>
      <c r="E19" s="4"/>
      <c r="F19" s="4"/>
      <c r="G19" s="4"/>
      <c r="H19" s="6"/>
      <c r="I19" s="6" t="str">
        <f>iF('Ingest Template'!A19="Standard","Pristine Brand","Unknown")</f>
        <v>Unknown</v>
      </c>
      <c r="J19" s="4" t="str">
        <f>iF('Ingest Template'!A19="Standard","LF // Beverages","Competitive View")</f>
        <v>Competitive View</v>
      </c>
      <c r="K19" s="7" t="s">
        <v>35</v>
      </c>
      <c r="L19" s="8"/>
      <c r="M19" s="4"/>
      <c r="N19" s="4"/>
      <c r="O19" s="4"/>
      <c r="P19" s="4"/>
      <c r="Q19" s="4"/>
      <c r="R19" s="7" t="s">
        <v>36</v>
      </c>
      <c r="S19" s="4" t="str">
        <f>'Ingest Template'!J19</f>
        <v/>
      </c>
      <c r="T19" s="4" t="str">
        <f>'Ingest Template'!I19</f>
        <v/>
      </c>
      <c r="U19" s="4" t="str">
        <f>LOWER(SUBSTITUTE(SUBSTITUTE(SUBSTITUTE(SUBSTITUTE(SUBSTITUTE('Ingest Template'!K19,"https:",""),"www.",""),"/",""),"?hl=en",""),"instagram.com",""))</f>
        <v/>
      </c>
      <c r="V19" s="9" t="str">
        <f>'Ingest Template'!L19</f>
        <v/>
      </c>
      <c r="W19" s="9" t="str">
        <f>'Ingest Template'!M19</f>
        <v/>
      </c>
      <c r="X19" s="4" t="str">
        <f>SUBSTITUTE(SUBSTITUTE(SUBSTITUTE('Ingest Template'!N19,"http:",""),"https:",""),"/","")</f>
        <v/>
      </c>
      <c r="Y19" s="4" t="str">
        <f t="array" ref="Y19">IF('Ingest Template'!A19="Standard",(IF(ISBLANK('Ingest Template'!O19),"", 'Ingest Template'!O19&amp;"|DAR")),(IF(ISBLANK('Ingest Template'!O19),"", 'Ingest Template'!O19&amp;"|Film Ops")))</f>
        <v/>
      </c>
      <c r="Z19" s="4"/>
      <c r="AA19" s="4" t="str">
        <f>'Ingest Template'!E19</f>
        <v/>
      </c>
      <c r="AB19" s="7"/>
      <c r="AC19" s="4" t="str">
        <f t="array" ref="AC19">IF('Ingest Template'!A19="Standard",(CONCATENATE(IF(ISBLANK('Ingest Template'!F19),"", 'Ingest Template'!F19&amp;"|DAR"),CHAR(10), IF(ISBLANK('Ingest Template'!G19),"", 'Ingest Template'!G19&amp;"|DAR"),CHAR(10), IF(ISBLANK('Ingest Template'!H19),"", 'Ingest Template'!H19&amp;"|DAR"))),(CONCATENATE(IF(ISBLANK('Ingest Template'!F19),"", 'Ingest Template'!F19&amp;"|Film Ops"),CHAR(10), IF(ISBLANK('Ingest Template'!G19),"", 'Ingest Template'!G19&amp;"|Film Ops"),CHAR(10), IF(ISBLANK('Ingest Template'!H19),"", 'Ingest Template'!H19&amp;"|Film Ops"))))</f>
        <v>
</v>
      </c>
      <c r="AD19" s="4"/>
      <c r="AE19" s="4"/>
      <c r="AF19" s="10"/>
      <c r="AG19" s="4"/>
      <c r="AH19" s="4"/>
    </row>
    <row r="20">
      <c r="A20" s="4"/>
      <c r="B20" s="4" t="str">
        <f>'Ingest Template'!B20&amp;IF('Ingest Template'!A20 = "Standard", " - DAR","")</f>
        <v/>
      </c>
      <c r="C20" s="5" t="s">
        <v>34</v>
      </c>
      <c r="D20" s="5" t="str">
        <f>CONCATENATE('Ingest Template'!C20,'Ingest Template'!D20)</f>
        <v/>
      </c>
      <c r="E20" s="4"/>
      <c r="F20" s="4"/>
      <c r="G20" s="4"/>
      <c r="H20" s="6"/>
      <c r="I20" s="6" t="str">
        <f>iF('Ingest Template'!A20="Standard","Pristine Brand","Unknown")</f>
        <v>Unknown</v>
      </c>
      <c r="J20" s="4" t="str">
        <f>iF('Ingest Template'!A20="Standard","LF // Beverages","Competitive View")</f>
        <v>Competitive View</v>
      </c>
      <c r="K20" s="7" t="s">
        <v>35</v>
      </c>
      <c r="L20" s="8"/>
      <c r="M20" s="4"/>
      <c r="N20" s="4"/>
      <c r="O20" s="4"/>
      <c r="P20" s="4"/>
      <c r="Q20" s="4"/>
      <c r="R20" s="7" t="s">
        <v>36</v>
      </c>
      <c r="S20" s="4" t="str">
        <f>'Ingest Template'!J20</f>
        <v/>
      </c>
      <c r="T20" s="4" t="str">
        <f>'Ingest Template'!I20</f>
        <v/>
      </c>
      <c r="U20" s="4" t="str">
        <f>LOWER(SUBSTITUTE(SUBSTITUTE(SUBSTITUTE(SUBSTITUTE(SUBSTITUTE('Ingest Template'!K20,"https:",""),"www.",""),"/",""),"?hl=en",""),"instagram.com",""))</f>
        <v/>
      </c>
      <c r="V20" s="9" t="str">
        <f>'Ingest Template'!L20</f>
        <v/>
      </c>
      <c r="W20" s="9" t="str">
        <f>'Ingest Template'!M20</f>
        <v/>
      </c>
      <c r="X20" s="4" t="str">
        <f>SUBSTITUTE(SUBSTITUTE(SUBSTITUTE('Ingest Template'!N20,"http:",""),"https:",""),"/","")</f>
        <v/>
      </c>
      <c r="Y20" s="4" t="str">
        <f t="array" ref="Y20">IF('Ingest Template'!A20="Standard",(IF(ISBLANK('Ingest Template'!O20),"", 'Ingest Template'!O20&amp;"|DAR")),(IF(ISBLANK('Ingest Template'!O20),"", 'Ingest Template'!O20&amp;"|Film Ops")))</f>
        <v/>
      </c>
      <c r="Z20" s="4"/>
      <c r="AA20" s="4" t="str">
        <f>'Ingest Template'!E20</f>
        <v/>
      </c>
      <c r="AB20" s="7"/>
      <c r="AC20" s="4" t="str">
        <f t="array" ref="AC20">IF('Ingest Template'!A20="Standard",(CONCATENATE(IF(ISBLANK('Ingest Template'!F20),"", 'Ingest Template'!F20&amp;"|DAR"),CHAR(10), IF(ISBLANK('Ingest Template'!G20),"", 'Ingest Template'!G20&amp;"|DAR"),CHAR(10), IF(ISBLANK('Ingest Template'!H20),"", 'Ingest Template'!H20&amp;"|DAR"))),(CONCATENATE(IF(ISBLANK('Ingest Template'!F20),"", 'Ingest Template'!F20&amp;"|Film Ops"),CHAR(10), IF(ISBLANK('Ingest Template'!G20),"", 'Ingest Template'!G20&amp;"|Film Ops"),CHAR(10), IF(ISBLANK('Ingest Template'!H20),"", 'Ingest Template'!H20&amp;"|Film Ops"))))</f>
        <v>
</v>
      </c>
      <c r="AD20" s="4"/>
      <c r="AE20" s="4"/>
      <c r="AF20" s="10"/>
      <c r="AG20" s="4"/>
      <c r="AH20" s="4"/>
    </row>
    <row r="21">
      <c r="A21" s="4"/>
      <c r="B21" s="4" t="str">
        <f>'Ingest Template'!B21&amp;IF('Ingest Template'!A21 = "Standard", " - DAR","")</f>
        <v/>
      </c>
      <c r="C21" s="5" t="s">
        <v>34</v>
      </c>
      <c r="D21" s="5" t="str">
        <f>CONCATENATE('Ingest Template'!C21,'Ingest Template'!D21)</f>
        <v/>
      </c>
      <c r="E21" s="4"/>
      <c r="F21" s="4"/>
      <c r="G21" s="4"/>
      <c r="H21" s="6"/>
      <c r="I21" s="6" t="str">
        <f>iF('Ingest Template'!A21="Standard","Pristine Brand","Unknown")</f>
        <v>Unknown</v>
      </c>
      <c r="J21" s="4" t="str">
        <f>iF('Ingest Template'!A21="Standard","LF // Beverages","Competitive View")</f>
        <v>Competitive View</v>
      </c>
      <c r="K21" s="7" t="s">
        <v>35</v>
      </c>
      <c r="L21" s="8"/>
      <c r="M21" s="4"/>
      <c r="N21" s="4"/>
      <c r="O21" s="4"/>
      <c r="P21" s="4"/>
      <c r="Q21" s="4"/>
      <c r="R21" s="7" t="s">
        <v>36</v>
      </c>
      <c r="S21" s="4" t="str">
        <f>'Ingest Template'!J21</f>
        <v/>
      </c>
      <c r="T21" s="4" t="str">
        <f>'Ingest Template'!I21</f>
        <v/>
      </c>
      <c r="U21" s="4" t="str">
        <f>LOWER(SUBSTITUTE(SUBSTITUTE(SUBSTITUTE(SUBSTITUTE(SUBSTITUTE('Ingest Template'!K21,"https:",""),"www.",""),"/",""),"?hl=en",""),"instagram.com",""))</f>
        <v/>
      </c>
      <c r="V21" s="9" t="str">
        <f>'Ingest Template'!L21</f>
        <v/>
      </c>
      <c r="W21" s="9" t="str">
        <f>'Ingest Template'!M21</f>
        <v/>
      </c>
      <c r="X21" s="4" t="str">
        <f>SUBSTITUTE(SUBSTITUTE(SUBSTITUTE('Ingest Template'!N21,"http:",""),"https:",""),"/","")</f>
        <v/>
      </c>
      <c r="Y21" s="4" t="str">
        <f t="array" ref="Y21">IF('Ingest Template'!A21="Standard",(IF(ISBLANK('Ingest Template'!O21),"", 'Ingest Template'!O21&amp;"|DAR")),(IF(ISBLANK('Ingest Template'!O21),"", 'Ingest Template'!O21&amp;"|Film Ops")))</f>
        <v/>
      </c>
      <c r="Z21" s="4"/>
      <c r="AA21" s="4" t="str">
        <f>'Ingest Template'!E21</f>
        <v/>
      </c>
      <c r="AB21" s="7"/>
      <c r="AC21" s="4" t="str">
        <f t="array" ref="AC21">IF('Ingest Template'!A21="Standard",(CONCATENATE(IF(ISBLANK('Ingest Template'!F21),"", 'Ingest Template'!F21&amp;"|DAR"),CHAR(10), IF(ISBLANK('Ingest Template'!G21),"", 'Ingest Template'!G21&amp;"|DAR"),CHAR(10), IF(ISBLANK('Ingest Template'!H21),"", 'Ingest Template'!H21&amp;"|DAR"))),(CONCATENATE(IF(ISBLANK('Ingest Template'!F21),"", 'Ingest Template'!F21&amp;"|Film Ops"),CHAR(10), IF(ISBLANK('Ingest Template'!G21),"", 'Ingest Template'!G21&amp;"|Film Ops"),CHAR(10), IF(ISBLANK('Ingest Template'!H21),"", 'Ingest Template'!H21&amp;"|Film Ops"))))</f>
        <v>
</v>
      </c>
      <c r="AD21" s="4"/>
      <c r="AE21" s="4"/>
      <c r="AF21" s="10"/>
      <c r="AG21" s="4"/>
      <c r="AH21" s="4"/>
    </row>
    <row r="22">
      <c r="A22" s="4"/>
      <c r="B22" s="4" t="str">
        <f>'Ingest Template'!B22&amp;IF('Ingest Template'!A22 = "Standard", " - DAR","")</f>
        <v/>
      </c>
      <c r="C22" s="5" t="s">
        <v>34</v>
      </c>
      <c r="D22" s="5" t="str">
        <f>CONCATENATE('Ingest Template'!C22,'Ingest Template'!D22)</f>
        <v/>
      </c>
      <c r="E22" s="4"/>
      <c r="F22" s="4"/>
      <c r="G22" s="4"/>
      <c r="H22" s="6"/>
      <c r="I22" s="6" t="str">
        <f>iF('Ingest Template'!A22="Standard","Pristine Brand","Unknown")</f>
        <v>Unknown</v>
      </c>
      <c r="J22" s="4" t="str">
        <f>iF('Ingest Template'!A22="Standard","LF // Beverages","Competitive View")</f>
        <v>Competitive View</v>
      </c>
      <c r="K22" s="7" t="s">
        <v>35</v>
      </c>
      <c r="L22" s="8"/>
      <c r="M22" s="4"/>
      <c r="N22" s="4"/>
      <c r="O22" s="4"/>
      <c r="P22" s="4"/>
      <c r="Q22" s="4"/>
      <c r="R22" s="7" t="s">
        <v>36</v>
      </c>
      <c r="S22" s="4" t="str">
        <f>'Ingest Template'!J22</f>
        <v/>
      </c>
      <c r="T22" s="4" t="str">
        <f>'Ingest Template'!I22</f>
        <v/>
      </c>
      <c r="U22" s="4" t="str">
        <f>LOWER(SUBSTITUTE(SUBSTITUTE(SUBSTITUTE(SUBSTITUTE(SUBSTITUTE('Ingest Template'!K22,"https:",""),"www.",""),"/",""),"?hl=en",""),"instagram.com",""))</f>
        <v/>
      </c>
      <c r="V22" s="9" t="str">
        <f>'Ingest Template'!L22</f>
        <v/>
      </c>
      <c r="W22" s="9" t="str">
        <f>'Ingest Template'!M22</f>
        <v/>
      </c>
      <c r="X22" s="4" t="str">
        <f>SUBSTITUTE(SUBSTITUTE(SUBSTITUTE('Ingest Template'!N22,"http:",""),"https:",""),"/","")</f>
        <v/>
      </c>
      <c r="Y22" s="4" t="str">
        <f t="array" ref="Y22">IF('Ingest Template'!A22="Standard",(IF(ISBLANK('Ingest Template'!O22),"", 'Ingest Template'!O22&amp;"|DAR")),(IF(ISBLANK('Ingest Template'!O22),"", 'Ingest Template'!O22&amp;"|Film Ops")))</f>
        <v/>
      </c>
      <c r="Z22" s="4"/>
      <c r="AA22" s="4" t="str">
        <f>'Ingest Template'!E22</f>
        <v/>
      </c>
      <c r="AB22" s="7"/>
      <c r="AC22" s="4" t="str">
        <f t="array" ref="AC22">IF('Ingest Template'!A22="Standard",(CONCATENATE(IF(ISBLANK('Ingest Template'!F22),"", 'Ingest Template'!F22&amp;"|DAR"),CHAR(10), IF(ISBLANK('Ingest Template'!G22),"", 'Ingest Template'!G22&amp;"|DAR"),CHAR(10), IF(ISBLANK('Ingest Template'!H22),"", 'Ingest Template'!H22&amp;"|DAR"))),(CONCATENATE(IF(ISBLANK('Ingest Template'!F22),"", 'Ingest Template'!F22&amp;"|Film Ops"),CHAR(10), IF(ISBLANK('Ingest Template'!G22),"", 'Ingest Template'!G22&amp;"|Film Ops"),CHAR(10), IF(ISBLANK('Ingest Template'!H22),"", 'Ingest Template'!H22&amp;"|Film Ops"))))</f>
        <v>
</v>
      </c>
      <c r="AD22" s="4"/>
      <c r="AE22" s="4"/>
      <c r="AF22" s="10"/>
      <c r="AG22" s="4"/>
      <c r="AH22" s="4"/>
    </row>
    <row r="23">
      <c r="A23" s="4"/>
      <c r="B23" s="4" t="str">
        <f>'Ingest Template'!B23&amp;IF('Ingest Template'!A23 = "Standard", " - DAR","")</f>
        <v/>
      </c>
      <c r="C23" s="5" t="s">
        <v>34</v>
      </c>
      <c r="D23" s="5" t="str">
        <f>CONCATENATE('Ingest Template'!C23,'Ingest Template'!D23)</f>
        <v/>
      </c>
      <c r="E23" s="4"/>
      <c r="F23" s="4"/>
      <c r="G23" s="4"/>
      <c r="H23" s="6"/>
      <c r="I23" s="6" t="str">
        <f>iF('Ingest Template'!A23="Standard","Pristine Brand","Unknown")</f>
        <v>Unknown</v>
      </c>
      <c r="J23" s="4" t="str">
        <f>iF('Ingest Template'!A23="Standard","LF // Beverages","Competitive View")</f>
        <v>Competitive View</v>
      </c>
      <c r="K23" s="7" t="s">
        <v>35</v>
      </c>
      <c r="L23" s="8"/>
      <c r="M23" s="4"/>
      <c r="N23" s="4"/>
      <c r="O23" s="4"/>
      <c r="P23" s="4"/>
      <c r="Q23" s="4"/>
      <c r="R23" s="7" t="s">
        <v>36</v>
      </c>
      <c r="S23" s="4" t="str">
        <f>'Ingest Template'!J23</f>
        <v/>
      </c>
      <c r="T23" s="4" t="str">
        <f>'Ingest Template'!I23</f>
        <v/>
      </c>
      <c r="U23" s="4" t="str">
        <f>LOWER(SUBSTITUTE(SUBSTITUTE(SUBSTITUTE(SUBSTITUTE(SUBSTITUTE('Ingest Template'!K23,"https:",""),"www.",""),"/",""),"?hl=en",""),"instagram.com",""))</f>
        <v/>
      </c>
      <c r="V23" s="9" t="str">
        <f>'Ingest Template'!L23</f>
        <v/>
      </c>
      <c r="W23" s="9" t="str">
        <f>'Ingest Template'!M23</f>
        <v/>
      </c>
      <c r="X23" s="4" t="str">
        <f>SUBSTITUTE(SUBSTITUTE(SUBSTITUTE('Ingest Template'!N23,"http:",""),"https:",""),"/","")</f>
        <v/>
      </c>
      <c r="Y23" s="4" t="str">
        <f t="array" ref="Y23">IF('Ingest Template'!A23="Standard",(IF(ISBLANK('Ingest Template'!O23),"", 'Ingest Template'!O23&amp;"|DAR")),(IF(ISBLANK('Ingest Template'!O23),"", 'Ingest Template'!O23&amp;"|Film Ops")))</f>
        <v/>
      </c>
      <c r="Z23" s="4"/>
      <c r="AA23" s="4" t="str">
        <f>'Ingest Template'!E23</f>
        <v/>
      </c>
      <c r="AB23" s="7"/>
      <c r="AC23" s="4" t="str">
        <f t="array" ref="AC23">IF('Ingest Template'!A23="Standard",(CONCATENATE(IF(ISBLANK('Ingest Template'!F23),"", 'Ingest Template'!F23&amp;"|DAR"),CHAR(10), IF(ISBLANK('Ingest Template'!G23),"", 'Ingest Template'!G23&amp;"|DAR"),CHAR(10), IF(ISBLANK('Ingest Template'!H23),"", 'Ingest Template'!H23&amp;"|DAR"))),(CONCATENATE(IF(ISBLANK('Ingest Template'!F23),"", 'Ingest Template'!F23&amp;"|Film Ops"),CHAR(10), IF(ISBLANK('Ingest Template'!G23),"", 'Ingest Template'!G23&amp;"|Film Ops"),CHAR(10), IF(ISBLANK('Ingest Template'!H23),"", 'Ingest Template'!H23&amp;"|Film Ops"))))</f>
        <v>
</v>
      </c>
      <c r="AD23" s="4"/>
      <c r="AE23" s="4"/>
      <c r="AF23" s="10"/>
      <c r="AG23" s="4"/>
      <c r="AH23" s="4"/>
    </row>
    <row r="24">
      <c r="A24" s="4"/>
      <c r="B24" s="4" t="str">
        <f>'Ingest Template'!B24&amp;IF('Ingest Template'!A24 = "Standard", " - DAR","")</f>
        <v/>
      </c>
      <c r="C24" s="5" t="s">
        <v>34</v>
      </c>
      <c r="D24" s="5" t="str">
        <f>CONCATENATE('Ingest Template'!C24,'Ingest Template'!D24)</f>
        <v/>
      </c>
      <c r="E24" s="4"/>
      <c r="F24" s="4"/>
      <c r="G24" s="4"/>
      <c r="H24" s="6"/>
      <c r="I24" s="6" t="str">
        <f>iF('Ingest Template'!A24="Standard","Pristine Brand","Unknown")</f>
        <v>Unknown</v>
      </c>
      <c r="J24" s="4" t="str">
        <f>iF('Ingest Template'!A24="Standard","LF // Beverages","Competitive View")</f>
        <v>Competitive View</v>
      </c>
      <c r="K24" s="7" t="s">
        <v>35</v>
      </c>
      <c r="L24" s="8"/>
      <c r="M24" s="4"/>
      <c r="N24" s="4"/>
      <c r="O24" s="4"/>
      <c r="P24" s="4"/>
      <c r="Q24" s="4"/>
      <c r="R24" s="7" t="s">
        <v>36</v>
      </c>
      <c r="S24" s="4" t="str">
        <f>'Ingest Template'!J24</f>
        <v/>
      </c>
      <c r="T24" s="4" t="str">
        <f>'Ingest Template'!I24</f>
        <v/>
      </c>
      <c r="U24" s="4" t="str">
        <f>LOWER(SUBSTITUTE(SUBSTITUTE(SUBSTITUTE(SUBSTITUTE(SUBSTITUTE('Ingest Template'!K24,"https:",""),"www.",""),"/",""),"?hl=en",""),"instagram.com",""))</f>
        <v/>
      </c>
      <c r="V24" s="9" t="str">
        <f>'Ingest Template'!L24</f>
        <v/>
      </c>
      <c r="W24" s="9" t="str">
        <f>'Ingest Template'!M24</f>
        <v/>
      </c>
      <c r="X24" s="4" t="str">
        <f>SUBSTITUTE(SUBSTITUTE(SUBSTITUTE('Ingest Template'!N24,"http:",""),"https:",""),"/","")</f>
        <v/>
      </c>
      <c r="Y24" s="4" t="str">
        <f t="array" ref="Y24">IF('Ingest Template'!A24="Standard",(IF(ISBLANK('Ingest Template'!O24),"", 'Ingest Template'!O24&amp;"|DAR")),(IF(ISBLANK('Ingest Template'!O24),"", 'Ingest Template'!O24&amp;"|Film Ops")))</f>
        <v/>
      </c>
      <c r="Z24" s="4"/>
      <c r="AA24" s="4" t="str">
        <f>'Ingest Template'!E24</f>
        <v/>
      </c>
      <c r="AB24" s="7"/>
      <c r="AC24" s="4" t="str">
        <f t="array" ref="AC24">IF('Ingest Template'!A24="Standard",(CONCATENATE(IF(ISBLANK('Ingest Template'!F24),"", 'Ingest Template'!F24&amp;"|DAR"),CHAR(10), IF(ISBLANK('Ingest Template'!G24),"", 'Ingest Template'!G24&amp;"|DAR"),CHAR(10), IF(ISBLANK('Ingest Template'!H24),"", 'Ingest Template'!H24&amp;"|DAR"))),(CONCATENATE(IF(ISBLANK('Ingest Template'!F24),"", 'Ingest Template'!F24&amp;"|Film Ops"),CHAR(10), IF(ISBLANK('Ingest Template'!G24),"", 'Ingest Template'!G24&amp;"|Film Ops"),CHAR(10), IF(ISBLANK('Ingest Template'!H24),"", 'Ingest Template'!H24&amp;"|Film Ops"))))</f>
        <v>
</v>
      </c>
      <c r="AD24" s="4"/>
      <c r="AE24" s="4"/>
      <c r="AF24" s="10"/>
      <c r="AG24" s="4"/>
      <c r="AH24" s="4"/>
    </row>
    <row r="25">
      <c r="A25" s="4"/>
      <c r="B25" s="4" t="str">
        <f>'Ingest Template'!B25&amp;IF('Ingest Template'!A25 = "Standard", " - DAR","")</f>
        <v/>
      </c>
      <c r="C25" s="5" t="s">
        <v>34</v>
      </c>
      <c r="D25" s="5" t="str">
        <f>CONCATENATE('Ingest Template'!C25,'Ingest Template'!D25)</f>
        <v/>
      </c>
      <c r="E25" s="4"/>
      <c r="F25" s="4"/>
      <c r="G25" s="4"/>
      <c r="H25" s="6"/>
      <c r="I25" s="6" t="str">
        <f>iF('Ingest Template'!A25="Standard","Pristine Brand","Unknown")</f>
        <v>Unknown</v>
      </c>
      <c r="J25" s="4" t="str">
        <f>iF('Ingest Template'!A25="Standard","LF // Beverages","Competitive View")</f>
        <v>Competitive View</v>
      </c>
      <c r="K25" s="7" t="s">
        <v>35</v>
      </c>
      <c r="L25" s="8"/>
      <c r="M25" s="4"/>
      <c r="N25" s="4"/>
      <c r="O25" s="4"/>
      <c r="P25" s="4"/>
      <c r="Q25" s="4"/>
      <c r="R25" s="7" t="s">
        <v>36</v>
      </c>
      <c r="S25" s="4" t="str">
        <f>'Ingest Template'!J25</f>
        <v/>
      </c>
      <c r="T25" s="4" t="str">
        <f>'Ingest Template'!I25</f>
        <v/>
      </c>
      <c r="U25" s="4" t="str">
        <f>LOWER(SUBSTITUTE(SUBSTITUTE(SUBSTITUTE(SUBSTITUTE(SUBSTITUTE('Ingest Template'!K25,"https:",""),"www.",""),"/",""),"?hl=en",""),"instagram.com",""))</f>
        <v/>
      </c>
      <c r="V25" s="9" t="str">
        <f>'Ingest Template'!L25</f>
        <v/>
      </c>
      <c r="W25" s="9" t="str">
        <f>'Ingest Template'!M25</f>
        <v/>
      </c>
      <c r="X25" s="4" t="str">
        <f>SUBSTITUTE(SUBSTITUTE(SUBSTITUTE('Ingest Template'!N25,"http:",""),"https:",""),"/","")</f>
        <v/>
      </c>
      <c r="Y25" s="4" t="str">
        <f t="array" ref="Y25">IF('Ingest Template'!A25="Standard",(IF(ISBLANK('Ingest Template'!O25),"", 'Ingest Template'!O25&amp;"|DAR")),(IF(ISBLANK('Ingest Template'!O25),"", 'Ingest Template'!O25&amp;"|Film Ops")))</f>
        <v/>
      </c>
      <c r="Z25" s="4"/>
      <c r="AA25" s="4" t="str">
        <f>'Ingest Template'!E25</f>
        <v/>
      </c>
      <c r="AB25" s="7"/>
      <c r="AC25" s="4" t="str">
        <f t="array" ref="AC25">IF('Ingest Template'!A25="Standard",(CONCATENATE(IF(ISBLANK('Ingest Template'!F25),"", 'Ingest Template'!F25&amp;"|DAR"),CHAR(10), IF(ISBLANK('Ingest Template'!G25),"", 'Ingest Template'!G25&amp;"|DAR"),CHAR(10), IF(ISBLANK('Ingest Template'!H25),"", 'Ingest Template'!H25&amp;"|DAR"))),(CONCATENATE(IF(ISBLANK('Ingest Template'!F25),"", 'Ingest Template'!F25&amp;"|Film Ops"),CHAR(10), IF(ISBLANK('Ingest Template'!G25),"", 'Ingest Template'!G25&amp;"|Film Ops"),CHAR(10), IF(ISBLANK('Ingest Template'!H25),"", 'Ingest Template'!H25&amp;"|Film Ops"))))</f>
        <v>
</v>
      </c>
      <c r="AD25" s="4"/>
      <c r="AE25" s="4"/>
      <c r="AF25" s="10"/>
      <c r="AG25" s="4"/>
      <c r="AH25" s="4"/>
    </row>
    <row r="26">
      <c r="A26" s="4"/>
      <c r="B26" s="4" t="str">
        <f>'Ingest Template'!B26&amp;IF('Ingest Template'!A26 = "Standard", " - DAR","")</f>
        <v/>
      </c>
      <c r="C26" s="5" t="s">
        <v>34</v>
      </c>
      <c r="D26" s="5" t="str">
        <f>CONCATENATE('Ingest Template'!C26,'Ingest Template'!D26)</f>
        <v/>
      </c>
      <c r="E26" s="4"/>
      <c r="F26" s="4"/>
      <c r="G26" s="4"/>
      <c r="H26" s="6"/>
      <c r="I26" s="6" t="str">
        <f>iF('Ingest Template'!A26="Standard","Pristine Brand","Unknown")</f>
        <v>Unknown</v>
      </c>
      <c r="J26" s="4" t="str">
        <f>iF('Ingest Template'!A26="Standard","LF // Beverages","Competitive View")</f>
        <v>Competitive View</v>
      </c>
      <c r="K26" s="7" t="s">
        <v>35</v>
      </c>
      <c r="L26" s="8"/>
      <c r="M26" s="4"/>
      <c r="N26" s="4"/>
      <c r="O26" s="4"/>
      <c r="P26" s="4"/>
      <c r="Q26" s="4"/>
      <c r="R26" s="7" t="s">
        <v>36</v>
      </c>
      <c r="S26" s="4" t="str">
        <f>'Ingest Template'!J26</f>
        <v/>
      </c>
      <c r="T26" s="4" t="str">
        <f>'Ingest Template'!I26</f>
        <v/>
      </c>
      <c r="U26" s="4" t="str">
        <f>LOWER(SUBSTITUTE(SUBSTITUTE(SUBSTITUTE(SUBSTITUTE(SUBSTITUTE('Ingest Template'!K26,"https:",""),"www.",""),"/",""),"?hl=en",""),"instagram.com",""))</f>
        <v/>
      </c>
      <c r="V26" s="9" t="str">
        <f>'Ingest Template'!L26</f>
        <v/>
      </c>
      <c r="W26" s="9" t="str">
        <f>'Ingest Template'!M26</f>
        <v/>
      </c>
      <c r="X26" s="4" t="str">
        <f>SUBSTITUTE(SUBSTITUTE(SUBSTITUTE('Ingest Template'!N26,"http:",""),"https:",""),"/","")</f>
        <v/>
      </c>
      <c r="Y26" s="4" t="str">
        <f t="array" ref="Y26">IF('Ingest Template'!A26="Standard",(IF(ISBLANK('Ingest Template'!O26),"", 'Ingest Template'!O26&amp;"|DAR")),(IF(ISBLANK('Ingest Template'!O26),"", 'Ingest Template'!O26&amp;"|Film Ops")))</f>
        <v/>
      </c>
      <c r="Z26" s="4"/>
      <c r="AA26" s="4" t="str">
        <f>'Ingest Template'!E26</f>
        <v/>
      </c>
      <c r="AB26" s="7"/>
      <c r="AC26" s="4" t="str">
        <f t="array" ref="AC26">IF('Ingest Template'!A26="Standard",(CONCATENATE(IF(ISBLANK('Ingest Template'!F26),"", 'Ingest Template'!F26&amp;"|DAR"),CHAR(10), IF(ISBLANK('Ingest Template'!G26),"", 'Ingest Template'!G26&amp;"|DAR"),CHAR(10), IF(ISBLANK('Ingest Template'!H26),"", 'Ingest Template'!H26&amp;"|DAR"))),(CONCATENATE(IF(ISBLANK('Ingest Template'!F26),"", 'Ingest Template'!F26&amp;"|Film Ops"),CHAR(10), IF(ISBLANK('Ingest Template'!G26),"", 'Ingest Template'!G26&amp;"|Film Ops"),CHAR(10), IF(ISBLANK('Ingest Template'!H26),"", 'Ingest Template'!H26&amp;"|Film Ops"))))</f>
        <v>
</v>
      </c>
      <c r="AD26" s="4"/>
      <c r="AE26" s="4"/>
      <c r="AF26" s="10"/>
      <c r="AG26" s="4"/>
      <c r="AH26" s="4"/>
    </row>
    <row r="27">
      <c r="A27" s="4"/>
      <c r="B27" s="4" t="str">
        <f>'Ingest Template'!B27&amp;IF('Ingest Template'!A27 = "Standard", " - DAR","")</f>
        <v/>
      </c>
      <c r="C27" s="5" t="s">
        <v>34</v>
      </c>
      <c r="D27" s="5" t="str">
        <f>CONCATENATE('Ingest Template'!C27,'Ingest Template'!D27)</f>
        <v/>
      </c>
      <c r="E27" s="4"/>
      <c r="F27" s="4"/>
      <c r="G27" s="4"/>
      <c r="H27" s="6"/>
      <c r="I27" s="6" t="str">
        <f>iF('Ingest Template'!A27="Standard","Pristine Brand","Unknown")</f>
        <v>Unknown</v>
      </c>
      <c r="J27" s="4" t="str">
        <f>iF('Ingest Template'!A27="Standard","LF // Beverages","Competitive View")</f>
        <v>Competitive View</v>
      </c>
      <c r="K27" s="7" t="s">
        <v>35</v>
      </c>
      <c r="L27" s="8"/>
      <c r="M27" s="4"/>
      <c r="N27" s="4"/>
      <c r="O27" s="4"/>
      <c r="P27" s="4"/>
      <c r="Q27" s="4"/>
      <c r="R27" s="7" t="s">
        <v>36</v>
      </c>
      <c r="S27" s="4" t="str">
        <f>'Ingest Template'!J27</f>
        <v/>
      </c>
      <c r="T27" s="4" t="str">
        <f>'Ingest Template'!I27</f>
        <v/>
      </c>
      <c r="U27" s="4" t="str">
        <f>LOWER(SUBSTITUTE(SUBSTITUTE(SUBSTITUTE(SUBSTITUTE(SUBSTITUTE('Ingest Template'!K27,"https:",""),"www.",""),"/",""),"?hl=en",""),"instagram.com",""))</f>
        <v/>
      </c>
      <c r="V27" s="9" t="str">
        <f>'Ingest Template'!L27</f>
        <v/>
      </c>
      <c r="W27" s="9" t="str">
        <f>'Ingest Template'!M27</f>
        <v/>
      </c>
      <c r="X27" s="4" t="str">
        <f>SUBSTITUTE(SUBSTITUTE(SUBSTITUTE('Ingest Template'!N27,"http:",""),"https:",""),"/","")</f>
        <v/>
      </c>
      <c r="Y27" s="4" t="str">
        <f t="array" ref="Y27">IF('Ingest Template'!A27="Standard",(IF(ISBLANK('Ingest Template'!O27),"", 'Ingest Template'!O27&amp;"|DAR")),(IF(ISBLANK('Ingest Template'!O27),"", 'Ingest Template'!O27&amp;"|Film Ops")))</f>
        <v/>
      </c>
      <c r="Z27" s="4"/>
      <c r="AA27" s="4" t="str">
        <f>'Ingest Template'!E27</f>
        <v/>
      </c>
      <c r="AB27" s="7"/>
      <c r="AC27" s="4" t="str">
        <f t="array" ref="AC27">IF('Ingest Template'!A27="Standard",(CONCATENATE(IF(ISBLANK('Ingest Template'!F27),"", 'Ingest Template'!F27&amp;"|DAR"),CHAR(10), IF(ISBLANK('Ingest Template'!G27),"", 'Ingest Template'!G27&amp;"|DAR"),CHAR(10), IF(ISBLANK('Ingest Template'!H27),"", 'Ingest Template'!H27&amp;"|DAR"))),(CONCATENATE(IF(ISBLANK('Ingest Template'!F27),"", 'Ingest Template'!F27&amp;"|Film Ops"),CHAR(10), IF(ISBLANK('Ingest Template'!G27),"", 'Ingest Template'!G27&amp;"|Film Ops"),CHAR(10), IF(ISBLANK('Ingest Template'!H27),"", 'Ingest Template'!H27&amp;"|Film Ops"))))</f>
        <v>
</v>
      </c>
      <c r="AD27" s="4"/>
      <c r="AE27" s="4"/>
      <c r="AF27" s="10"/>
      <c r="AG27" s="4"/>
      <c r="AH27" s="4"/>
    </row>
    <row r="28">
      <c r="A28" s="4"/>
      <c r="B28" s="4" t="str">
        <f>'Ingest Template'!B28&amp;IF('Ingest Template'!A28 = "Standard", " - DAR","")</f>
        <v/>
      </c>
      <c r="C28" s="5" t="s">
        <v>34</v>
      </c>
      <c r="D28" s="5" t="str">
        <f>CONCATENATE('Ingest Template'!C28,'Ingest Template'!D28)</f>
        <v/>
      </c>
      <c r="E28" s="4"/>
      <c r="F28" s="4"/>
      <c r="G28" s="4"/>
      <c r="H28" s="6"/>
      <c r="I28" s="6" t="str">
        <f>iF('Ingest Template'!A28="Standard","Pristine Brand","Unknown")</f>
        <v>Unknown</v>
      </c>
      <c r="J28" s="4" t="str">
        <f>iF('Ingest Template'!A28="Standard","LF // Beverages","Competitive View")</f>
        <v>Competitive View</v>
      </c>
      <c r="K28" s="7" t="s">
        <v>35</v>
      </c>
      <c r="L28" s="8"/>
      <c r="M28" s="4"/>
      <c r="N28" s="4"/>
      <c r="O28" s="4"/>
      <c r="P28" s="4"/>
      <c r="Q28" s="4"/>
      <c r="R28" s="7" t="s">
        <v>36</v>
      </c>
      <c r="S28" s="4" t="str">
        <f>'Ingest Template'!J28</f>
        <v/>
      </c>
      <c r="T28" s="4" t="str">
        <f>'Ingest Template'!I28</f>
        <v/>
      </c>
      <c r="U28" s="4" t="str">
        <f>LOWER(SUBSTITUTE(SUBSTITUTE(SUBSTITUTE(SUBSTITUTE(SUBSTITUTE('Ingest Template'!K28,"https:",""),"www.",""),"/",""),"?hl=en",""),"instagram.com",""))</f>
        <v/>
      </c>
      <c r="V28" s="9" t="str">
        <f>'Ingest Template'!L28</f>
        <v/>
      </c>
      <c r="W28" s="9" t="str">
        <f>'Ingest Template'!M28</f>
        <v/>
      </c>
      <c r="X28" s="4" t="str">
        <f>SUBSTITUTE(SUBSTITUTE(SUBSTITUTE('Ingest Template'!N28,"http:",""),"https:",""),"/","")</f>
        <v/>
      </c>
      <c r="Y28" s="4" t="str">
        <f t="array" ref="Y28">IF('Ingest Template'!A28="Standard",(IF(ISBLANK('Ingest Template'!O28),"", 'Ingest Template'!O28&amp;"|DAR")),(IF(ISBLANK('Ingest Template'!O28),"", 'Ingest Template'!O28&amp;"|Film Ops")))</f>
        <v/>
      </c>
      <c r="Z28" s="4"/>
      <c r="AA28" s="4" t="str">
        <f>'Ingest Template'!E28</f>
        <v/>
      </c>
      <c r="AB28" s="7"/>
      <c r="AC28" s="4" t="str">
        <f t="array" ref="AC28">IF('Ingest Template'!A28="Standard",(CONCATENATE(IF(ISBLANK('Ingest Template'!F28),"", 'Ingest Template'!F28&amp;"|DAR"),CHAR(10), IF(ISBLANK('Ingest Template'!G28),"", 'Ingest Template'!G28&amp;"|DAR"),CHAR(10), IF(ISBLANK('Ingest Template'!H28),"", 'Ingest Template'!H28&amp;"|DAR"))),(CONCATENATE(IF(ISBLANK('Ingest Template'!F28),"", 'Ingest Template'!F28&amp;"|Film Ops"),CHAR(10), IF(ISBLANK('Ingest Template'!G28),"", 'Ingest Template'!G28&amp;"|Film Ops"),CHAR(10), IF(ISBLANK('Ingest Template'!H28),"", 'Ingest Template'!H28&amp;"|Film Ops"))))</f>
        <v>
</v>
      </c>
      <c r="AD28" s="4"/>
      <c r="AE28" s="4"/>
      <c r="AF28" s="10"/>
      <c r="AG28" s="4"/>
      <c r="AH28" s="4"/>
    </row>
    <row r="29">
      <c r="A29" s="4"/>
      <c r="B29" s="4" t="str">
        <f>'Ingest Template'!B29&amp;IF('Ingest Template'!A29 = "Standard", " - DAR","")</f>
        <v/>
      </c>
      <c r="C29" s="5" t="s">
        <v>34</v>
      </c>
      <c r="D29" s="5" t="str">
        <f>CONCATENATE('Ingest Template'!C29,'Ingest Template'!D29)</f>
        <v/>
      </c>
      <c r="E29" s="4"/>
      <c r="F29" s="4"/>
      <c r="G29" s="4"/>
      <c r="H29" s="6"/>
      <c r="I29" s="6" t="str">
        <f>iF('Ingest Template'!A29="Standard","Pristine Brand","Unknown")</f>
        <v>Unknown</v>
      </c>
      <c r="J29" s="4" t="str">
        <f>iF('Ingest Template'!A29="Standard","LF // Beverages","Competitive View")</f>
        <v>Competitive View</v>
      </c>
      <c r="K29" s="7" t="s">
        <v>35</v>
      </c>
      <c r="L29" s="8"/>
      <c r="M29" s="4"/>
      <c r="N29" s="4"/>
      <c r="O29" s="4"/>
      <c r="P29" s="4"/>
      <c r="Q29" s="4"/>
      <c r="R29" s="7" t="s">
        <v>36</v>
      </c>
      <c r="S29" s="4" t="str">
        <f>'Ingest Template'!J29</f>
        <v/>
      </c>
      <c r="T29" s="4" t="str">
        <f>'Ingest Template'!I29</f>
        <v/>
      </c>
      <c r="U29" s="4" t="str">
        <f>LOWER(SUBSTITUTE(SUBSTITUTE(SUBSTITUTE(SUBSTITUTE(SUBSTITUTE('Ingest Template'!K29,"https:",""),"www.",""),"/",""),"?hl=en",""),"instagram.com",""))</f>
        <v/>
      </c>
      <c r="V29" s="9" t="str">
        <f>'Ingest Template'!L29</f>
        <v/>
      </c>
      <c r="W29" s="9" t="str">
        <f>'Ingest Template'!M29</f>
        <v/>
      </c>
      <c r="X29" s="4" t="str">
        <f>SUBSTITUTE(SUBSTITUTE(SUBSTITUTE('Ingest Template'!N29,"http:",""),"https:",""),"/","")</f>
        <v/>
      </c>
      <c r="Y29" s="4" t="str">
        <f t="array" ref="Y29">IF('Ingest Template'!A29="Standard",(IF(ISBLANK('Ingest Template'!O29),"", 'Ingest Template'!O29&amp;"|DAR")),(IF(ISBLANK('Ingest Template'!O29),"", 'Ingest Template'!O29&amp;"|Film Ops")))</f>
        <v/>
      </c>
      <c r="Z29" s="4"/>
      <c r="AA29" s="4" t="str">
        <f>'Ingest Template'!E29</f>
        <v/>
      </c>
      <c r="AB29" s="7"/>
      <c r="AC29" s="4" t="str">
        <f t="array" ref="AC29">IF('Ingest Template'!A29="Standard",(CONCATENATE(IF(ISBLANK('Ingest Template'!F29),"", 'Ingest Template'!F29&amp;"|DAR"),CHAR(10), IF(ISBLANK('Ingest Template'!G29),"", 'Ingest Template'!G29&amp;"|DAR"),CHAR(10), IF(ISBLANK('Ingest Template'!H29),"", 'Ingest Template'!H29&amp;"|DAR"))),(CONCATENATE(IF(ISBLANK('Ingest Template'!F29),"", 'Ingest Template'!F29&amp;"|Film Ops"),CHAR(10), IF(ISBLANK('Ingest Template'!G29),"", 'Ingest Template'!G29&amp;"|Film Ops"),CHAR(10), IF(ISBLANK('Ingest Template'!H29),"", 'Ingest Template'!H29&amp;"|Film Ops"))))</f>
        <v>
</v>
      </c>
      <c r="AD29" s="4"/>
      <c r="AE29" s="4"/>
      <c r="AF29" s="10"/>
      <c r="AG29" s="4"/>
      <c r="AH29" s="4"/>
    </row>
    <row r="30">
      <c r="A30" s="4"/>
      <c r="B30" s="4" t="str">
        <f>'Ingest Template'!B30&amp;IF('Ingest Template'!A30 = "Standard", " - DAR","")</f>
        <v/>
      </c>
      <c r="C30" s="5" t="s">
        <v>34</v>
      </c>
      <c r="D30" s="5" t="str">
        <f>CONCATENATE('Ingest Template'!C30,'Ingest Template'!D30)</f>
        <v/>
      </c>
      <c r="E30" s="4"/>
      <c r="F30" s="4"/>
      <c r="G30" s="4"/>
      <c r="H30" s="6"/>
      <c r="I30" s="6" t="str">
        <f>iF('Ingest Template'!A30="Standard","Pristine Brand","Unknown")</f>
        <v>Unknown</v>
      </c>
      <c r="J30" s="4" t="str">
        <f>iF('Ingest Template'!A30="Standard","LF // Beverages","Competitive View")</f>
        <v>Competitive View</v>
      </c>
      <c r="K30" s="7" t="s">
        <v>35</v>
      </c>
      <c r="L30" s="8"/>
      <c r="M30" s="4"/>
      <c r="N30" s="4"/>
      <c r="O30" s="4"/>
      <c r="P30" s="4"/>
      <c r="Q30" s="4"/>
      <c r="R30" s="7" t="s">
        <v>36</v>
      </c>
      <c r="S30" s="4" t="str">
        <f>'Ingest Template'!J30</f>
        <v/>
      </c>
      <c r="T30" s="4" t="str">
        <f>'Ingest Template'!I30</f>
        <v/>
      </c>
      <c r="U30" s="4" t="str">
        <f>LOWER(SUBSTITUTE(SUBSTITUTE(SUBSTITUTE(SUBSTITUTE(SUBSTITUTE('Ingest Template'!K30,"https:",""),"www.",""),"/",""),"?hl=en",""),"instagram.com",""))</f>
        <v/>
      </c>
      <c r="V30" s="9" t="str">
        <f>'Ingest Template'!L30</f>
        <v/>
      </c>
      <c r="W30" s="9" t="str">
        <f>'Ingest Template'!M30</f>
        <v/>
      </c>
      <c r="X30" s="4" t="str">
        <f>SUBSTITUTE(SUBSTITUTE(SUBSTITUTE('Ingest Template'!N30,"http:",""),"https:",""),"/","")</f>
        <v/>
      </c>
      <c r="Y30" s="4" t="str">
        <f t="array" ref="Y30">IF('Ingest Template'!A30="Standard",(IF(ISBLANK('Ingest Template'!O30),"", 'Ingest Template'!O30&amp;"|DAR")),(IF(ISBLANK('Ingest Template'!O30),"", 'Ingest Template'!O30&amp;"|Film Ops")))</f>
        <v/>
      </c>
      <c r="Z30" s="4"/>
      <c r="AA30" s="4" t="str">
        <f>'Ingest Template'!E30</f>
        <v/>
      </c>
      <c r="AB30" s="7"/>
      <c r="AC30" s="4" t="str">
        <f t="array" ref="AC30">IF('Ingest Template'!A30="Standard",(CONCATENATE(IF(ISBLANK('Ingest Template'!F30),"", 'Ingest Template'!F30&amp;"|DAR"),CHAR(10), IF(ISBLANK('Ingest Template'!G30),"", 'Ingest Template'!G30&amp;"|DAR"),CHAR(10), IF(ISBLANK('Ingest Template'!H30),"", 'Ingest Template'!H30&amp;"|DAR"))),(CONCATENATE(IF(ISBLANK('Ingest Template'!F30),"", 'Ingest Template'!F30&amp;"|Film Ops"),CHAR(10), IF(ISBLANK('Ingest Template'!G30),"", 'Ingest Template'!G30&amp;"|Film Ops"),CHAR(10), IF(ISBLANK('Ingest Template'!H30),"", 'Ingest Template'!H30&amp;"|Film Ops"))))</f>
        <v>
</v>
      </c>
      <c r="AD30" s="4"/>
      <c r="AE30" s="4"/>
      <c r="AF30" s="10"/>
      <c r="AG30" s="4"/>
      <c r="AH30" s="4"/>
    </row>
    <row r="31">
      <c r="A31" s="4"/>
      <c r="B31" s="4" t="str">
        <f>'Ingest Template'!B31&amp;IF('Ingest Template'!A31 = "Standard", " - DAR","")</f>
        <v/>
      </c>
      <c r="C31" s="5" t="s">
        <v>34</v>
      </c>
      <c r="D31" s="5" t="str">
        <f>CONCATENATE('Ingest Template'!C31,'Ingest Template'!D31)</f>
        <v/>
      </c>
      <c r="E31" s="4"/>
      <c r="F31" s="4"/>
      <c r="G31" s="4"/>
      <c r="H31" s="6"/>
      <c r="I31" s="6" t="str">
        <f>iF('Ingest Template'!A31="Standard","Pristine Brand","Unknown")</f>
        <v>Unknown</v>
      </c>
      <c r="J31" s="4" t="str">
        <f>iF('Ingest Template'!A31="Standard","LF // Beverages","Competitive View")</f>
        <v>Competitive View</v>
      </c>
      <c r="K31" s="7" t="s">
        <v>35</v>
      </c>
      <c r="L31" s="8"/>
      <c r="M31" s="4"/>
      <c r="N31" s="4"/>
      <c r="O31" s="4"/>
      <c r="P31" s="4"/>
      <c r="Q31" s="4"/>
      <c r="R31" s="7" t="s">
        <v>36</v>
      </c>
      <c r="S31" s="4" t="str">
        <f>'Ingest Template'!J31</f>
        <v/>
      </c>
      <c r="T31" s="4" t="str">
        <f>'Ingest Template'!I31</f>
        <v/>
      </c>
      <c r="U31" s="4" t="str">
        <f>LOWER(SUBSTITUTE(SUBSTITUTE(SUBSTITUTE(SUBSTITUTE(SUBSTITUTE('Ingest Template'!K31,"https:",""),"www.",""),"/",""),"?hl=en",""),"instagram.com",""))</f>
        <v/>
      </c>
      <c r="V31" s="9" t="str">
        <f>'Ingest Template'!L31</f>
        <v/>
      </c>
      <c r="W31" s="9" t="str">
        <f>'Ingest Template'!M31</f>
        <v/>
      </c>
      <c r="X31" s="4" t="str">
        <f>SUBSTITUTE(SUBSTITUTE(SUBSTITUTE('Ingest Template'!N31,"http:",""),"https:",""),"/","")</f>
        <v/>
      </c>
      <c r="Y31" s="4" t="str">
        <f t="array" ref="Y31">IF('Ingest Template'!A31="Standard",(IF(ISBLANK('Ingest Template'!O31),"", 'Ingest Template'!O31&amp;"|DAR")),(IF(ISBLANK('Ingest Template'!O31),"", 'Ingest Template'!O31&amp;"|Film Ops")))</f>
        <v/>
      </c>
      <c r="Z31" s="4"/>
      <c r="AA31" s="4" t="str">
        <f>'Ingest Template'!E31</f>
        <v/>
      </c>
      <c r="AB31" s="7"/>
      <c r="AC31" s="4" t="str">
        <f t="array" ref="AC31">IF('Ingest Template'!A31="Standard",(CONCATENATE(IF(ISBLANK('Ingest Template'!F31),"", 'Ingest Template'!F31&amp;"|DAR"),CHAR(10), IF(ISBLANK('Ingest Template'!G31),"", 'Ingest Template'!G31&amp;"|DAR"),CHAR(10), IF(ISBLANK('Ingest Template'!H31),"", 'Ingest Template'!H31&amp;"|DAR"))),(CONCATENATE(IF(ISBLANK('Ingest Template'!F31),"", 'Ingest Template'!F31&amp;"|Film Ops"),CHAR(10), IF(ISBLANK('Ingest Template'!G31),"", 'Ingest Template'!G31&amp;"|Film Ops"),CHAR(10), IF(ISBLANK('Ingest Template'!H31),"", 'Ingest Template'!H31&amp;"|Film Ops"))))</f>
        <v>
</v>
      </c>
      <c r="AD31" s="4"/>
      <c r="AE31" s="4"/>
      <c r="AF31" s="10"/>
      <c r="AG31" s="4"/>
      <c r="AH31" s="4"/>
    </row>
    <row r="32">
      <c r="A32" s="4"/>
      <c r="B32" s="4" t="str">
        <f>'Ingest Template'!B32&amp;IF('Ingest Template'!A32 = "Standard", " - DAR","")</f>
        <v/>
      </c>
      <c r="C32" s="5" t="s">
        <v>34</v>
      </c>
      <c r="D32" s="5" t="str">
        <f>CONCATENATE('Ingest Template'!C32,'Ingest Template'!D32)</f>
        <v/>
      </c>
      <c r="E32" s="4"/>
      <c r="F32" s="4"/>
      <c r="G32" s="4"/>
      <c r="H32" s="6"/>
      <c r="I32" s="6" t="str">
        <f>iF('Ingest Template'!A32="Standard","Pristine Brand","Unknown")</f>
        <v>Unknown</v>
      </c>
      <c r="J32" s="4" t="str">
        <f>iF('Ingest Template'!A32="Standard","LF // Beverages","Competitive View")</f>
        <v>Competitive View</v>
      </c>
      <c r="K32" s="7" t="s">
        <v>35</v>
      </c>
      <c r="L32" s="8"/>
      <c r="M32" s="4"/>
      <c r="N32" s="4"/>
      <c r="O32" s="4"/>
      <c r="P32" s="4"/>
      <c r="Q32" s="4"/>
      <c r="R32" s="7" t="s">
        <v>36</v>
      </c>
      <c r="S32" s="4" t="str">
        <f>'Ingest Template'!J32</f>
        <v/>
      </c>
      <c r="T32" s="4" t="str">
        <f>'Ingest Template'!I32</f>
        <v/>
      </c>
      <c r="U32" s="4" t="str">
        <f>LOWER(SUBSTITUTE(SUBSTITUTE(SUBSTITUTE(SUBSTITUTE(SUBSTITUTE('Ingest Template'!K32,"https:",""),"www.",""),"/",""),"?hl=en",""),"instagram.com",""))</f>
        <v/>
      </c>
      <c r="V32" s="9" t="str">
        <f>'Ingest Template'!L32</f>
        <v/>
      </c>
      <c r="W32" s="9" t="str">
        <f>'Ingest Template'!M32</f>
        <v/>
      </c>
      <c r="X32" s="4" t="str">
        <f>SUBSTITUTE(SUBSTITUTE(SUBSTITUTE('Ingest Template'!N32,"http:",""),"https:",""),"/","")</f>
        <v/>
      </c>
      <c r="Y32" s="4" t="str">
        <f t="array" ref="Y32">IF('Ingest Template'!A32="Standard",(IF(ISBLANK('Ingest Template'!O32),"", 'Ingest Template'!O32&amp;"|DAR")),(IF(ISBLANK('Ingest Template'!O32),"", 'Ingest Template'!O32&amp;"|Film Ops")))</f>
        <v/>
      </c>
      <c r="Z32" s="4"/>
      <c r="AA32" s="4" t="str">
        <f>'Ingest Template'!E32</f>
        <v/>
      </c>
      <c r="AB32" s="7"/>
      <c r="AC32" s="4" t="str">
        <f t="array" ref="AC32">IF('Ingest Template'!A32="Standard",(CONCATENATE(IF(ISBLANK('Ingest Template'!F32),"", 'Ingest Template'!F32&amp;"|DAR"),CHAR(10), IF(ISBLANK('Ingest Template'!G32),"", 'Ingest Template'!G32&amp;"|DAR"),CHAR(10), IF(ISBLANK('Ingest Template'!H32),"", 'Ingest Template'!H32&amp;"|DAR"))),(CONCATENATE(IF(ISBLANK('Ingest Template'!F32),"", 'Ingest Template'!F32&amp;"|Film Ops"),CHAR(10), IF(ISBLANK('Ingest Template'!G32),"", 'Ingest Template'!G32&amp;"|Film Ops"),CHAR(10), IF(ISBLANK('Ingest Template'!H32),"", 'Ingest Template'!H32&amp;"|Film Ops"))))</f>
        <v>
</v>
      </c>
      <c r="AD32" s="4"/>
      <c r="AE32" s="4"/>
      <c r="AF32" s="10"/>
      <c r="AG32" s="4"/>
      <c r="AH32" s="4"/>
    </row>
    <row r="33">
      <c r="A33" s="4"/>
      <c r="B33" s="4" t="str">
        <f>'Ingest Template'!B33&amp;IF('Ingest Template'!A33 = "Standard", " - DAR","")</f>
        <v/>
      </c>
      <c r="C33" s="5" t="s">
        <v>34</v>
      </c>
      <c r="D33" s="5" t="str">
        <f>CONCATENATE('Ingest Template'!C33,'Ingest Template'!D33)</f>
        <v/>
      </c>
      <c r="E33" s="4"/>
      <c r="F33" s="4"/>
      <c r="G33" s="4"/>
      <c r="H33" s="6"/>
      <c r="I33" s="6" t="str">
        <f>iF('Ingest Template'!A33="Standard","Pristine Brand","Unknown")</f>
        <v>Unknown</v>
      </c>
      <c r="J33" s="4" t="str">
        <f>iF('Ingest Template'!A33="Standard","LF // Beverages","Competitive View")</f>
        <v>Competitive View</v>
      </c>
      <c r="K33" s="7" t="s">
        <v>35</v>
      </c>
      <c r="L33" s="8"/>
      <c r="M33" s="4"/>
      <c r="N33" s="4"/>
      <c r="O33" s="4"/>
      <c r="P33" s="4"/>
      <c r="Q33" s="4"/>
      <c r="R33" s="7" t="s">
        <v>36</v>
      </c>
      <c r="S33" s="4" t="str">
        <f>'Ingest Template'!J33</f>
        <v/>
      </c>
      <c r="T33" s="4" t="str">
        <f>'Ingest Template'!I33</f>
        <v/>
      </c>
      <c r="U33" s="4" t="str">
        <f>LOWER(SUBSTITUTE(SUBSTITUTE(SUBSTITUTE(SUBSTITUTE(SUBSTITUTE('Ingest Template'!K33,"https:",""),"www.",""),"/",""),"?hl=en",""),"instagram.com",""))</f>
        <v/>
      </c>
      <c r="V33" s="9" t="str">
        <f>'Ingest Template'!L33</f>
        <v/>
      </c>
      <c r="W33" s="9" t="str">
        <f>'Ingest Template'!M33</f>
        <v/>
      </c>
      <c r="X33" s="4" t="str">
        <f>SUBSTITUTE(SUBSTITUTE(SUBSTITUTE('Ingest Template'!N33,"http:",""),"https:",""),"/","")</f>
        <v/>
      </c>
      <c r="Y33" s="4" t="str">
        <f t="array" ref="Y33">IF('Ingest Template'!A33="Standard",(IF(ISBLANK('Ingest Template'!O33),"", 'Ingest Template'!O33&amp;"|DAR")),(IF(ISBLANK('Ingest Template'!O33),"", 'Ingest Template'!O33&amp;"|Film Ops")))</f>
        <v/>
      </c>
      <c r="Z33" s="4"/>
      <c r="AA33" s="4" t="str">
        <f>'Ingest Template'!E33</f>
        <v/>
      </c>
      <c r="AB33" s="7"/>
      <c r="AC33" s="4" t="str">
        <f t="array" ref="AC33">IF('Ingest Template'!A33="Standard",(CONCATENATE(IF(ISBLANK('Ingest Template'!F33),"", 'Ingest Template'!F33&amp;"|DAR"),CHAR(10), IF(ISBLANK('Ingest Template'!G33),"", 'Ingest Template'!G33&amp;"|DAR"),CHAR(10), IF(ISBLANK('Ingest Template'!H33),"", 'Ingest Template'!H33&amp;"|DAR"))),(CONCATENATE(IF(ISBLANK('Ingest Template'!F33),"", 'Ingest Template'!F33&amp;"|Film Ops"),CHAR(10), IF(ISBLANK('Ingest Template'!G33),"", 'Ingest Template'!G33&amp;"|Film Ops"),CHAR(10), IF(ISBLANK('Ingest Template'!H33),"", 'Ingest Template'!H33&amp;"|Film Ops"))))</f>
        <v>
</v>
      </c>
      <c r="AD33" s="4"/>
      <c r="AE33" s="4"/>
      <c r="AF33" s="10"/>
      <c r="AG33" s="4"/>
      <c r="AH33" s="4"/>
    </row>
    <row r="34">
      <c r="A34" s="4"/>
      <c r="B34" s="4" t="str">
        <f>'Ingest Template'!B34&amp;IF('Ingest Template'!A34 = "Standard", " - DAR","")</f>
        <v/>
      </c>
      <c r="C34" s="5" t="s">
        <v>34</v>
      </c>
      <c r="D34" s="5" t="str">
        <f>CONCATENATE('Ingest Template'!C34,'Ingest Template'!D34)</f>
        <v/>
      </c>
      <c r="E34" s="4"/>
      <c r="F34" s="4"/>
      <c r="G34" s="4"/>
      <c r="H34" s="6"/>
      <c r="I34" s="6" t="str">
        <f>iF('Ingest Template'!A34="Standard","Pristine Brand","Unknown")</f>
        <v>Unknown</v>
      </c>
      <c r="J34" s="4" t="str">
        <f>iF('Ingest Template'!A34="Standard","LF // Beverages","Competitive View")</f>
        <v>Competitive View</v>
      </c>
      <c r="K34" s="7" t="s">
        <v>35</v>
      </c>
      <c r="L34" s="8"/>
      <c r="M34" s="4"/>
      <c r="N34" s="4"/>
      <c r="O34" s="4"/>
      <c r="P34" s="4"/>
      <c r="Q34" s="4"/>
      <c r="R34" s="7" t="s">
        <v>36</v>
      </c>
      <c r="S34" s="4" t="str">
        <f>'Ingest Template'!J34</f>
        <v/>
      </c>
      <c r="T34" s="4" t="str">
        <f>'Ingest Template'!I34</f>
        <v/>
      </c>
      <c r="U34" s="4" t="str">
        <f>LOWER(SUBSTITUTE(SUBSTITUTE(SUBSTITUTE(SUBSTITUTE(SUBSTITUTE('Ingest Template'!K34,"https:",""),"www.",""),"/",""),"?hl=en",""),"instagram.com",""))</f>
        <v/>
      </c>
      <c r="V34" s="9" t="str">
        <f>'Ingest Template'!L34</f>
        <v/>
      </c>
      <c r="W34" s="9" t="str">
        <f>'Ingest Template'!M34</f>
        <v/>
      </c>
      <c r="X34" s="4" t="str">
        <f>SUBSTITUTE(SUBSTITUTE(SUBSTITUTE('Ingest Template'!N34,"http:",""),"https:",""),"/","")</f>
        <v/>
      </c>
      <c r="Y34" s="4" t="str">
        <f t="array" ref="Y34">IF('Ingest Template'!A34="Standard",(IF(ISBLANK('Ingest Template'!O34),"", 'Ingest Template'!O34&amp;"|DAR")),(IF(ISBLANK('Ingest Template'!O34),"", 'Ingest Template'!O34&amp;"|Film Ops")))</f>
        <v/>
      </c>
      <c r="Z34" s="4"/>
      <c r="AA34" s="4" t="str">
        <f>'Ingest Template'!E34</f>
        <v/>
      </c>
      <c r="AB34" s="7"/>
      <c r="AC34" s="4" t="str">
        <f t="array" ref="AC34">IF('Ingest Template'!A34="Standard",(CONCATENATE(IF(ISBLANK('Ingest Template'!F34),"", 'Ingest Template'!F34&amp;"|DAR"),CHAR(10), IF(ISBLANK('Ingest Template'!G34),"", 'Ingest Template'!G34&amp;"|DAR"),CHAR(10), IF(ISBLANK('Ingest Template'!H34),"", 'Ingest Template'!H34&amp;"|DAR"))),(CONCATENATE(IF(ISBLANK('Ingest Template'!F34),"", 'Ingest Template'!F34&amp;"|Film Ops"),CHAR(10), IF(ISBLANK('Ingest Template'!G34),"", 'Ingest Template'!G34&amp;"|Film Ops"),CHAR(10), IF(ISBLANK('Ingest Template'!H34),"", 'Ingest Template'!H34&amp;"|Film Ops"))))</f>
        <v>
</v>
      </c>
      <c r="AD34" s="4"/>
      <c r="AE34" s="4"/>
      <c r="AF34" s="10"/>
      <c r="AG34" s="4"/>
      <c r="AH34" s="4"/>
    </row>
    <row r="35">
      <c r="A35" s="4"/>
      <c r="B35" s="4" t="str">
        <f>'Ingest Template'!B35&amp;IF('Ingest Template'!A35 = "Standard", " - DAR","")</f>
        <v/>
      </c>
      <c r="C35" s="5" t="s">
        <v>34</v>
      </c>
      <c r="D35" s="5" t="str">
        <f>CONCATENATE('Ingest Template'!C35,'Ingest Template'!D35)</f>
        <v/>
      </c>
      <c r="E35" s="4"/>
      <c r="F35" s="4"/>
      <c r="G35" s="4"/>
      <c r="H35" s="6"/>
      <c r="I35" s="6" t="str">
        <f>iF('Ingest Template'!A35="Standard","Pristine Brand","Unknown")</f>
        <v>Unknown</v>
      </c>
      <c r="J35" s="4" t="str">
        <f>iF('Ingest Template'!A35="Standard","LF // Beverages","Competitive View")</f>
        <v>Competitive View</v>
      </c>
      <c r="K35" s="7" t="s">
        <v>35</v>
      </c>
      <c r="L35" s="8"/>
      <c r="M35" s="4"/>
      <c r="N35" s="4"/>
      <c r="O35" s="4"/>
      <c r="P35" s="4"/>
      <c r="Q35" s="4"/>
      <c r="R35" s="7" t="s">
        <v>36</v>
      </c>
      <c r="S35" s="4" t="str">
        <f>'Ingest Template'!J35</f>
        <v/>
      </c>
      <c r="T35" s="4" t="str">
        <f>'Ingest Template'!I35</f>
        <v/>
      </c>
      <c r="U35" s="4" t="str">
        <f>LOWER(SUBSTITUTE(SUBSTITUTE(SUBSTITUTE(SUBSTITUTE(SUBSTITUTE('Ingest Template'!K35,"https:",""),"www.",""),"/",""),"?hl=en",""),"instagram.com",""))</f>
        <v/>
      </c>
      <c r="V35" s="9" t="str">
        <f>'Ingest Template'!L35</f>
        <v/>
      </c>
      <c r="W35" s="9" t="str">
        <f>'Ingest Template'!M35</f>
        <v/>
      </c>
      <c r="X35" s="4" t="str">
        <f>SUBSTITUTE(SUBSTITUTE(SUBSTITUTE('Ingest Template'!N35,"http:",""),"https:",""),"/","")</f>
        <v/>
      </c>
      <c r="Y35" s="4" t="str">
        <f t="array" ref="Y35">IF('Ingest Template'!A35="Standard",(IF(ISBLANK('Ingest Template'!O35),"", 'Ingest Template'!O35&amp;"|DAR")),(IF(ISBLANK('Ingest Template'!O35),"", 'Ingest Template'!O35&amp;"|Film Ops")))</f>
        <v/>
      </c>
      <c r="Z35" s="4"/>
      <c r="AA35" s="4" t="str">
        <f>'Ingest Template'!E35</f>
        <v/>
      </c>
      <c r="AB35" s="7"/>
      <c r="AC35" s="4" t="str">
        <f t="array" ref="AC35">IF('Ingest Template'!A35="Standard",(CONCATENATE(IF(ISBLANK('Ingest Template'!F35),"", 'Ingest Template'!F35&amp;"|DAR"),CHAR(10), IF(ISBLANK('Ingest Template'!G35),"", 'Ingest Template'!G35&amp;"|DAR"),CHAR(10), IF(ISBLANK('Ingest Template'!H35),"", 'Ingest Template'!H35&amp;"|DAR"))),(CONCATENATE(IF(ISBLANK('Ingest Template'!F35),"", 'Ingest Template'!F35&amp;"|Film Ops"),CHAR(10), IF(ISBLANK('Ingest Template'!G35),"", 'Ingest Template'!G35&amp;"|Film Ops"),CHAR(10), IF(ISBLANK('Ingest Template'!H35),"", 'Ingest Template'!H35&amp;"|Film Ops"))))</f>
        <v>
</v>
      </c>
      <c r="AD35" s="4"/>
      <c r="AE35" s="4"/>
      <c r="AF35" s="10"/>
      <c r="AG35" s="4"/>
      <c r="AH35" s="4"/>
    </row>
    <row r="36">
      <c r="A36" s="4"/>
      <c r="B36" s="4" t="str">
        <f>'Ingest Template'!B36&amp;IF('Ingest Template'!A36 = "Standard", " - DAR","")</f>
        <v/>
      </c>
      <c r="C36" s="5" t="s">
        <v>34</v>
      </c>
      <c r="D36" s="5" t="str">
        <f>CONCATENATE('Ingest Template'!C36,'Ingest Template'!D36)</f>
        <v/>
      </c>
      <c r="E36" s="4"/>
      <c r="F36" s="4"/>
      <c r="G36" s="4"/>
      <c r="H36" s="6"/>
      <c r="I36" s="6" t="str">
        <f>iF('Ingest Template'!A36="Standard","Pristine Brand","Unknown")</f>
        <v>Unknown</v>
      </c>
      <c r="J36" s="4" t="str">
        <f>iF('Ingest Template'!A36="Standard","LF // Beverages","Competitive View")</f>
        <v>Competitive View</v>
      </c>
      <c r="K36" s="7" t="s">
        <v>35</v>
      </c>
      <c r="L36" s="8"/>
      <c r="M36" s="4"/>
      <c r="N36" s="4"/>
      <c r="O36" s="4"/>
      <c r="P36" s="4"/>
      <c r="Q36" s="4"/>
      <c r="R36" s="7" t="s">
        <v>36</v>
      </c>
      <c r="S36" s="4" t="str">
        <f>'Ingest Template'!J36</f>
        <v/>
      </c>
      <c r="T36" s="4" t="str">
        <f>'Ingest Template'!I36</f>
        <v/>
      </c>
      <c r="U36" s="4" t="str">
        <f>LOWER(SUBSTITUTE(SUBSTITUTE(SUBSTITUTE(SUBSTITUTE(SUBSTITUTE('Ingest Template'!K36,"https:",""),"www.",""),"/",""),"?hl=en",""),"instagram.com",""))</f>
        <v/>
      </c>
      <c r="V36" s="9" t="str">
        <f>'Ingest Template'!L36</f>
        <v/>
      </c>
      <c r="W36" s="9" t="str">
        <f>'Ingest Template'!M36</f>
        <v/>
      </c>
      <c r="X36" s="4" t="str">
        <f>SUBSTITUTE(SUBSTITUTE(SUBSTITUTE('Ingest Template'!N36,"http:",""),"https:",""),"/","")</f>
        <v/>
      </c>
      <c r="Y36" s="4" t="str">
        <f t="array" ref="Y36">IF('Ingest Template'!A36="Standard",(IF(ISBLANK('Ingest Template'!O36),"", 'Ingest Template'!O36&amp;"|DAR")),(IF(ISBLANK('Ingest Template'!O36),"", 'Ingest Template'!O36&amp;"|Film Ops")))</f>
        <v/>
      </c>
      <c r="Z36" s="4"/>
      <c r="AA36" s="4" t="str">
        <f>'Ingest Template'!E36</f>
        <v/>
      </c>
      <c r="AB36" s="7"/>
      <c r="AC36" s="4" t="str">
        <f t="array" ref="AC36">IF('Ingest Template'!A36="Standard",(CONCATENATE(IF(ISBLANK('Ingest Template'!F36),"", 'Ingest Template'!F36&amp;"|DAR"),CHAR(10), IF(ISBLANK('Ingest Template'!G36),"", 'Ingest Template'!G36&amp;"|DAR"),CHAR(10), IF(ISBLANK('Ingest Template'!H36),"", 'Ingest Template'!H36&amp;"|DAR"))),(CONCATENATE(IF(ISBLANK('Ingest Template'!F36),"", 'Ingest Template'!F36&amp;"|Film Ops"),CHAR(10), IF(ISBLANK('Ingest Template'!G36),"", 'Ingest Template'!G36&amp;"|Film Ops"),CHAR(10), IF(ISBLANK('Ingest Template'!H36),"", 'Ingest Template'!H36&amp;"|Film Ops"))))</f>
        <v>
</v>
      </c>
      <c r="AD36" s="4"/>
      <c r="AE36" s="4"/>
      <c r="AF36" s="10"/>
      <c r="AG36" s="4"/>
      <c r="AH36" s="4"/>
    </row>
    <row r="37">
      <c r="A37" s="4"/>
      <c r="B37" s="4" t="str">
        <f>'Ingest Template'!B37&amp;IF('Ingest Template'!A37 = "Standard", " - DAR","")</f>
        <v/>
      </c>
      <c r="C37" s="5" t="s">
        <v>34</v>
      </c>
      <c r="D37" s="5" t="str">
        <f>CONCATENATE('Ingest Template'!C37,'Ingest Template'!D37)</f>
        <v/>
      </c>
      <c r="E37" s="4"/>
      <c r="F37" s="4"/>
      <c r="G37" s="4"/>
      <c r="H37" s="6"/>
      <c r="I37" s="6" t="str">
        <f>iF('Ingest Template'!A37="Standard","Pristine Brand","Unknown")</f>
        <v>Unknown</v>
      </c>
      <c r="J37" s="4" t="str">
        <f>iF('Ingest Template'!A37="Standard","LF // Beverages","Competitive View")</f>
        <v>Competitive View</v>
      </c>
      <c r="K37" s="7" t="s">
        <v>35</v>
      </c>
      <c r="L37" s="8"/>
      <c r="M37" s="4"/>
      <c r="N37" s="4"/>
      <c r="O37" s="4"/>
      <c r="P37" s="4"/>
      <c r="Q37" s="4"/>
      <c r="R37" s="7" t="s">
        <v>36</v>
      </c>
      <c r="S37" s="4" t="str">
        <f>'Ingest Template'!J37</f>
        <v/>
      </c>
      <c r="T37" s="4" t="str">
        <f>'Ingest Template'!I37</f>
        <v/>
      </c>
      <c r="U37" s="4" t="str">
        <f>LOWER(SUBSTITUTE(SUBSTITUTE(SUBSTITUTE(SUBSTITUTE(SUBSTITUTE('Ingest Template'!K37,"https:",""),"www.",""),"/",""),"?hl=en",""),"instagram.com",""))</f>
        <v/>
      </c>
      <c r="V37" s="9" t="str">
        <f>'Ingest Template'!L37</f>
        <v/>
      </c>
      <c r="W37" s="9" t="str">
        <f>'Ingest Template'!M37</f>
        <v/>
      </c>
      <c r="X37" s="4" t="str">
        <f>SUBSTITUTE(SUBSTITUTE(SUBSTITUTE('Ingest Template'!N37,"http:",""),"https:",""),"/","")</f>
        <v/>
      </c>
      <c r="Y37" s="4" t="str">
        <f t="array" ref="Y37">IF('Ingest Template'!A37="Standard",(IF(ISBLANK('Ingest Template'!O37),"", 'Ingest Template'!O37&amp;"|DAR")),(IF(ISBLANK('Ingest Template'!O37),"", 'Ingest Template'!O37&amp;"|Film Ops")))</f>
        <v/>
      </c>
      <c r="Z37" s="4"/>
      <c r="AA37" s="4" t="str">
        <f>'Ingest Template'!E37</f>
        <v/>
      </c>
      <c r="AB37" s="7"/>
      <c r="AC37" s="4" t="str">
        <f t="array" ref="AC37">IF('Ingest Template'!A37="Standard",(CONCATENATE(IF(ISBLANK('Ingest Template'!F37),"", 'Ingest Template'!F37&amp;"|DAR"),CHAR(10), IF(ISBLANK('Ingest Template'!G37),"", 'Ingest Template'!G37&amp;"|DAR"),CHAR(10), IF(ISBLANK('Ingest Template'!H37),"", 'Ingest Template'!H37&amp;"|DAR"))),(CONCATENATE(IF(ISBLANK('Ingest Template'!F37),"", 'Ingest Template'!F37&amp;"|Film Ops"),CHAR(10), IF(ISBLANK('Ingest Template'!G37),"", 'Ingest Template'!G37&amp;"|Film Ops"),CHAR(10), IF(ISBLANK('Ingest Template'!H37),"", 'Ingest Template'!H37&amp;"|Film Ops"))))</f>
        <v>
</v>
      </c>
      <c r="AD37" s="4"/>
      <c r="AE37" s="4"/>
      <c r="AF37" s="10"/>
      <c r="AG37" s="4"/>
      <c r="AH37" s="4"/>
    </row>
    <row r="38">
      <c r="A38" s="4"/>
      <c r="B38" s="4" t="str">
        <f>'Ingest Template'!B38&amp;IF('Ingest Template'!A38 = "Standard", " - DAR","")</f>
        <v/>
      </c>
      <c r="C38" s="5" t="s">
        <v>34</v>
      </c>
      <c r="D38" s="5" t="str">
        <f>CONCATENATE('Ingest Template'!C38,'Ingest Template'!D38)</f>
        <v/>
      </c>
      <c r="E38" s="4"/>
      <c r="F38" s="4"/>
      <c r="G38" s="4"/>
      <c r="H38" s="6"/>
      <c r="I38" s="6" t="str">
        <f>iF('Ingest Template'!A38="Standard","Pristine Brand","Unknown")</f>
        <v>Unknown</v>
      </c>
      <c r="J38" s="4" t="str">
        <f>iF('Ingest Template'!A38="Standard","LF // Beverages","Competitive View")</f>
        <v>Competitive View</v>
      </c>
      <c r="K38" s="7" t="s">
        <v>35</v>
      </c>
      <c r="L38" s="8"/>
      <c r="M38" s="4"/>
      <c r="N38" s="4"/>
      <c r="O38" s="4"/>
      <c r="P38" s="4"/>
      <c r="Q38" s="4"/>
      <c r="R38" s="7" t="s">
        <v>36</v>
      </c>
      <c r="S38" s="4" t="str">
        <f>'Ingest Template'!J38</f>
        <v/>
      </c>
      <c r="T38" s="4" t="str">
        <f>'Ingest Template'!I38</f>
        <v/>
      </c>
      <c r="U38" s="4" t="str">
        <f>LOWER(SUBSTITUTE(SUBSTITUTE(SUBSTITUTE(SUBSTITUTE(SUBSTITUTE('Ingest Template'!K38,"https:",""),"www.",""),"/",""),"?hl=en",""),"instagram.com",""))</f>
        <v/>
      </c>
      <c r="V38" s="9" t="str">
        <f>'Ingest Template'!L38</f>
        <v/>
      </c>
      <c r="W38" s="9" t="str">
        <f>'Ingest Template'!M38</f>
        <v/>
      </c>
      <c r="X38" s="4" t="str">
        <f>SUBSTITUTE(SUBSTITUTE(SUBSTITUTE('Ingest Template'!N38,"http:",""),"https:",""),"/","")</f>
        <v/>
      </c>
      <c r="Y38" s="4" t="str">
        <f t="array" ref="Y38">IF('Ingest Template'!A38="Standard",(IF(ISBLANK('Ingest Template'!O38),"", 'Ingest Template'!O38&amp;"|DAR")),(IF(ISBLANK('Ingest Template'!O38),"", 'Ingest Template'!O38&amp;"|Film Ops")))</f>
        <v/>
      </c>
      <c r="Z38" s="4"/>
      <c r="AA38" s="4" t="str">
        <f>'Ingest Template'!E38</f>
        <v/>
      </c>
      <c r="AB38" s="7"/>
      <c r="AC38" s="4" t="str">
        <f t="array" ref="AC38">IF('Ingest Template'!A38="Standard",(CONCATENATE(IF(ISBLANK('Ingest Template'!F38),"", 'Ingest Template'!F38&amp;"|DAR"),CHAR(10), IF(ISBLANK('Ingest Template'!G38),"", 'Ingest Template'!G38&amp;"|DAR"),CHAR(10), IF(ISBLANK('Ingest Template'!H38),"", 'Ingest Template'!H38&amp;"|DAR"))),(CONCATENATE(IF(ISBLANK('Ingest Template'!F38),"", 'Ingest Template'!F38&amp;"|Film Ops"),CHAR(10), IF(ISBLANK('Ingest Template'!G38),"", 'Ingest Template'!G38&amp;"|Film Ops"),CHAR(10), IF(ISBLANK('Ingest Template'!H38),"", 'Ingest Template'!H38&amp;"|Film Ops"))))</f>
        <v>
</v>
      </c>
      <c r="AD38" s="4"/>
      <c r="AE38" s="4"/>
      <c r="AF38" s="10"/>
      <c r="AG38" s="4"/>
      <c r="AH38" s="4"/>
    </row>
    <row r="39">
      <c r="A39" s="4"/>
      <c r="B39" s="4" t="str">
        <f>'Ingest Template'!B39&amp;IF('Ingest Template'!A39 = "Standard", " - DAR","")</f>
        <v/>
      </c>
      <c r="C39" s="5" t="s">
        <v>34</v>
      </c>
      <c r="D39" s="5" t="str">
        <f>CONCATENATE('Ingest Template'!C39,'Ingest Template'!D39)</f>
        <v/>
      </c>
      <c r="E39" s="4"/>
      <c r="F39" s="4"/>
      <c r="G39" s="4"/>
      <c r="H39" s="6"/>
      <c r="I39" s="6" t="str">
        <f>iF('Ingest Template'!A39="Standard","Pristine Brand","Unknown")</f>
        <v>Unknown</v>
      </c>
      <c r="J39" s="4" t="str">
        <f>iF('Ingest Template'!A39="Standard","LF // Beverages","Competitive View")</f>
        <v>Competitive View</v>
      </c>
      <c r="K39" s="7" t="s">
        <v>35</v>
      </c>
      <c r="L39" s="8"/>
      <c r="M39" s="4"/>
      <c r="N39" s="4"/>
      <c r="O39" s="4"/>
      <c r="P39" s="4"/>
      <c r="Q39" s="4"/>
      <c r="R39" s="7" t="s">
        <v>36</v>
      </c>
      <c r="S39" s="4" t="str">
        <f>'Ingest Template'!J39</f>
        <v/>
      </c>
      <c r="T39" s="4" t="str">
        <f>'Ingest Template'!I39</f>
        <v/>
      </c>
      <c r="U39" s="4" t="str">
        <f>LOWER(SUBSTITUTE(SUBSTITUTE(SUBSTITUTE(SUBSTITUTE(SUBSTITUTE('Ingest Template'!K39,"https:",""),"www.",""),"/",""),"?hl=en",""),"instagram.com",""))</f>
        <v/>
      </c>
      <c r="V39" s="9" t="str">
        <f>'Ingest Template'!L39</f>
        <v/>
      </c>
      <c r="W39" s="9" t="str">
        <f>'Ingest Template'!M39</f>
        <v/>
      </c>
      <c r="X39" s="4" t="str">
        <f>SUBSTITUTE(SUBSTITUTE(SUBSTITUTE('Ingest Template'!N39,"http:",""),"https:",""),"/","")</f>
        <v/>
      </c>
      <c r="Y39" s="4" t="str">
        <f t="array" ref="Y39">IF('Ingest Template'!A39="Standard",(IF(ISBLANK('Ingest Template'!O39),"", 'Ingest Template'!O39&amp;"|DAR")),(IF(ISBLANK('Ingest Template'!O39),"", 'Ingest Template'!O39&amp;"|Film Ops")))</f>
        <v/>
      </c>
      <c r="Z39" s="4"/>
      <c r="AA39" s="4" t="str">
        <f>'Ingest Template'!E39</f>
        <v/>
      </c>
      <c r="AB39" s="7"/>
      <c r="AC39" s="4" t="str">
        <f t="array" ref="AC39">IF('Ingest Template'!A39="Standard",(CONCATENATE(IF(ISBLANK('Ingest Template'!F39),"", 'Ingest Template'!F39&amp;"|DAR"),CHAR(10), IF(ISBLANK('Ingest Template'!G39),"", 'Ingest Template'!G39&amp;"|DAR"),CHAR(10), IF(ISBLANK('Ingest Template'!H39),"", 'Ingest Template'!H39&amp;"|DAR"))),(CONCATENATE(IF(ISBLANK('Ingest Template'!F39),"", 'Ingest Template'!F39&amp;"|Film Ops"),CHAR(10), IF(ISBLANK('Ingest Template'!G39),"", 'Ingest Template'!G39&amp;"|Film Ops"),CHAR(10), IF(ISBLANK('Ingest Template'!H39),"", 'Ingest Template'!H39&amp;"|Film Ops"))))</f>
        <v>
</v>
      </c>
      <c r="AD39" s="4"/>
      <c r="AE39" s="4"/>
      <c r="AF39" s="10"/>
      <c r="AG39" s="4"/>
      <c r="AH39" s="4"/>
    </row>
    <row r="40">
      <c r="A40" s="4"/>
      <c r="B40" s="4" t="str">
        <f>'Ingest Template'!B40&amp;IF('Ingest Template'!A40 = "Standard", " - DAR","")</f>
        <v/>
      </c>
      <c r="C40" s="5" t="s">
        <v>34</v>
      </c>
      <c r="D40" s="5" t="str">
        <f>CONCATENATE('Ingest Template'!C40,'Ingest Template'!D40)</f>
        <v/>
      </c>
      <c r="E40" s="4"/>
      <c r="F40" s="4"/>
      <c r="G40" s="4"/>
      <c r="H40" s="6"/>
      <c r="I40" s="6" t="str">
        <f>iF('Ingest Template'!A40="Standard","Pristine Brand","Unknown")</f>
        <v>Unknown</v>
      </c>
      <c r="J40" s="4" t="str">
        <f>iF('Ingest Template'!A40="Standard","LF // Beverages","Competitive View")</f>
        <v>Competitive View</v>
      </c>
      <c r="K40" s="7" t="s">
        <v>35</v>
      </c>
      <c r="L40" s="8"/>
      <c r="M40" s="4"/>
      <c r="N40" s="4"/>
      <c r="O40" s="4"/>
      <c r="P40" s="4"/>
      <c r="Q40" s="4"/>
      <c r="R40" s="7" t="s">
        <v>36</v>
      </c>
      <c r="S40" s="4" t="str">
        <f>'Ingest Template'!J40</f>
        <v/>
      </c>
      <c r="T40" s="4" t="str">
        <f>'Ingest Template'!I40</f>
        <v/>
      </c>
      <c r="U40" s="4" t="str">
        <f>LOWER(SUBSTITUTE(SUBSTITUTE(SUBSTITUTE(SUBSTITUTE(SUBSTITUTE('Ingest Template'!K40,"https:",""),"www.",""),"/",""),"?hl=en",""),"instagram.com",""))</f>
        <v/>
      </c>
      <c r="V40" s="9" t="str">
        <f>'Ingest Template'!L40</f>
        <v/>
      </c>
      <c r="W40" s="9" t="str">
        <f>'Ingest Template'!M40</f>
        <v/>
      </c>
      <c r="X40" s="4" t="str">
        <f>SUBSTITUTE(SUBSTITUTE(SUBSTITUTE('Ingest Template'!N40,"http:",""),"https:",""),"/","")</f>
        <v/>
      </c>
      <c r="Y40" s="4" t="str">
        <f t="array" ref="Y40">IF('Ingest Template'!A40="Standard",(IF(ISBLANK('Ingest Template'!O40),"", 'Ingest Template'!O40&amp;"|DAR")),(IF(ISBLANK('Ingest Template'!O40),"", 'Ingest Template'!O40&amp;"|Film Ops")))</f>
        <v/>
      </c>
      <c r="Z40" s="4"/>
      <c r="AA40" s="4" t="str">
        <f>'Ingest Template'!E40</f>
        <v/>
      </c>
      <c r="AB40" s="7"/>
      <c r="AC40" s="4" t="str">
        <f t="array" ref="AC40">IF('Ingest Template'!A40="Standard",(CONCATENATE(IF(ISBLANK('Ingest Template'!F40),"", 'Ingest Template'!F40&amp;"|DAR"),CHAR(10), IF(ISBLANK('Ingest Template'!G40),"", 'Ingest Template'!G40&amp;"|DAR"),CHAR(10), IF(ISBLANK('Ingest Template'!H40),"", 'Ingest Template'!H40&amp;"|DAR"))),(CONCATENATE(IF(ISBLANK('Ingest Template'!F40),"", 'Ingest Template'!F40&amp;"|Film Ops"),CHAR(10), IF(ISBLANK('Ingest Template'!G40),"", 'Ingest Template'!G40&amp;"|Film Ops"),CHAR(10), IF(ISBLANK('Ingest Template'!H40),"", 'Ingest Template'!H40&amp;"|Film Ops"))))</f>
        <v>
</v>
      </c>
      <c r="AD40" s="4"/>
      <c r="AE40" s="4"/>
      <c r="AF40" s="10"/>
      <c r="AG40" s="4"/>
      <c r="AH40" s="4"/>
    </row>
    <row r="41">
      <c r="A41" s="4"/>
      <c r="B41" s="4" t="str">
        <f>'Ingest Template'!B41&amp;IF('Ingest Template'!A41 = "Standard", " - DAR","")</f>
        <v/>
      </c>
      <c r="C41" s="5" t="s">
        <v>34</v>
      </c>
      <c r="D41" s="5" t="str">
        <f>CONCATENATE('Ingest Template'!C41,'Ingest Template'!D41)</f>
        <v/>
      </c>
      <c r="E41" s="4"/>
      <c r="F41" s="4"/>
      <c r="G41" s="4"/>
      <c r="H41" s="6"/>
      <c r="I41" s="6" t="str">
        <f>iF('Ingest Template'!A41="Standard","Pristine Brand","Unknown")</f>
        <v>Unknown</v>
      </c>
      <c r="J41" s="4" t="str">
        <f>iF('Ingest Template'!A41="Standard","LF // Beverages","Competitive View")</f>
        <v>Competitive View</v>
      </c>
      <c r="K41" s="7" t="s">
        <v>35</v>
      </c>
      <c r="L41" s="8"/>
      <c r="M41" s="4"/>
      <c r="N41" s="4"/>
      <c r="O41" s="4"/>
      <c r="P41" s="4"/>
      <c r="Q41" s="4"/>
      <c r="R41" s="7" t="s">
        <v>36</v>
      </c>
      <c r="S41" s="4" t="str">
        <f>'Ingest Template'!J41</f>
        <v/>
      </c>
      <c r="T41" s="4" t="str">
        <f>'Ingest Template'!I41</f>
        <v/>
      </c>
      <c r="U41" s="4" t="str">
        <f>LOWER(SUBSTITUTE(SUBSTITUTE(SUBSTITUTE(SUBSTITUTE(SUBSTITUTE('Ingest Template'!K41,"https:",""),"www.",""),"/",""),"?hl=en",""),"instagram.com",""))</f>
        <v/>
      </c>
      <c r="V41" s="9" t="str">
        <f>'Ingest Template'!L41</f>
        <v/>
      </c>
      <c r="W41" s="9" t="str">
        <f>'Ingest Template'!M41</f>
        <v/>
      </c>
      <c r="X41" s="4" t="str">
        <f>SUBSTITUTE(SUBSTITUTE(SUBSTITUTE('Ingest Template'!N41,"http:",""),"https:",""),"/","")</f>
        <v/>
      </c>
      <c r="Y41" s="4" t="str">
        <f t="array" ref="Y41">IF('Ingest Template'!A41="Standard",(IF(ISBLANK('Ingest Template'!O41),"", 'Ingest Template'!O41&amp;"|DAR")),(IF(ISBLANK('Ingest Template'!O41),"", 'Ingest Template'!O41&amp;"|Film Ops")))</f>
        <v/>
      </c>
      <c r="Z41" s="4"/>
      <c r="AA41" s="4" t="str">
        <f>'Ingest Template'!E41</f>
        <v/>
      </c>
      <c r="AB41" s="7"/>
      <c r="AC41" s="4" t="str">
        <f t="array" ref="AC41">IF('Ingest Template'!A41="Standard",(CONCATENATE(IF(ISBLANK('Ingest Template'!F41),"", 'Ingest Template'!F41&amp;"|DAR"),CHAR(10), IF(ISBLANK('Ingest Template'!G41),"", 'Ingest Template'!G41&amp;"|DAR"),CHAR(10), IF(ISBLANK('Ingest Template'!H41),"", 'Ingest Template'!H41&amp;"|DAR"))),(CONCATENATE(IF(ISBLANK('Ingest Template'!F41),"", 'Ingest Template'!F41&amp;"|Film Ops"),CHAR(10), IF(ISBLANK('Ingest Template'!G41),"", 'Ingest Template'!G41&amp;"|Film Ops"),CHAR(10), IF(ISBLANK('Ingest Template'!H41),"", 'Ingest Template'!H41&amp;"|Film Ops"))))</f>
        <v>
</v>
      </c>
      <c r="AD41" s="4"/>
      <c r="AE41" s="4"/>
      <c r="AF41" s="10"/>
      <c r="AG41" s="4"/>
      <c r="AH41" s="4"/>
    </row>
    <row r="42">
      <c r="A42" s="4"/>
      <c r="B42" s="4" t="str">
        <f>'Ingest Template'!B42&amp;IF('Ingest Template'!A42 = "Standard", " - DAR","")</f>
        <v/>
      </c>
      <c r="C42" s="5" t="s">
        <v>34</v>
      </c>
      <c r="D42" s="5" t="str">
        <f>CONCATENATE('Ingest Template'!C42,'Ingest Template'!D42)</f>
        <v/>
      </c>
      <c r="E42" s="4"/>
      <c r="F42" s="4"/>
      <c r="G42" s="4"/>
      <c r="H42" s="6"/>
      <c r="I42" s="6" t="str">
        <f>iF('Ingest Template'!A42="Standard","Pristine Brand","Unknown")</f>
        <v>Unknown</v>
      </c>
      <c r="J42" s="4" t="str">
        <f>iF('Ingest Template'!A42="Standard","LF // Beverages","Competitive View")</f>
        <v>Competitive View</v>
      </c>
      <c r="K42" s="7" t="s">
        <v>35</v>
      </c>
      <c r="L42" s="8"/>
      <c r="M42" s="4"/>
      <c r="N42" s="4"/>
      <c r="O42" s="4"/>
      <c r="P42" s="4"/>
      <c r="Q42" s="4"/>
      <c r="R42" s="7" t="s">
        <v>36</v>
      </c>
      <c r="S42" s="4" t="str">
        <f>'Ingest Template'!J42</f>
        <v/>
      </c>
      <c r="T42" s="4" t="str">
        <f>'Ingest Template'!I42</f>
        <v/>
      </c>
      <c r="U42" s="4" t="str">
        <f>LOWER(SUBSTITUTE(SUBSTITUTE(SUBSTITUTE(SUBSTITUTE(SUBSTITUTE('Ingest Template'!K42,"https:",""),"www.",""),"/",""),"?hl=en",""),"instagram.com",""))</f>
        <v/>
      </c>
      <c r="V42" s="9" t="str">
        <f>'Ingest Template'!L42</f>
        <v/>
      </c>
      <c r="W42" s="9" t="str">
        <f>'Ingest Template'!M42</f>
        <v/>
      </c>
      <c r="X42" s="4" t="str">
        <f>SUBSTITUTE(SUBSTITUTE(SUBSTITUTE('Ingest Template'!N42,"http:",""),"https:",""),"/","")</f>
        <v/>
      </c>
      <c r="Y42" s="4" t="str">
        <f t="array" ref="Y42">IF('Ingest Template'!A42="Standard",(IF(ISBLANK('Ingest Template'!O42),"", 'Ingest Template'!O42&amp;"|DAR")),(IF(ISBLANK('Ingest Template'!O42),"", 'Ingest Template'!O42&amp;"|Film Ops")))</f>
        <v/>
      </c>
      <c r="Z42" s="4"/>
      <c r="AA42" s="4" t="str">
        <f>'Ingest Template'!E42</f>
        <v/>
      </c>
      <c r="AB42" s="7"/>
      <c r="AC42" s="4" t="str">
        <f t="array" ref="AC42">IF('Ingest Template'!A42="Standard",(CONCATENATE(IF(ISBLANK('Ingest Template'!F42),"", 'Ingest Template'!F42&amp;"|DAR"),CHAR(10), IF(ISBLANK('Ingest Template'!G42),"", 'Ingest Template'!G42&amp;"|DAR"),CHAR(10), IF(ISBLANK('Ingest Template'!H42),"", 'Ingest Template'!H42&amp;"|DAR"))),(CONCATENATE(IF(ISBLANK('Ingest Template'!F42),"", 'Ingest Template'!F42&amp;"|Film Ops"),CHAR(10), IF(ISBLANK('Ingest Template'!G42),"", 'Ingest Template'!G42&amp;"|Film Ops"),CHAR(10), IF(ISBLANK('Ingest Template'!H42),"", 'Ingest Template'!H42&amp;"|Film Ops"))))</f>
        <v>
</v>
      </c>
      <c r="AD42" s="4"/>
      <c r="AE42" s="4"/>
      <c r="AF42" s="10"/>
      <c r="AG42" s="4"/>
      <c r="AH42" s="4"/>
    </row>
    <row r="43">
      <c r="A43" s="4"/>
      <c r="B43" s="4" t="str">
        <f>'Ingest Template'!B43&amp;IF('Ingest Template'!A43 = "Standard", " - DAR","")</f>
        <v/>
      </c>
      <c r="C43" s="5" t="s">
        <v>34</v>
      </c>
      <c r="D43" s="5" t="str">
        <f>CONCATENATE('Ingest Template'!C43,'Ingest Template'!D43)</f>
        <v/>
      </c>
      <c r="E43" s="4"/>
      <c r="F43" s="4"/>
      <c r="G43" s="4"/>
      <c r="H43" s="6"/>
      <c r="I43" s="6" t="str">
        <f>iF('Ingest Template'!A43="Standard","Pristine Brand","Unknown")</f>
        <v>Unknown</v>
      </c>
      <c r="J43" s="4" t="str">
        <f>iF('Ingest Template'!A43="Standard","LF // Beverages","Competitive View")</f>
        <v>Competitive View</v>
      </c>
      <c r="K43" s="7" t="s">
        <v>35</v>
      </c>
      <c r="L43" s="8"/>
      <c r="M43" s="4"/>
      <c r="N43" s="4"/>
      <c r="O43" s="4"/>
      <c r="P43" s="4"/>
      <c r="Q43" s="4"/>
      <c r="R43" s="7" t="s">
        <v>36</v>
      </c>
      <c r="S43" s="4" t="str">
        <f>'Ingest Template'!J43</f>
        <v/>
      </c>
      <c r="T43" s="4" t="str">
        <f>'Ingest Template'!I43</f>
        <v/>
      </c>
      <c r="U43" s="4" t="str">
        <f>LOWER(SUBSTITUTE(SUBSTITUTE(SUBSTITUTE(SUBSTITUTE(SUBSTITUTE('Ingest Template'!K43,"https:",""),"www.",""),"/",""),"?hl=en",""),"instagram.com",""))</f>
        <v/>
      </c>
      <c r="V43" s="9" t="str">
        <f>'Ingest Template'!L43</f>
        <v/>
      </c>
      <c r="W43" s="9" t="str">
        <f>'Ingest Template'!M43</f>
        <v/>
      </c>
      <c r="X43" s="4" t="str">
        <f>SUBSTITUTE(SUBSTITUTE(SUBSTITUTE('Ingest Template'!N43,"http:",""),"https:",""),"/","")</f>
        <v/>
      </c>
      <c r="Y43" s="4" t="str">
        <f t="array" ref="Y43">IF('Ingest Template'!A43="Standard",(IF(ISBLANK('Ingest Template'!O43),"", 'Ingest Template'!O43&amp;"|DAR")),(IF(ISBLANK('Ingest Template'!O43),"", 'Ingest Template'!O43&amp;"|Film Ops")))</f>
        <v/>
      </c>
      <c r="Z43" s="4"/>
      <c r="AA43" s="4" t="str">
        <f>'Ingest Template'!E43</f>
        <v/>
      </c>
      <c r="AB43" s="7"/>
      <c r="AC43" s="4" t="str">
        <f t="array" ref="AC43">IF('Ingest Template'!A43="Standard",(CONCATENATE(IF(ISBLANK('Ingest Template'!F43),"", 'Ingest Template'!F43&amp;"|DAR"),CHAR(10), IF(ISBLANK('Ingest Template'!G43),"", 'Ingest Template'!G43&amp;"|DAR"),CHAR(10), IF(ISBLANK('Ingest Template'!H43),"", 'Ingest Template'!H43&amp;"|DAR"))),(CONCATENATE(IF(ISBLANK('Ingest Template'!F43),"", 'Ingest Template'!F43&amp;"|Film Ops"),CHAR(10), IF(ISBLANK('Ingest Template'!G43),"", 'Ingest Template'!G43&amp;"|Film Ops"),CHAR(10), IF(ISBLANK('Ingest Template'!H43),"", 'Ingest Template'!H43&amp;"|Film Ops"))))</f>
        <v>
</v>
      </c>
      <c r="AD43" s="4"/>
      <c r="AE43" s="4"/>
      <c r="AF43" s="10"/>
      <c r="AG43" s="4"/>
      <c r="AH43" s="4"/>
    </row>
    <row r="44">
      <c r="A44" s="4"/>
      <c r="B44" s="4" t="str">
        <f>'Ingest Template'!B44&amp;IF('Ingest Template'!A44 = "Standard", " - DAR","")</f>
        <v/>
      </c>
      <c r="C44" s="5" t="s">
        <v>34</v>
      </c>
      <c r="D44" s="5" t="str">
        <f>CONCATENATE('Ingest Template'!C44,'Ingest Template'!D44)</f>
        <v/>
      </c>
      <c r="E44" s="4"/>
      <c r="F44" s="4"/>
      <c r="G44" s="4"/>
      <c r="H44" s="6"/>
      <c r="I44" s="6" t="str">
        <f>iF('Ingest Template'!A44="Standard","Pristine Brand","Unknown")</f>
        <v>Unknown</v>
      </c>
      <c r="J44" s="4" t="str">
        <f>iF('Ingest Template'!A44="Standard","LF // Beverages","Competitive View")</f>
        <v>Competitive View</v>
      </c>
      <c r="K44" s="7" t="s">
        <v>35</v>
      </c>
      <c r="L44" s="8"/>
      <c r="M44" s="4"/>
      <c r="N44" s="4"/>
      <c r="O44" s="4"/>
      <c r="P44" s="4"/>
      <c r="Q44" s="4"/>
      <c r="R44" s="7" t="s">
        <v>36</v>
      </c>
      <c r="S44" s="4" t="str">
        <f>'Ingest Template'!J44</f>
        <v/>
      </c>
      <c r="T44" s="4" t="str">
        <f>'Ingest Template'!I44</f>
        <v/>
      </c>
      <c r="U44" s="4" t="str">
        <f>LOWER(SUBSTITUTE(SUBSTITUTE(SUBSTITUTE(SUBSTITUTE(SUBSTITUTE('Ingest Template'!K44,"https:",""),"www.",""),"/",""),"?hl=en",""),"instagram.com",""))</f>
        <v/>
      </c>
      <c r="V44" s="9" t="str">
        <f>'Ingest Template'!L44</f>
        <v/>
      </c>
      <c r="W44" s="9" t="str">
        <f>'Ingest Template'!M44</f>
        <v/>
      </c>
      <c r="X44" s="4" t="str">
        <f>SUBSTITUTE(SUBSTITUTE(SUBSTITUTE('Ingest Template'!N44,"http:",""),"https:",""),"/","")</f>
        <v/>
      </c>
      <c r="Y44" s="4" t="str">
        <f t="array" ref="Y44">IF('Ingest Template'!A44="Standard",(IF(ISBLANK('Ingest Template'!O44),"", 'Ingest Template'!O44&amp;"|DAR")),(IF(ISBLANK('Ingest Template'!O44),"", 'Ingest Template'!O44&amp;"|Film Ops")))</f>
        <v/>
      </c>
      <c r="Z44" s="4"/>
      <c r="AA44" s="4" t="str">
        <f>'Ingest Template'!E44</f>
        <v/>
      </c>
      <c r="AB44" s="7"/>
      <c r="AC44" s="4" t="str">
        <f t="array" ref="AC44">IF('Ingest Template'!A44="Standard",(CONCATENATE(IF(ISBLANK('Ingest Template'!F44),"", 'Ingest Template'!F44&amp;"|DAR"),CHAR(10), IF(ISBLANK('Ingest Template'!G44),"", 'Ingest Template'!G44&amp;"|DAR"),CHAR(10), IF(ISBLANK('Ingest Template'!H44),"", 'Ingest Template'!H44&amp;"|DAR"))),(CONCATENATE(IF(ISBLANK('Ingest Template'!F44),"", 'Ingest Template'!F44&amp;"|Film Ops"),CHAR(10), IF(ISBLANK('Ingest Template'!G44),"", 'Ingest Template'!G44&amp;"|Film Ops"),CHAR(10), IF(ISBLANK('Ingest Template'!H44),"", 'Ingest Template'!H44&amp;"|Film Ops"))))</f>
        <v>
</v>
      </c>
      <c r="AD44" s="4"/>
      <c r="AE44" s="4"/>
      <c r="AF44" s="10"/>
      <c r="AG44" s="4"/>
      <c r="AH44" s="4"/>
    </row>
    <row r="45">
      <c r="A45" s="4"/>
      <c r="B45" s="4" t="str">
        <f>'Ingest Template'!B45&amp;IF('Ingest Template'!A45 = "Standard", " - DAR","")</f>
        <v/>
      </c>
      <c r="C45" s="5" t="s">
        <v>34</v>
      </c>
      <c r="D45" s="5" t="str">
        <f>CONCATENATE('Ingest Template'!C45,'Ingest Template'!D45)</f>
        <v/>
      </c>
      <c r="E45" s="4"/>
      <c r="F45" s="4"/>
      <c r="G45" s="4"/>
      <c r="H45" s="6"/>
      <c r="I45" s="6" t="str">
        <f>iF('Ingest Template'!A45="Standard","Pristine Brand","Unknown")</f>
        <v>Unknown</v>
      </c>
      <c r="J45" s="4" t="str">
        <f>iF('Ingest Template'!A45="Standard","LF // Beverages","Competitive View")</f>
        <v>Competitive View</v>
      </c>
      <c r="K45" s="7" t="s">
        <v>35</v>
      </c>
      <c r="L45" s="8"/>
      <c r="M45" s="4"/>
      <c r="N45" s="4"/>
      <c r="O45" s="4"/>
      <c r="P45" s="4"/>
      <c r="Q45" s="4"/>
      <c r="R45" s="7" t="s">
        <v>36</v>
      </c>
      <c r="S45" s="4" t="str">
        <f>'Ingest Template'!J45</f>
        <v/>
      </c>
      <c r="T45" s="4" t="str">
        <f>'Ingest Template'!I45</f>
        <v/>
      </c>
      <c r="U45" s="4" t="str">
        <f>LOWER(SUBSTITUTE(SUBSTITUTE(SUBSTITUTE(SUBSTITUTE(SUBSTITUTE('Ingest Template'!K45,"https:",""),"www.",""),"/",""),"?hl=en",""),"instagram.com",""))</f>
        <v/>
      </c>
      <c r="V45" s="9" t="str">
        <f>'Ingest Template'!L45</f>
        <v/>
      </c>
      <c r="W45" s="9" t="str">
        <f>'Ingest Template'!M45</f>
        <v/>
      </c>
      <c r="X45" s="4" t="str">
        <f>SUBSTITUTE(SUBSTITUTE(SUBSTITUTE('Ingest Template'!N45,"http:",""),"https:",""),"/","")</f>
        <v/>
      </c>
      <c r="Y45" s="4" t="str">
        <f t="array" ref="Y45">IF('Ingest Template'!A45="Standard",(IF(ISBLANK('Ingest Template'!O45),"", 'Ingest Template'!O45&amp;"|DAR")),(IF(ISBLANK('Ingest Template'!O45),"", 'Ingest Template'!O45&amp;"|Film Ops")))</f>
        <v/>
      </c>
      <c r="Z45" s="4"/>
      <c r="AA45" s="4" t="str">
        <f>'Ingest Template'!E45</f>
        <v/>
      </c>
      <c r="AB45" s="7"/>
      <c r="AC45" s="4" t="str">
        <f t="array" ref="AC45">IF('Ingest Template'!A45="Standard",(CONCATENATE(IF(ISBLANK('Ingest Template'!F45),"", 'Ingest Template'!F45&amp;"|DAR"),CHAR(10), IF(ISBLANK('Ingest Template'!G45),"", 'Ingest Template'!G45&amp;"|DAR"),CHAR(10), IF(ISBLANK('Ingest Template'!H45),"", 'Ingest Template'!H45&amp;"|DAR"))),(CONCATENATE(IF(ISBLANK('Ingest Template'!F45),"", 'Ingest Template'!F45&amp;"|Film Ops"),CHAR(10), IF(ISBLANK('Ingest Template'!G45),"", 'Ingest Template'!G45&amp;"|Film Ops"),CHAR(10), IF(ISBLANK('Ingest Template'!H45),"", 'Ingest Template'!H45&amp;"|Film Ops"))))</f>
        <v>
</v>
      </c>
      <c r="AD45" s="4"/>
      <c r="AE45" s="4"/>
      <c r="AF45" s="10"/>
      <c r="AG45" s="4"/>
      <c r="AH45" s="4"/>
    </row>
    <row r="46">
      <c r="A46" s="4"/>
      <c r="B46" s="4" t="str">
        <f>'Ingest Template'!B46&amp;IF('Ingest Template'!A46 = "Standard", " - DAR","")</f>
        <v/>
      </c>
      <c r="C46" s="5" t="s">
        <v>34</v>
      </c>
      <c r="D46" s="5" t="str">
        <f>CONCATENATE('Ingest Template'!C46,'Ingest Template'!D46)</f>
        <v/>
      </c>
      <c r="E46" s="4"/>
      <c r="F46" s="4"/>
      <c r="G46" s="4"/>
      <c r="H46" s="6"/>
      <c r="I46" s="6" t="str">
        <f>iF('Ingest Template'!A46="Standard","Pristine Brand","Unknown")</f>
        <v>Unknown</v>
      </c>
      <c r="J46" s="4" t="str">
        <f>iF('Ingest Template'!A46="Standard","LF // Beverages","Competitive View")</f>
        <v>Competitive View</v>
      </c>
      <c r="K46" s="7" t="s">
        <v>35</v>
      </c>
      <c r="L46" s="8"/>
      <c r="M46" s="4"/>
      <c r="N46" s="4"/>
      <c r="O46" s="4"/>
      <c r="P46" s="4"/>
      <c r="Q46" s="4"/>
      <c r="R46" s="7" t="s">
        <v>36</v>
      </c>
      <c r="S46" s="4" t="str">
        <f>'Ingest Template'!J46</f>
        <v/>
      </c>
      <c r="T46" s="4" t="str">
        <f>'Ingest Template'!I46</f>
        <v/>
      </c>
      <c r="U46" s="4" t="str">
        <f>LOWER(SUBSTITUTE(SUBSTITUTE(SUBSTITUTE(SUBSTITUTE(SUBSTITUTE('Ingest Template'!K46,"https:",""),"www.",""),"/",""),"?hl=en",""),"instagram.com",""))</f>
        <v/>
      </c>
      <c r="V46" s="9" t="str">
        <f>'Ingest Template'!L46</f>
        <v/>
      </c>
      <c r="W46" s="9" t="str">
        <f>'Ingest Template'!M46</f>
        <v/>
      </c>
      <c r="X46" s="4" t="str">
        <f>SUBSTITUTE(SUBSTITUTE(SUBSTITUTE('Ingest Template'!N46,"http:",""),"https:",""),"/","")</f>
        <v/>
      </c>
      <c r="Y46" s="4" t="str">
        <f t="array" ref="Y46">IF('Ingest Template'!A46="Standard",(IF(ISBLANK('Ingest Template'!O46),"", 'Ingest Template'!O46&amp;"|DAR")),(IF(ISBLANK('Ingest Template'!O46),"", 'Ingest Template'!O46&amp;"|Film Ops")))</f>
        <v/>
      </c>
      <c r="Z46" s="4"/>
      <c r="AA46" s="4" t="str">
        <f>'Ingest Template'!E46</f>
        <v/>
      </c>
      <c r="AB46" s="7"/>
      <c r="AC46" s="4" t="str">
        <f t="array" ref="AC46">IF('Ingest Template'!A46="Standard",(CONCATENATE(IF(ISBLANK('Ingest Template'!F46),"", 'Ingest Template'!F46&amp;"|DAR"),CHAR(10), IF(ISBLANK('Ingest Template'!G46),"", 'Ingest Template'!G46&amp;"|DAR"),CHAR(10), IF(ISBLANK('Ingest Template'!H46),"", 'Ingest Template'!H46&amp;"|DAR"))),(CONCATENATE(IF(ISBLANK('Ingest Template'!F46),"", 'Ingest Template'!F46&amp;"|Film Ops"),CHAR(10), IF(ISBLANK('Ingest Template'!G46),"", 'Ingest Template'!G46&amp;"|Film Ops"),CHAR(10), IF(ISBLANK('Ingest Template'!H46),"", 'Ingest Template'!H46&amp;"|Film Ops"))))</f>
        <v>
</v>
      </c>
      <c r="AD46" s="4"/>
      <c r="AE46" s="4"/>
      <c r="AF46" s="10"/>
      <c r="AG46" s="4"/>
      <c r="AH46" s="4"/>
    </row>
    <row r="47">
      <c r="A47" s="4"/>
      <c r="B47" s="4" t="str">
        <f>'Ingest Template'!B47&amp;IF('Ingest Template'!A47 = "Standard", " - DAR","")</f>
        <v/>
      </c>
      <c r="C47" s="5" t="s">
        <v>34</v>
      </c>
      <c r="D47" s="5" t="str">
        <f>CONCATENATE('Ingest Template'!C47,'Ingest Template'!D47)</f>
        <v/>
      </c>
      <c r="E47" s="4"/>
      <c r="F47" s="4"/>
      <c r="G47" s="4"/>
      <c r="H47" s="6"/>
      <c r="I47" s="6" t="str">
        <f>iF('Ingest Template'!A47="Standard","Pristine Brand","Unknown")</f>
        <v>Unknown</v>
      </c>
      <c r="J47" s="4" t="str">
        <f>iF('Ingest Template'!A47="Standard","LF // Beverages","Competitive View")</f>
        <v>Competitive View</v>
      </c>
      <c r="K47" s="7" t="s">
        <v>35</v>
      </c>
      <c r="L47" s="8"/>
      <c r="M47" s="4"/>
      <c r="N47" s="4"/>
      <c r="O47" s="4"/>
      <c r="P47" s="4"/>
      <c r="Q47" s="4"/>
      <c r="R47" s="7" t="s">
        <v>36</v>
      </c>
      <c r="S47" s="4" t="str">
        <f>'Ingest Template'!J47</f>
        <v/>
      </c>
      <c r="T47" s="4" t="str">
        <f>'Ingest Template'!I47</f>
        <v/>
      </c>
      <c r="U47" s="4" t="str">
        <f>LOWER(SUBSTITUTE(SUBSTITUTE(SUBSTITUTE(SUBSTITUTE(SUBSTITUTE('Ingest Template'!K47,"https:",""),"www.",""),"/",""),"?hl=en",""),"instagram.com",""))</f>
        <v/>
      </c>
      <c r="V47" s="9" t="str">
        <f>'Ingest Template'!L47</f>
        <v/>
      </c>
      <c r="W47" s="9" t="str">
        <f>'Ingest Template'!M47</f>
        <v/>
      </c>
      <c r="X47" s="4" t="str">
        <f>SUBSTITUTE(SUBSTITUTE(SUBSTITUTE('Ingest Template'!N47,"http:",""),"https:",""),"/","")</f>
        <v/>
      </c>
      <c r="Y47" s="4" t="str">
        <f t="array" ref="Y47">IF('Ingest Template'!A47="Standard",(IF(ISBLANK('Ingest Template'!O47),"", 'Ingest Template'!O47&amp;"|DAR")),(IF(ISBLANK('Ingest Template'!O47),"", 'Ingest Template'!O47&amp;"|Film Ops")))</f>
        <v/>
      </c>
      <c r="Z47" s="4"/>
      <c r="AA47" s="4" t="str">
        <f>'Ingest Template'!E47</f>
        <v/>
      </c>
      <c r="AB47" s="7"/>
      <c r="AC47" s="4" t="str">
        <f t="array" ref="AC47">IF('Ingest Template'!A47="Standard",(CONCATENATE(IF(ISBLANK('Ingest Template'!F47),"", 'Ingest Template'!F47&amp;"|DAR"),CHAR(10), IF(ISBLANK('Ingest Template'!G47),"", 'Ingest Template'!G47&amp;"|DAR"),CHAR(10), IF(ISBLANK('Ingest Template'!H47),"", 'Ingest Template'!H47&amp;"|DAR"))),(CONCATENATE(IF(ISBLANK('Ingest Template'!F47),"", 'Ingest Template'!F47&amp;"|Film Ops"),CHAR(10), IF(ISBLANK('Ingest Template'!G47),"", 'Ingest Template'!G47&amp;"|Film Ops"),CHAR(10), IF(ISBLANK('Ingest Template'!H47),"", 'Ingest Template'!H47&amp;"|Film Ops"))))</f>
        <v>
</v>
      </c>
      <c r="AD47" s="4"/>
      <c r="AE47" s="4"/>
      <c r="AF47" s="10"/>
      <c r="AG47" s="4"/>
      <c r="AH47" s="4"/>
    </row>
    <row r="48">
      <c r="A48" s="4"/>
      <c r="B48" s="4" t="str">
        <f>'Ingest Template'!B48&amp;IF('Ingest Template'!A48 = "Standard", " - DAR","")</f>
        <v/>
      </c>
      <c r="C48" s="5" t="s">
        <v>34</v>
      </c>
      <c r="D48" s="5" t="str">
        <f>CONCATENATE('Ingest Template'!C48,'Ingest Template'!D48)</f>
        <v/>
      </c>
      <c r="E48" s="4"/>
      <c r="F48" s="4"/>
      <c r="G48" s="4"/>
      <c r="H48" s="6"/>
      <c r="I48" s="6" t="str">
        <f>iF('Ingest Template'!A48="Standard","Pristine Brand","Unknown")</f>
        <v>Unknown</v>
      </c>
      <c r="J48" s="4" t="str">
        <f>iF('Ingest Template'!A48="Standard","LF // Beverages","Competitive View")</f>
        <v>Competitive View</v>
      </c>
      <c r="K48" s="7" t="s">
        <v>35</v>
      </c>
      <c r="L48" s="8"/>
      <c r="M48" s="4"/>
      <c r="N48" s="4"/>
      <c r="O48" s="4"/>
      <c r="P48" s="4"/>
      <c r="Q48" s="4"/>
      <c r="R48" s="7" t="s">
        <v>36</v>
      </c>
      <c r="S48" s="4" t="str">
        <f>'Ingest Template'!J48</f>
        <v/>
      </c>
      <c r="T48" s="4" t="str">
        <f>'Ingest Template'!I48</f>
        <v/>
      </c>
      <c r="U48" s="4" t="str">
        <f>LOWER(SUBSTITUTE(SUBSTITUTE(SUBSTITUTE(SUBSTITUTE(SUBSTITUTE('Ingest Template'!K48,"https:",""),"www.",""),"/",""),"?hl=en",""),"instagram.com",""))</f>
        <v/>
      </c>
      <c r="V48" s="9" t="str">
        <f>'Ingest Template'!L48</f>
        <v/>
      </c>
      <c r="W48" s="9" t="str">
        <f>'Ingest Template'!M48</f>
        <v/>
      </c>
      <c r="X48" s="4" t="str">
        <f>SUBSTITUTE(SUBSTITUTE(SUBSTITUTE('Ingest Template'!N48,"http:",""),"https:",""),"/","")</f>
        <v/>
      </c>
      <c r="Y48" s="4" t="str">
        <f t="array" ref="Y48">IF('Ingest Template'!A48="Standard",(IF(ISBLANK('Ingest Template'!O48),"", 'Ingest Template'!O48&amp;"|DAR")),(IF(ISBLANK('Ingest Template'!O48),"", 'Ingest Template'!O48&amp;"|Film Ops")))</f>
        <v/>
      </c>
      <c r="Z48" s="4"/>
      <c r="AA48" s="4" t="str">
        <f>'Ingest Template'!E48</f>
        <v/>
      </c>
      <c r="AB48" s="7"/>
      <c r="AC48" s="4" t="str">
        <f t="array" ref="AC48">IF('Ingest Template'!A48="Standard",(CONCATENATE(IF(ISBLANK('Ingest Template'!F48),"", 'Ingest Template'!F48&amp;"|DAR"),CHAR(10), IF(ISBLANK('Ingest Template'!G48),"", 'Ingest Template'!G48&amp;"|DAR"),CHAR(10), IF(ISBLANK('Ingest Template'!H48),"", 'Ingest Template'!H48&amp;"|DAR"))),(CONCATENATE(IF(ISBLANK('Ingest Template'!F48),"", 'Ingest Template'!F48&amp;"|Film Ops"),CHAR(10), IF(ISBLANK('Ingest Template'!G48),"", 'Ingest Template'!G48&amp;"|Film Ops"),CHAR(10), IF(ISBLANK('Ingest Template'!H48),"", 'Ingest Template'!H48&amp;"|Film Ops"))))</f>
        <v>
</v>
      </c>
      <c r="AD48" s="4"/>
      <c r="AE48" s="4"/>
      <c r="AF48" s="10"/>
      <c r="AG48" s="4"/>
      <c r="AH48" s="4"/>
    </row>
    <row r="49">
      <c r="A49" s="4"/>
      <c r="B49" s="4" t="str">
        <f>'Ingest Template'!B49&amp;IF('Ingest Template'!A49 = "Standard", " - DAR","")</f>
        <v/>
      </c>
      <c r="C49" s="5" t="s">
        <v>34</v>
      </c>
      <c r="D49" s="5" t="str">
        <f>CONCATENATE('Ingest Template'!C49,'Ingest Template'!D49)</f>
        <v/>
      </c>
      <c r="E49" s="4"/>
      <c r="F49" s="4"/>
      <c r="G49" s="4"/>
      <c r="H49" s="6"/>
      <c r="I49" s="6" t="str">
        <f>iF('Ingest Template'!A49="Standard","Pristine Brand","Unknown")</f>
        <v>Unknown</v>
      </c>
      <c r="J49" s="4" t="str">
        <f>iF('Ingest Template'!A49="Standard","LF // Beverages","Competitive View")</f>
        <v>Competitive View</v>
      </c>
      <c r="K49" s="7" t="s">
        <v>35</v>
      </c>
      <c r="L49" s="8"/>
      <c r="M49" s="4"/>
      <c r="N49" s="4"/>
      <c r="O49" s="4"/>
      <c r="P49" s="4"/>
      <c r="Q49" s="4"/>
      <c r="R49" s="7" t="s">
        <v>36</v>
      </c>
      <c r="S49" s="4" t="str">
        <f>'Ingest Template'!J49</f>
        <v/>
      </c>
      <c r="T49" s="4" t="str">
        <f>'Ingest Template'!I49</f>
        <v/>
      </c>
      <c r="U49" s="4" t="str">
        <f>LOWER(SUBSTITUTE(SUBSTITUTE(SUBSTITUTE(SUBSTITUTE(SUBSTITUTE('Ingest Template'!K49,"https:",""),"www.",""),"/",""),"?hl=en",""),"instagram.com",""))</f>
        <v/>
      </c>
      <c r="V49" s="9" t="str">
        <f>'Ingest Template'!L49</f>
        <v/>
      </c>
      <c r="W49" s="9" t="str">
        <f>'Ingest Template'!M49</f>
        <v/>
      </c>
      <c r="X49" s="4" t="str">
        <f>SUBSTITUTE(SUBSTITUTE(SUBSTITUTE('Ingest Template'!N49,"http:",""),"https:",""),"/","")</f>
        <v/>
      </c>
      <c r="Y49" s="4" t="str">
        <f t="array" ref="Y49">IF('Ingest Template'!A49="Standard",(IF(ISBLANK('Ingest Template'!O49),"", 'Ingest Template'!O49&amp;"|DAR")),(IF(ISBLANK('Ingest Template'!O49),"", 'Ingest Template'!O49&amp;"|Film Ops")))</f>
        <v/>
      </c>
      <c r="Z49" s="4"/>
      <c r="AA49" s="4" t="str">
        <f>'Ingest Template'!E49</f>
        <v/>
      </c>
      <c r="AB49" s="7"/>
      <c r="AC49" s="4" t="str">
        <f t="array" ref="AC49">IF('Ingest Template'!A49="Standard",(CONCATENATE(IF(ISBLANK('Ingest Template'!F49),"", 'Ingest Template'!F49&amp;"|DAR"),CHAR(10), IF(ISBLANK('Ingest Template'!G49),"", 'Ingest Template'!G49&amp;"|DAR"),CHAR(10), IF(ISBLANK('Ingest Template'!H49),"", 'Ingest Template'!H49&amp;"|DAR"))),(CONCATENATE(IF(ISBLANK('Ingest Template'!F49),"", 'Ingest Template'!F49&amp;"|Film Ops"),CHAR(10), IF(ISBLANK('Ingest Template'!G49),"", 'Ingest Template'!G49&amp;"|Film Ops"),CHAR(10), IF(ISBLANK('Ingest Template'!H49),"", 'Ingest Template'!H49&amp;"|Film Ops"))))</f>
        <v>
</v>
      </c>
      <c r="AD49" s="4"/>
      <c r="AE49" s="4"/>
      <c r="AF49" s="10"/>
      <c r="AG49" s="4"/>
      <c r="AH49" s="4"/>
    </row>
    <row r="50">
      <c r="A50" s="4"/>
      <c r="B50" s="4" t="str">
        <f>'Ingest Template'!B50&amp;IF('Ingest Template'!A50 = "Standard", " - DAR","")</f>
        <v/>
      </c>
      <c r="C50" s="5" t="s">
        <v>34</v>
      </c>
      <c r="D50" s="5" t="str">
        <f>CONCATENATE('Ingest Template'!C50,'Ingest Template'!D50)</f>
        <v/>
      </c>
      <c r="E50" s="4"/>
      <c r="F50" s="4"/>
      <c r="G50" s="4"/>
      <c r="H50" s="6"/>
      <c r="I50" s="6" t="str">
        <f>iF('Ingest Template'!A50="Standard","Pristine Brand","Unknown")</f>
        <v>Unknown</v>
      </c>
      <c r="J50" s="4" t="str">
        <f>iF('Ingest Template'!A50="Standard","LF // Beverages","Competitive View")</f>
        <v>Competitive View</v>
      </c>
      <c r="K50" s="7" t="s">
        <v>35</v>
      </c>
      <c r="L50" s="8"/>
      <c r="M50" s="4"/>
      <c r="N50" s="4"/>
      <c r="O50" s="4"/>
      <c r="P50" s="4"/>
      <c r="Q50" s="4"/>
      <c r="R50" s="7" t="s">
        <v>36</v>
      </c>
      <c r="S50" s="4" t="str">
        <f>'Ingest Template'!J50</f>
        <v/>
      </c>
      <c r="T50" s="4" t="str">
        <f>'Ingest Template'!I50</f>
        <v/>
      </c>
      <c r="U50" s="4" t="str">
        <f>LOWER(SUBSTITUTE(SUBSTITUTE(SUBSTITUTE(SUBSTITUTE(SUBSTITUTE('Ingest Template'!K50,"https:",""),"www.",""),"/",""),"?hl=en",""),"instagram.com",""))</f>
        <v/>
      </c>
      <c r="V50" s="9" t="str">
        <f>'Ingest Template'!L50</f>
        <v/>
      </c>
      <c r="W50" s="9" t="str">
        <f>'Ingest Template'!M50</f>
        <v/>
      </c>
      <c r="X50" s="4" t="str">
        <f>SUBSTITUTE(SUBSTITUTE(SUBSTITUTE('Ingest Template'!N50,"http:",""),"https:",""),"/","")</f>
        <v/>
      </c>
      <c r="Y50" s="4" t="str">
        <f t="array" ref="Y50">IF('Ingest Template'!A50="Standard",(IF(ISBLANK('Ingest Template'!O50),"", 'Ingest Template'!O50&amp;"|DAR")),(IF(ISBLANK('Ingest Template'!O50),"", 'Ingest Template'!O50&amp;"|Film Ops")))</f>
        <v/>
      </c>
      <c r="Z50" s="4"/>
      <c r="AA50" s="4" t="str">
        <f>'Ingest Template'!E50</f>
        <v/>
      </c>
      <c r="AB50" s="7"/>
      <c r="AC50" s="4" t="str">
        <f t="array" ref="AC50">IF('Ingest Template'!A50="Standard",(CONCATENATE(IF(ISBLANK('Ingest Template'!F50),"", 'Ingest Template'!F50&amp;"|DAR"),CHAR(10), IF(ISBLANK('Ingest Template'!G50),"", 'Ingest Template'!G50&amp;"|DAR"),CHAR(10), IF(ISBLANK('Ingest Template'!H50),"", 'Ingest Template'!H50&amp;"|DAR"))),(CONCATENATE(IF(ISBLANK('Ingest Template'!F50),"", 'Ingest Template'!F50&amp;"|Film Ops"),CHAR(10), IF(ISBLANK('Ingest Template'!G50),"", 'Ingest Template'!G50&amp;"|Film Ops"),CHAR(10), IF(ISBLANK('Ingest Template'!H50),"", 'Ingest Template'!H50&amp;"|Film Ops"))))</f>
        <v>
</v>
      </c>
      <c r="AD50" s="4"/>
      <c r="AE50" s="4"/>
      <c r="AF50" s="10"/>
      <c r="AG50" s="4"/>
      <c r="AH50" s="4"/>
    </row>
    <row r="51">
      <c r="A51" s="4"/>
      <c r="B51" s="4" t="str">
        <f>'Ingest Template'!B51&amp;IF('Ingest Template'!A51 = "Standard", " - DAR","")</f>
        <v/>
      </c>
      <c r="C51" s="5" t="s">
        <v>34</v>
      </c>
      <c r="D51" s="5" t="str">
        <f>CONCATENATE('Ingest Template'!C51,'Ingest Template'!D51)</f>
        <v/>
      </c>
      <c r="E51" s="4"/>
      <c r="F51" s="4"/>
      <c r="G51" s="4"/>
      <c r="H51" s="6"/>
      <c r="I51" s="6" t="str">
        <f>iF('Ingest Template'!A51="Standard","Pristine Brand","Unknown")</f>
        <v>Unknown</v>
      </c>
      <c r="J51" s="4" t="str">
        <f>iF('Ingest Template'!A51="Standard","LF // Beverages","Competitive View")</f>
        <v>Competitive View</v>
      </c>
      <c r="K51" s="7" t="s">
        <v>35</v>
      </c>
      <c r="L51" s="8"/>
      <c r="M51" s="4"/>
      <c r="N51" s="4"/>
      <c r="O51" s="4"/>
      <c r="P51" s="4"/>
      <c r="Q51" s="4"/>
      <c r="R51" s="7" t="s">
        <v>36</v>
      </c>
      <c r="S51" s="4" t="str">
        <f>'Ingest Template'!J51</f>
        <v/>
      </c>
      <c r="T51" s="4" t="str">
        <f>'Ingest Template'!I51</f>
        <v/>
      </c>
      <c r="U51" s="4" t="str">
        <f>LOWER(SUBSTITUTE(SUBSTITUTE(SUBSTITUTE(SUBSTITUTE(SUBSTITUTE('Ingest Template'!K51,"https:",""),"www.",""),"/",""),"?hl=en",""),"instagram.com",""))</f>
        <v/>
      </c>
      <c r="V51" s="9" t="str">
        <f>'Ingest Template'!L51</f>
        <v/>
      </c>
      <c r="W51" s="9" t="str">
        <f>'Ingest Template'!M51</f>
        <v/>
      </c>
      <c r="X51" s="4" t="str">
        <f>SUBSTITUTE(SUBSTITUTE(SUBSTITUTE('Ingest Template'!N51,"http:",""),"https:",""),"/","")</f>
        <v/>
      </c>
      <c r="Y51" s="4" t="str">
        <f t="array" ref="Y51">IF('Ingest Template'!A51="Standard",(IF(ISBLANK('Ingest Template'!O51),"", 'Ingest Template'!O51&amp;"|DAR")),(IF(ISBLANK('Ingest Template'!O51),"", 'Ingest Template'!O51&amp;"|Film Ops")))</f>
        <v/>
      </c>
      <c r="Z51" s="4"/>
      <c r="AA51" s="4" t="str">
        <f>'Ingest Template'!E51</f>
        <v/>
      </c>
      <c r="AB51" s="7"/>
      <c r="AC51" s="4" t="str">
        <f t="array" ref="AC51">IF('Ingest Template'!A51="Standard",(CONCATENATE(IF(ISBLANK('Ingest Template'!F51),"", 'Ingest Template'!F51&amp;"|DAR"),CHAR(10), IF(ISBLANK('Ingest Template'!G51),"", 'Ingest Template'!G51&amp;"|DAR"),CHAR(10), IF(ISBLANK('Ingest Template'!H51),"", 'Ingest Template'!H51&amp;"|DAR"))),(CONCATENATE(IF(ISBLANK('Ingest Template'!F51),"", 'Ingest Template'!F51&amp;"|Film Ops"),CHAR(10), IF(ISBLANK('Ingest Template'!G51),"", 'Ingest Template'!G51&amp;"|Film Ops"),CHAR(10), IF(ISBLANK('Ingest Template'!H51),"", 'Ingest Template'!H51&amp;"|Film Ops"))))</f>
        <v>
</v>
      </c>
      <c r="AD51" s="4"/>
      <c r="AE51" s="4"/>
      <c r="AF51" s="10"/>
      <c r="AG51" s="4"/>
      <c r="AH51" s="4"/>
    </row>
    <row r="52">
      <c r="A52" s="4"/>
      <c r="B52" s="4" t="str">
        <f>'Ingest Template'!B52&amp;IF('Ingest Template'!A52 = "Standard", " - DAR","")</f>
        <v/>
      </c>
      <c r="C52" s="5" t="s">
        <v>34</v>
      </c>
      <c r="D52" s="5" t="str">
        <f>CONCATENATE('Ingest Template'!C52,'Ingest Template'!D52)</f>
        <v/>
      </c>
      <c r="E52" s="4"/>
      <c r="F52" s="4"/>
      <c r="G52" s="4"/>
      <c r="H52" s="6"/>
      <c r="I52" s="6" t="str">
        <f>iF('Ingest Template'!A52="Standard","Pristine Brand","Unknown")</f>
        <v>Unknown</v>
      </c>
      <c r="J52" s="4" t="str">
        <f>iF('Ingest Template'!A52="Standard","LF // Beverages","Competitive View")</f>
        <v>Competitive View</v>
      </c>
      <c r="K52" s="7" t="s">
        <v>35</v>
      </c>
      <c r="L52" s="8"/>
      <c r="M52" s="4"/>
      <c r="N52" s="4"/>
      <c r="O52" s="4"/>
      <c r="P52" s="4"/>
      <c r="Q52" s="4"/>
      <c r="R52" s="7" t="s">
        <v>36</v>
      </c>
      <c r="S52" s="4" t="str">
        <f>'Ingest Template'!J52</f>
        <v/>
      </c>
      <c r="T52" s="4" t="str">
        <f>'Ingest Template'!I52</f>
        <v/>
      </c>
      <c r="U52" s="4" t="str">
        <f>LOWER(SUBSTITUTE(SUBSTITUTE(SUBSTITUTE(SUBSTITUTE(SUBSTITUTE('Ingest Template'!K52,"https:",""),"www.",""),"/",""),"?hl=en",""),"instagram.com",""))</f>
        <v/>
      </c>
      <c r="V52" s="9" t="str">
        <f>'Ingest Template'!L52</f>
        <v/>
      </c>
      <c r="W52" s="9" t="str">
        <f>'Ingest Template'!M52</f>
        <v/>
      </c>
      <c r="X52" s="4" t="str">
        <f>SUBSTITUTE(SUBSTITUTE(SUBSTITUTE('Ingest Template'!N52,"http:",""),"https:",""),"/","")</f>
        <v/>
      </c>
      <c r="Y52" s="4" t="str">
        <f t="array" ref="Y52">IF('Ingest Template'!A52="Standard",(IF(ISBLANK('Ingest Template'!O52),"", 'Ingest Template'!O52&amp;"|DAR")),(IF(ISBLANK('Ingest Template'!O52),"", 'Ingest Template'!O52&amp;"|Film Ops")))</f>
        <v/>
      </c>
      <c r="Z52" s="4"/>
      <c r="AA52" s="4" t="str">
        <f>'Ingest Template'!E52</f>
        <v/>
      </c>
      <c r="AB52" s="7"/>
      <c r="AC52" s="4" t="str">
        <f t="array" ref="AC52">IF('Ingest Template'!A52="Standard",(CONCATENATE(IF(ISBLANK('Ingest Template'!F52),"", 'Ingest Template'!F52&amp;"|DAR"),CHAR(10), IF(ISBLANK('Ingest Template'!G52),"", 'Ingest Template'!G52&amp;"|DAR"),CHAR(10), IF(ISBLANK('Ingest Template'!H52),"", 'Ingest Template'!H52&amp;"|DAR"))),(CONCATENATE(IF(ISBLANK('Ingest Template'!F52),"", 'Ingest Template'!F52&amp;"|Film Ops"),CHAR(10), IF(ISBLANK('Ingest Template'!G52),"", 'Ingest Template'!G52&amp;"|Film Ops"),CHAR(10), IF(ISBLANK('Ingest Template'!H52),"", 'Ingest Template'!H52&amp;"|Film Ops"))))</f>
        <v>
</v>
      </c>
      <c r="AD52" s="4"/>
      <c r="AE52" s="4"/>
      <c r="AF52" s="10"/>
      <c r="AG52" s="4"/>
      <c r="AH52" s="4"/>
    </row>
    <row r="53">
      <c r="A53" s="4"/>
      <c r="B53" s="4" t="str">
        <f>'Ingest Template'!B53&amp;IF('Ingest Template'!A53 = "Standard", " - DAR","")</f>
        <v/>
      </c>
      <c r="C53" s="5" t="s">
        <v>34</v>
      </c>
      <c r="D53" s="5" t="str">
        <f>CONCATENATE('Ingest Template'!C53,'Ingest Template'!D53)</f>
        <v/>
      </c>
      <c r="E53" s="4"/>
      <c r="F53" s="4"/>
      <c r="G53" s="4"/>
      <c r="H53" s="6"/>
      <c r="I53" s="6" t="str">
        <f>iF('Ingest Template'!A53="Standard","Pristine Brand","Unknown")</f>
        <v>Unknown</v>
      </c>
      <c r="J53" s="4" t="str">
        <f>iF('Ingest Template'!A53="Standard","LF // Beverages","Competitive View")</f>
        <v>Competitive View</v>
      </c>
      <c r="K53" s="7" t="s">
        <v>35</v>
      </c>
      <c r="L53" s="8"/>
      <c r="M53" s="4"/>
      <c r="N53" s="4"/>
      <c r="O53" s="4"/>
      <c r="P53" s="4"/>
      <c r="Q53" s="4"/>
      <c r="R53" s="7" t="s">
        <v>36</v>
      </c>
      <c r="S53" s="4" t="str">
        <f>'Ingest Template'!J53</f>
        <v/>
      </c>
      <c r="T53" s="4" t="str">
        <f>'Ingest Template'!I53</f>
        <v/>
      </c>
      <c r="U53" s="4" t="str">
        <f>LOWER(SUBSTITUTE(SUBSTITUTE(SUBSTITUTE(SUBSTITUTE(SUBSTITUTE('Ingest Template'!K53,"https:",""),"www.",""),"/",""),"?hl=en",""),"instagram.com",""))</f>
        <v/>
      </c>
      <c r="V53" s="9" t="str">
        <f>'Ingest Template'!L53</f>
        <v/>
      </c>
      <c r="W53" s="9" t="str">
        <f>'Ingest Template'!M53</f>
        <v/>
      </c>
      <c r="X53" s="4" t="str">
        <f>SUBSTITUTE(SUBSTITUTE(SUBSTITUTE('Ingest Template'!N53,"http:",""),"https:",""),"/","")</f>
        <v/>
      </c>
      <c r="Y53" s="4" t="str">
        <f t="array" ref="Y53">IF('Ingest Template'!A53="Standard",(IF(ISBLANK('Ingest Template'!O53),"", 'Ingest Template'!O53&amp;"|DAR")),(IF(ISBLANK('Ingest Template'!O53),"", 'Ingest Template'!O53&amp;"|Film Ops")))</f>
        <v/>
      </c>
      <c r="Z53" s="4"/>
      <c r="AA53" s="4" t="str">
        <f>'Ingest Template'!E53</f>
        <v/>
      </c>
      <c r="AB53" s="7"/>
      <c r="AC53" s="4" t="str">
        <f t="array" ref="AC53">IF('Ingest Template'!A53="Standard",(CONCATENATE(IF(ISBLANK('Ingest Template'!F53),"", 'Ingest Template'!F53&amp;"|DAR"),CHAR(10), IF(ISBLANK('Ingest Template'!G53),"", 'Ingest Template'!G53&amp;"|DAR"),CHAR(10), IF(ISBLANK('Ingest Template'!H53),"", 'Ingest Template'!H53&amp;"|DAR"))),(CONCATENATE(IF(ISBLANK('Ingest Template'!F53),"", 'Ingest Template'!F53&amp;"|Film Ops"),CHAR(10), IF(ISBLANK('Ingest Template'!G53),"", 'Ingest Template'!G53&amp;"|Film Ops"),CHAR(10), IF(ISBLANK('Ingest Template'!H53),"", 'Ingest Template'!H53&amp;"|Film Ops"))))</f>
        <v>
</v>
      </c>
      <c r="AD53" s="4"/>
      <c r="AE53" s="4"/>
      <c r="AF53" s="10"/>
      <c r="AG53" s="4"/>
      <c r="AH53" s="4"/>
    </row>
    <row r="54">
      <c r="A54" s="4"/>
      <c r="B54" s="4" t="str">
        <f>'Ingest Template'!B54&amp;IF('Ingest Template'!A54 = "Standard", " - DAR","")</f>
        <v/>
      </c>
      <c r="C54" s="5" t="s">
        <v>34</v>
      </c>
      <c r="D54" s="5" t="str">
        <f>CONCATENATE('Ingest Template'!C54,'Ingest Template'!D54)</f>
        <v/>
      </c>
      <c r="E54" s="4"/>
      <c r="F54" s="4"/>
      <c r="G54" s="4"/>
      <c r="H54" s="6"/>
      <c r="I54" s="6" t="str">
        <f>iF('Ingest Template'!A54="Standard","Pristine Brand","Unknown")</f>
        <v>Unknown</v>
      </c>
      <c r="J54" s="4" t="str">
        <f>iF('Ingest Template'!A54="Standard","LF // Beverages","Competitive View")</f>
        <v>Competitive View</v>
      </c>
      <c r="K54" s="7" t="s">
        <v>35</v>
      </c>
      <c r="L54" s="8"/>
      <c r="M54" s="4"/>
      <c r="N54" s="4"/>
      <c r="O54" s="4"/>
      <c r="P54" s="4"/>
      <c r="Q54" s="4"/>
      <c r="R54" s="7" t="s">
        <v>36</v>
      </c>
      <c r="S54" s="4" t="str">
        <f>'Ingest Template'!J54</f>
        <v/>
      </c>
      <c r="T54" s="4" t="str">
        <f>'Ingest Template'!I54</f>
        <v/>
      </c>
      <c r="U54" s="4" t="str">
        <f>LOWER(SUBSTITUTE(SUBSTITUTE(SUBSTITUTE(SUBSTITUTE(SUBSTITUTE('Ingest Template'!K54,"https:",""),"www.",""),"/",""),"?hl=en",""),"instagram.com",""))</f>
        <v/>
      </c>
      <c r="V54" s="9" t="str">
        <f>'Ingest Template'!L54</f>
        <v/>
      </c>
      <c r="W54" s="9" t="str">
        <f>'Ingest Template'!M54</f>
        <v/>
      </c>
      <c r="X54" s="4" t="str">
        <f>SUBSTITUTE(SUBSTITUTE(SUBSTITUTE('Ingest Template'!N54,"http:",""),"https:",""),"/","")</f>
        <v/>
      </c>
      <c r="Y54" s="4" t="str">
        <f t="array" ref="Y54">IF('Ingest Template'!A54="Standard",(IF(ISBLANK('Ingest Template'!O54),"", 'Ingest Template'!O54&amp;"|DAR")),(IF(ISBLANK('Ingest Template'!O54),"", 'Ingest Template'!O54&amp;"|Film Ops")))</f>
        <v/>
      </c>
      <c r="Z54" s="4"/>
      <c r="AA54" s="4" t="str">
        <f>'Ingest Template'!E54</f>
        <v/>
      </c>
      <c r="AB54" s="7"/>
      <c r="AC54" s="4" t="str">
        <f t="array" ref="AC54">IF('Ingest Template'!A54="Standard",(CONCATENATE(IF(ISBLANK('Ingest Template'!F54),"", 'Ingest Template'!F54&amp;"|DAR"),CHAR(10), IF(ISBLANK('Ingest Template'!G54),"", 'Ingest Template'!G54&amp;"|DAR"),CHAR(10), IF(ISBLANK('Ingest Template'!H54),"", 'Ingest Template'!H54&amp;"|DAR"))),(CONCATENATE(IF(ISBLANK('Ingest Template'!F54),"", 'Ingest Template'!F54&amp;"|Film Ops"),CHAR(10), IF(ISBLANK('Ingest Template'!G54),"", 'Ingest Template'!G54&amp;"|Film Ops"),CHAR(10), IF(ISBLANK('Ingest Template'!H54),"", 'Ingest Template'!H54&amp;"|Film Ops"))))</f>
        <v>
</v>
      </c>
      <c r="AD54" s="4"/>
      <c r="AE54" s="4"/>
      <c r="AF54" s="10"/>
      <c r="AG54" s="4"/>
      <c r="AH54" s="4"/>
    </row>
    <row r="55">
      <c r="A55" s="4"/>
      <c r="B55" s="4" t="str">
        <f>'Ingest Template'!B55&amp;IF('Ingest Template'!A55 = "Standard", " - DAR","")</f>
        <v/>
      </c>
      <c r="C55" s="5" t="s">
        <v>34</v>
      </c>
      <c r="D55" s="5" t="str">
        <f>CONCATENATE('Ingest Template'!C55,'Ingest Template'!D55)</f>
        <v/>
      </c>
      <c r="E55" s="4"/>
      <c r="F55" s="4"/>
      <c r="G55" s="4"/>
      <c r="H55" s="6"/>
      <c r="I55" s="6" t="str">
        <f>iF('Ingest Template'!A55="Standard","Pristine Brand","Unknown")</f>
        <v>Unknown</v>
      </c>
      <c r="J55" s="4" t="str">
        <f>iF('Ingest Template'!A55="Standard","LF // Beverages","Competitive View")</f>
        <v>Competitive View</v>
      </c>
      <c r="K55" s="7" t="s">
        <v>35</v>
      </c>
      <c r="L55" s="8"/>
      <c r="M55" s="4"/>
      <c r="N55" s="4"/>
      <c r="O55" s="4"/>
      <c r="P55" s="4"/>
      <c r="Q55" s="4"/>
      <c r="R55" s="7" t="s">
        <v>36</v>
      </c>
      <c r="S55" s="4" t="str">
        <f>'Ingest Template'!J55</f>
        <v/>
      </c>
      <c r="T55" s="4" t="str">
        <f>'Ingest Template'!I55</f>
        <v/>
      </c>
      <c r="U55" s="4" t="str">
        <f>LOWER(SUBSTITUTE(SUBSTITUTE(SUBSTITUTE(SUBSTITUTE(SUBSTITUTE('Ingest Template'!K55,"https:",""),"www.",""),"/",""),"?hl=en",""),"instagram.com",""))</f>
        <v/>
      </c>
      <c r="V55" s="9" t="str">
        <f>'Ingest Template'!L55</f>
        <v/>
      </c>
      <c r="W55" s="9" t="str">
        <f>'Ingest Template'!M55</f>
        <v/>
      </c>
      <c r="X55" s="4" t="str">
        <f>SUBSTITUTE(SUBSTITUTE(SUBSTITUTE('Ingest Template'!N55,"http:",""),"https:",""),"/","")</f>
        <v/>
      </c>
      <c r="Y55" s="4" t="str">
        <f t="array" ref="Y55">IF('Ingest Template'!A55="Standard",(IF(ISBLANK('Ingest Template'!O55),"", 'Ingest Template'!O55&amp;"|DAR")),(IF(ISBLANK('Ingest Template'!O55),"", 'Ingest Template'!O55&amp;"|Film Ops")))</f>
        <v/>
      </c>
      <c r="Z55" s="4"/>
      <c r="AA55" s="4" t="str">
        <f>'Ingest Template'!E55</f>
        <v/>
      </c>
      <c r="AB55" s="7"/>
      <c r="AC55" s="4" t="str">
        <f t="array" ref="AC55">IF('Ingest Template'!A55="Standard",(CONCATENATE(IF(ISBLANK('Ingest Template'!F55),"", 'Ingest Template'!F55&amp;"|DAR"),CHAR(10), IF(ISBLANK('Ingest Template'!G55),"", 'Ingest Template'!G55&amp;"|DAR"),CHAR(10), IF(ISBLANK('Ingest Template'!H55),"", 'Ingest Template'!H55&amp;"|DAR"))),(CONCATENATE(IF(ISBLANK('Ingest Template'!F55),"", 'Ingest Template'!F55&amp;"|Film Ops"),CHAR(10), IF(ISBLANK('Ingest Template'!G55),"", 'Ingest Template'!G55&amp;"|Film Ops"),CHAR(10), IF(ISBLANK('Ingest Template'!H55),"", 'Ingest Template'!H55&amp;"|Film Ops"))))</f>
        <v>
</v>
      </c>
      <c r="AD55" s="4"/>
      <c r="AE55" s="4"/>
      <c r="AF55" s="10"/>
      <c r="AG55" s="4"/>
      <c r="AH55" s="4"/>
    </row>
    <row r="56">
      <c r="A56" s="4"/>
      <c r="B56" s="4" t="str">
        <f>'Ingest Template'!B56&amp;IF('Ingest Template'!A56 = "Standard", " - DAR","")</f>
        <v/>
      </c>
      <c r="C56" s="5" t="s">
        <v>34</v>
      </c>
      <c r="D56" s="5" t="str">
        <f>CONCATENATE('Ingest Template'!C56,'Ingest Template'!D56)</f>
        <v/>
      </c>
      <c r="E56" s="4"/>
      <c r="F56" s="4"/>
      <c r="G56" s="4"/>
      <c r="H56" s="6"/>
      <c r="I56" s="6" t="str">
        <f>iF('Ingest Template'!A56="Standard","Pristine Brand","Unknown")</f>
        <v>Unknown</v>
      </c>
      <c r="J56" s="4" t="str">
        <f>iF('Ingest Template'!A56="Standard","LF // Beverages","Competitive View")</f>
        <v>Competitive View</v>
      </c>
      <c r="K56" s="7" t="s">
        <v>35</v>
      </c>
      <c r="L56" s="8"/>
      <c r="M56" s="4"/>
      <c r="N56" s="4"/>
      <c r="O56" s="4"/>
      <c r="P56" s="4"/>
      <c r="Q56" s="4"/>
      <c r="R56" s="7" t="s">
        <v>36</v>
      </c>
      <c r="S56" s="4" t="str">
        <f>'Ingest Template'!J56</f>
        <v/>
      </c>
      <c r="T56" s="4" t="str">
        <f>'Ingest Template'!I56</f>
        <v/>
      </c>
      <c r="U56" s="4" t="str">
        <f>LOWER(SUBSTITUTE(SUBSTITUTE(SUBSTITUTE(SUBSTITUTE(SUBSTITUTE('Ingest Template'!K56,"https:",""),"www.",""),"/",""),"?hl=en",""),"instagram.com",""))</f>
        <v/>
      </c>
      <c r="V56" s="9" t="str">
        <f>'Ingest Template'!L56</f>
        <v/>
      </c>
      <c r="W56" s="9" t="str">
        <f>'Ingest Template'!M56</f>
        <v/>
      </c>
      <c r="X56" s="4" t="str">
        <f>SUBSTITUTE(SUBSTITUTE(SUBSTITUTE('Ingest Template'!N56,"http:",""),"https:",""),"/","")</f>
        <v/>
      </c>
      <c r="Y56" s="4" t="str">
        <f t="array" ref="Y56">IF('Ingest Template'!A56="Standard",(IF(ISBLANK('Ingest Template'!O56),"", 'Ingest Template'!O56&amp;"|DAR")),(IF(ISBLANK('Ingest Template'!O56),"", 'Ingest Template'!O56&amp;"|Film Ops")))</f>
        <v/>
      </c>
      <c r="Z56" s="4"/>
      <c r="AA56" s="4" t="str">
        <f>'Ingest Template'!E56</f>
        <v/>
      </c>
      <c r="AB56" s="7"/>
      <c r="AC56" s="4" t="str">
        <f t="array" ref="AC56">IF('Ingest Template'!A56="Standard",(CONCATENATE(IF(ISBLANK('Ingest Template'!F56),"", 'Ingest Template'!F56&amp;"|DAR"),CHAR(10), IF(ISBLANK('Ingest Template'!G56),"", 'Ingest Template'!G56&amp;"|DAR"),CHAR(10), IF(ISBLANK('Ingest Template'!H56),"", 'Ingest Template'!H56&amp;"|DAR"))),(CONCATENATE(IF(ISBLANK('Ingest Template'!F56),"", 'Ingest Template'!F56&amp;"|Film Ops"),CHAR(10), IF(ISBLANK('Ingest Template'!G56),"", 'Ingest Template'!G56&amp;"|Film Ops"),CHAR(10), IF(ISBLANK('Ingest Template'!H56),"", 'Ingest Template'!H56&amp;"|Film Ops"))))</f>
        <v>
</v>
      </c>
      <c r="AD56" s="4"/>
      <c r="AE56" s="4"/>
      <c r="AF56" s="10"/>
      <c r="AG56" s="4"/>
      <c r="AH56" s="4"/>
    </row>
    <row r="57">
      <c r="A57" s="4"/>
      <c r="B57" s="4" t="str">
        <f>'Ingest Template'!B57&amp;IF('Ingest Template'!A57 = "Standard", " - DAR","")</f>
        <v/>
      </c>
      <c r="C57" s="5" t="s">
        <v>34</v>
      </c>
      <c r="D57" s="5" t="str">
        <f>CONCATENATE('Ingest Template'!C57,'Ingest Template'!D57)</f>
        <v/>
      </c>
      <c r="E57" s="4"/>
      <c r="F57" s="4"/>
      <c r="G57" s="4"/>
      <c r="H57" s="6"/>
      <c r="I57" s="6" t="str">
        <f>iF('Ingest Template'!A57="Standard","Pristine Brand","Unknown")</f>
        <v>Unknown</v>
      </c>
      <c r="J57" s="4" t="str">
        <f>iF('Ingest Template'!A57="Standard","LF // Beverages","Competitive View")</f>
        <v>Competitive View</v>
      </c>
      <c r="K57" s="7" t="s">
        <v>35</v>
      </c>
      <c r="L57" s="8"/>
      <c r="M57" s="4"/>
      <c r="N57" s="4"/>
      <c r="O57" s="4"/>
      <c r="P57" s="4"/>
      <c r="Q57" s="4"/>
      <c r="R57" s="7" t="s">
        <v>36</v>
      </c>
      <c r="S57" s="4" t="str">
        <f>'Ingest Template'!J57</f>
        <v/>
      </c>
      <c r="T57" s="4" t="str">
        <f>'Ingest Template'!I57</f>
        <v/>
      </c>
      <c r="U57" s="4" t="str">
        <f>LOWER(SUBSTITUTE(SUBSTITUTE(SUBSTITUTE(SUBSTITUTE(SUBSTITUTE('Ingest Template'!K57,"https:",""),"www.",""),"/",""),"?hl=en",""),"instagram.com",""))</f>
        <v/>
      </c>
      <c r="V57" s="9" t="str">
        <f>'Ingest Template'!L57</f>
        <v/>
      </c>
      <c r="W57" s="9" t="str">
        <f>'Ingest Template'!M57</f>
        <v/>
      </c>
      <c r="X57" s="4" t="str">
        <f>SUBSTITUTE(SUBSTITUTE(SUBSTITUTE('Ingest Template'!N57,"http:",""),"https:",""),"/","")</f>
        <v/>
      </c>
      <c r="Y57" s="4" t="str">
        <f t="array" ref="Y57">IF('Ingest Template'!A57="Standard",(IF(ISBLANK('Ingest Template'!O57),"", 'Ingest Template'!O57&amp;"|DAR")),(IF(ISBLANK('Ingest Template'!O57),"", 'Ingest Template'!O57&amp;"|Film Ops")))</f>
        <v/>
      </c>
      <c r="Z57" s="4"/>
      <c r="AA57" s="4" t="str">
        <f>'Ingest Template'!E57</f>
        <v/>
      </c>
      <c r="AB57" s="7"/>
      <c r="AC57" s="4" t="str">
        <f t="array" ref="AC57">IF('Ingest Template'!A57="Standard",(CONCATENATE(IF(ISBLANK('Ingest Template'!F57),"", 'Ingest Template'!F57&amp;"|DAR"),CHAR(10), IF(ISBLANK('Ingest Template'!G57),"", 'Ingest Template'!G57&amp;"|DAR"),CHAR(10), IF(ISBLANK('Ingest Template'!H57),"", 'Ingest Template'!H57&amp;"|DAR"))),(CONCATENATE(IF(ISBLANK('Ingest Template'!F57),"", 'Ingest Template'!F57&amp;"|Film Ops"),CHAR(10), IF(ISBLANK('Ingest Template'!G57),"", 'Ingest Template'!G57&amp;"|Film Ops"),CHAR(10), IF(ISBLANK('Ingest Template'!H57),"", 'Ingest Template'!H57&amp;"|Film Ops"))))</f>
        <v>
</v>
      </c>
      <c r="AD57" s="4"/>
      <c r="AE57" s="4"/>
      <c r="AF57" s="10"/>
      <c r="AG57" s="4"/>
      <c r="AH57" s="4"/>
    </row>
    <row r="58">
      <c r="A58" s="4"/>
      <c r="B58" s="4" t="str">
        <f>'Ingest Template'!B58&amp;IF('Ingest Template'!A58 = "Standard", " - DAR","")</f>
        <v/>
      </c>
      <c r="C58" s="5" t="s">
        <v>34</v>
      </c>
      <c r="D58" s="5" t="str">
        <f>CONCATENATE('Ingest Template'!C58,'Ingest Template'!D58)</f>
        <v/>
      </c>
      <c r="E58" s="4"/>
      <c r="F58" s="4"/>
      <c r="G58" s="4"/>
      <c r="H58" s="6"/>
      <c r="I58" s="6" t="str">
        <f>iF('Ingest Template'!A58="Standard","Pristine Brand","Unknown")</f>
        <v>Unknown</v>
      </c>
      <c r="J58" s="4" t="str">
        <f>iF('Ingest Template'!A58="Standard","LF // Beverages","Competitive View")</f>
        <v>Competitive View</v>
      </c>
      <c r="K58" s="7" t="s">
        <v>35</v>
      </c>
      <c r="L58" s="8"/>
      <c r="M58" s="4"/>
      <c r="N58" s="4"/>
      <c r="O58" s="4"/>
      <c r="P58" s="4"/>
      <c r="Q58" s="4"/>
      <c r="R58" s="7" t="s">
        <v>36</v>
      </c>
      <c r="S58" s="4" t="str">
        <f>'Ingest Template'!J58</f>
        <v/>
      </c>
      <c r="T58" s="4" t="str">
        <f>'Ingest Template'!I58</f>
        <v/>
      </c>
      <c r="U58" s="4" t="str">
        <f>LOWER(SUBSTITUTE(SUBSTITUTE(SUBSTITUTE(SUBSTITUTE(SUBSTITUTE('Ingest Template'!K58,"https:",""),"www.",""),"/",""),"?hl=en",""),"instagram.com",""))</f>
        <v/>
      </c>
      <c r="V58" s="9" t="str">
        <f>'Ingest Template'!L58</f>
        <v/>
      </c>
      <c r="W58" s="9" t="str">
        <f>'Ingest Template'!M58</f>
        <v/>
      </c>
      <c r="X58" s="4" t="str">
        <f>SUBSTITUTE(SUBSTITUTE(SUBSTITUTE('Ingest Template'!N58,"http:",""),"https:",""),"/","")</f>
        <v/>
      </c>
      <c r="Y58" s="4" t="str">
        <f t="array" ref="Y58">IF('Ingest Template'!A58="Standard",(IF(ISBLANK('Ingest Template'!O58),"", 'Ingest Template'!O58&amp;"|DAR")),(IF(ISBLANK('Ingest Template'!O58),"", 'Ingest Template'!O58&amp;"|Film Ops")))</f>
        <v/>
      </c>
      <c r="Z58" s="4"/>
      <c r="AA58" s="4" t="str">
        <f>'Ingest Template'!E58</f>
        <v/>
      </c>
      <c r="AB58" s="7"/>
      <c r="AC58" s="4" t="str">
        <f t="array" ref="AC58">IF('Ingest Template'!A58="Standard",(CONCATENATE(IF(ISBLANK('Ingest Template'!F58),"", 'Ingest Template'!F58&amp;"|DAR"),CHAR(10), IF(ISBLANK('Ingest Template'!G58),"", 'Ingest Template'!G58&amp;"|DAR"),CHAR(10), IF(ISBLANK('Ingest Template'!H58),"", 'Ingest Template'!H58&amp;"|DAR"))),(CONCATENATE(IF(ISBLANK('Ingest Template'!F58),"", 'Ingest Template'!F58&amp;"|Film Ops"),CHAR(10), IF(ISBLANK('Ingest Template'!G58),"", 'Ingest Template'!G58&amp;"|Film Ops"),CHAR(10), IF(ISBLANK('Ingest Template'!H58),"", 'Ingest Template'!H58&amp;"|Film Ops"))))</f>
        <v>
</v>
      </c>
      <c r="AD58" s="4"/>
      <c r="AE58" s="4"/>
      <c r="AF58" s="10"/>
      <c r="AG58" s="4"/>
      <c r="AH58" s="4"/>
    </row>
    <row r="59">
      <c r="A59" s="4"/>
      <c r="B59" s="4" t="str">
        <f>'Ingest Template'!B59&amp;IF('Ingest Template'!A59 = "Standard", " - DAR","")</f>
        <v/>
      </c>
      <c r="C59" s="5" t="s">
        <v>34</v>
      </c>
      <c r="D59" s="5" t="str">
        <f>CONCATENATE('Ingest Template'!C59,'Ingest Template'!D59)</f>
        <v/>
      </c>
      <c r="E59" s="4"/>
      <c r="F59" s="4"/>
      <c r="G59" s="4"/>
      <c r="H59" s="6"/>
      <c r="I59" s="6" t="str">
        <f>iF('Ingest Template'!A59="Standard","Pristine Brand","Unknown")</f>
        <v>Unknown</v>
      </c>
      <c r="J59" s="4" t="str">
        <f>iF('Ingest Template'!A59="Standard","LF // Beverages","Competitive View")</f>
        <v>Competitive View</v>
      </c>
      <c r="K59" s="7" t="s">
        <v>35</v>
      </c>
      <c r="L59" s="8"/>
      <c r="M59" s="4"/>
      <c r="N59" s="4"/>
      <c r="O59" s="4"/>
      <c r="P59" s="4"/>
      <c r="Q59" s="4"/>
      <c r="R59" s="7" t="s">
        <v>36</v>
      </c>
      <c r="S59" s="4" t="str">
        <f>'Ingest Template'!J59</f>
        <v/>
      </c>
      <c r="T59" s="4" t="str">
        <f>'Ingest Template'!I59</f>
        <v/>
      </c>
      <c r="U59" s="4" t="str">
        <f>LOWER(SUBSTITUTE(SUBSTITUTE(SUBSTITUTE(SUBSTITUTE(SUBSTITUTE('Ingest Template'!K59,"https:",""),"www.",""),"/",""),"?hl=en",""),"instagram.com",""))</f>
        <v/>
      </c>
      <c r="V59" s="9" t="str">
        <f>'Ingest Template'!L59</f>
        <v/>
      </c>
      <c r="W59" s="9" t="str">
        <f>'Ingest Template'!M59</f>
        <v/>
      </c>
      <c r="X59" s="4" t="str">
        <f>SUBSTITUTE(SUBSTITUTE(SUBSTITUTE('Ingest Template'!N59,"http:",""),"https:",""),"/","")</f>
        <v/>
      </c>
      <c r="Y59" s="4" t="str">
        <f t="array" ref="Y59">IF('Ingest Template'!A59="Standard",(IF(ISBLANK('Ingest Template'!O59),"", 'Ingest Template'!O59&amp;"|DAR")),(IF(ISBLANK('Ingest Template'!O59),"", 'Ingest Template'!O59&amp;"|Film Ops")))</f>
        <v/>
      </c>
      <c r="Z59" s="4"/>
      <c r="AA59" s="4" t="str">
        <f>'Ingest Template'!E59</f>
        <v/>
      </c>
      <c r="AB59" s="7"/>
      <c r="AC59" s="4" t="str">
        <f t="array" ref="AC59">IF('Ingest Template'!A59="Standard",(CONCATENATE(IF(ISBLANK('Ingest Template'!F59),"", 'Ingest Template'!F59&amp;"|DAR"),CHAR(10), IF(ISBLANK('Ingest Template'!G59),"", 'Ingest Template'!G59&amp;"|DAR"),CHAR(10), IF(ISBLANK('Ingest Template'!H59),"", 'Ingest Template'!H59&amp;"|DAR"))),(CONCATENATE(IF(ISBLANK('Ingest Template'!F59),"", 'Ingest Template'!F59&amp;"|Film Ops"),CHAR(10), IF(ISBLANK('Ingest Template'!G59),"", 'Ingest Template'!G59&amp;"|Film Ops"),CHAR(10), IF(ISBLANK('Ingest Template'!H59),"", 'Ingest Template'!H59&amp;"|Film Ops"))))</f>
        <v>
</v>
      </c>
      <c r="AD59" s="4"/>
      <c r="AE59" s="4"/>
      <c r="AF59" s="10"/>
      <c r="AG59" s="4"/>
      <c r="AH59" s="4"/>
    </row>
    <row r="60">
      <c r="A60" s="4"/>
      <c r="B60" s="4" t="str">
        <f>'Ingest Template'!B60&amp;IF('Ingest Template'!A60 = "Standard", " - DAR","")</f>
        <v/>
      </c>
      <c r="C60" s="5" t="s">
        <v>34</v>
      </c>
      <c r="D60" s="5" t="str">
        <f>CONCATENATE('Ingest Template'!C60,'Ingest Template'!D60)</f>
        <v/>
      </c>
      <c r="E60" s="4"/>
      <c r="F60" s="4"/>
      <c r="G60" s="4"/>
      <c r="H60" s="6"/>
      <c r="I60" s="6" t="str">
        <f>iF('Ingest Template'!A60="Standard","Pristine Brand","Unknown")</f>
        <v>Unknown</v>
      </c>
      <c r="J60" s="4" t="str">
        <f>iF('Ingest Template'!A60="Standard","LF // Beverages","Competitive View")</f>
        <v>Competitive View</v>
      </c>
      <c r="K60" s="7" t="s">
        <v>35</v>
      </c>
      <c r="L60" s="8"/>
      <c r="M60" s="4"/>
      <c r="N60" s="4"/>
      <c r="O60" s="4"/>
      <c r="P60" s="4"/>
      <c r="Q60" s="4"/>
      <c r="R60" s="7" t="s">
        <v>36</v>
      </c>
      <c r="S60" s="4" t="str">
        <f>'Ingest Template'!J60</f>
        <v/>
      </c>
      <c r="T60" s="4" t="str">
        <f>'Ingest Template'!I60</f>
        <v/>
      </c>
      <c r="U60" s="4" t="str">
        <f>LOWER(SUBSTITUTE(SUBSTITUTE(SUBSTITUTE(SUBSTITUTE(SUBSTITUTE('Ingest Template'!K60,"https:",""),"www.",""),"/",""),"?hl=en",""),"instagram.com",""))</f>
        <v/>
      </c>
      <c r="V60" s="9" t="str">
        <f>'Ingest Template'!L60</f>
        <v/>
      </c>
      <c r="W60" s="9" t="str">
        <f>'Ingest Template'!M60</f>
        <v/>
      </c>
      <c r="X60" s="4" t="str">
        <f>SUBSTITUTE(SUBSTITUTE(SUBSTITUTE('Ingest Template'!N60,"http:",""),"https:",""),"/","")</f>
        <v/>
      </c>
      <c r="Y60" s="4" t="str">
        <f t="array" ref="Y60">IF('Ingest Template'!A60="Standard",(IF(ISBLANK('Ingest Template'!O60),"", 'Ingest Template'!O60&amp;"|DAR")),(IF(ISBLANK('Ingest Template'!O60),"", 'Ingest Template'!O60&amp;"|Film Ops")))</f>
        <v/>
      </c>
      <c r="Z60" s="4"/>
      <c r="AA60" s="4" t="str">
        <f>'Ingest Template'!E60</f>
        <v/>
      </c>
      <c r="AB60" s="7"/>
      <c r="AC60" s="4" t="str">
        <f t="array" ref="AC60">IF('Ingest Template'!A60="Standard",(CONCATENATE(IF(ISBLANK('Ingest Template'!F60),"", 'Ingest Template'!F60&amp;"|DAR"),CHAR(10), IF(ISBLANK('Ingest Template'!G60),"", 'Ingest Template'!G60&amp;"|DAR"),CHAR(10), IF(ISBLANK('Ingest Template'!H60),"", 'Ingest Template'!H60&amp;"|DAR"))),(CONCATENATE(IF(ISBLANK('Ingest Template'!F60),"", 'Ingest Template'!F60&amp;"|Film Ops"),CHAR(10), IF(ISBLANK('Ingest Template'!G60),"", 'Ingest Template'!G60&amp;"|Film Ops"),CHAR(10), IF(ISBLANK('Ingest Template'!H60),"", 'Ingest Template'!H60&amp;"|Film Ops"))))</f>
        <v>
</v>
      </c>
      <c r="AD60" s="4"/>
      <c r="AE60" s="4"/>
      <c r="AF60" s="10"/>
      <c r="AG60" s="4"/>
      <c r="AH60" s="4"/>
    </row>
    <row r="61">
      <c r="A61" s="4"/>
      <c r="B61" s="4" t="str">
        <f>'Ingest Template'!B61&amp;IF('Ingest Template'!A61 = "Standard", " - DAR","")</f>
        <v/>
      </c>
      <c r="C61" s="5" t="s">
        <v>34</v>
      </c>
      <c r="D61" s="5" t="str">
        <f>CONCATENATE('Ingest Template'!C61,'Ingest Template'!D61)</f>
        <v/>
      </c>
      <c r="E61" s="4"/>
      <c r="F61" s="4"/>
      <c r="G61" s="4"/>
      <c r="H61" s="6"/>
      <c r="I61" s="6" t="str">
        <f>iF('Ingest Template'!A61="Standard","Pristine Brand","Unknown")</f>
        <v>Unknown</v>
      </c>
      <c r="J61" s="4" t="str">
        <f>iF('Ingest Template'!A61="Standard","LF // Beverages","Competitive View")</f>
        <v>Competitive View</v>
      </c>
      <c r="K61" s="7" t="s">
        <v>35</v>
      </c>
      <c r="L61" s="8"/>
      <c r="M61" s="4"/>
      <c r="N61" s="4"/>
      <c r="O61" s="4"/>
      <c r="P61" s="4"/>
      <c r="Q61" s="4"/>
      <c r="R61" s="7" t="s">
        <v>36</v>
      </c>
      <c r="S61" s="4" t="str">
        <f>'Ingest Template'!J61</f>
        <v/>
      </c>
      <c r="T61" s="4" t="str">
        <f>'Ingest Template'!I61</f>
        <v/>
      </c>
      <c r="U61" s="4" t="str">
        <f>LOWER(SUBSTITUTE(SUBSTITUTE(SUBSTITUTE(SUBSTITUTE(SUBSTITUTE('Ingest Template'!K61,"https:",""),"www.",""),"/",""),"?hl=en",""),"instagram.com",""))</f>
        <v/>
      </c>
      <c r="V61" s="9" t="str">
        <f>'Ingest Template'!L61</f>
        <v/>
      </c>
      <c r="W61" s="9" t="str">
        <f>'Ingest Template'!M61</f>
        <v/>
      </c>
      <c r="X61" s="4" t="str">
        <f>SUBSTITUTE(SUBSTITUTE(SUBSTITUTE('Ingest Template'!N61,"http:",""),"https:",""),"/","")</f>
        <v/>
      </c>
      <c r="Y61" s="4" t="str">
        <f t="array" ref="Y61">IF('Ingest Template'!A61="Standard",(IF(ISBLANK('Ingest Template'!O61),"", 'Ingest Template'!O61&amp;"|DAR")),(IF(ISBLANK('Ingest Template'!O61),"", 'Ingest Template'!O61&amp;"|Film Ops")))</f>
        <v/>
      </c>
      <c r="Z61" s="4"/>
      <c r="AA61" s="4" t="str">
        <f>'Ingest Template'!E61</f>
        <v/>
      </c>
      <c r="AB61" s="7"/>
      <c r="AC61" s="4" t="str">
        <f t="array" ref="AC61">IF('Ingest Template'!A61="Standard",(CONCATENATE(IF(ISBLANK('Ingest Template'!F61),"", 'Ingest Template'!F61&amp;"|DAR"),CHAR(10), IF(ISBLANK('Ingest Template'!G61),"", 'Ingest Template'!G61&amp;"|DAR"),CHAR(10), IF(ISBLANK('Ingest Template'!H61),"", 'Ingest Template'!H61&amp;"|DAR"))),(CONCATENATE(IF(ISBLANK('Ingest Template'!F61),"", 'Ingest Template'!F61&amp;"|Film Ops"),CHAR(10), IF(ISBLANK('Ingest Template'!G61),"", 'Ingest Template'!G61&amp;"|Film Ops"),CHAR(10), IF(ISBLANK('Ingest Template'!H61),"", 'Ingest Template'!H61&amp;"|Film Ops"))))</f>
        <v>
</v>
      </c>
      <c r="AD61" s="4"/>
      <c r="AE61" s="4"/>
      <c r="AF61" s="10"/>
      <c r="AG61" s="4"/>
      <c r="AH61" s="4"/>
    </row>
    <row r="62">
      <c r="A62" s="4"/>
      <c r="B62" s="4" t="str">
        <f>'Ingest Template'!B62&amp;IF('Ingest Template'!A62 = "Standard", " - DAR","")</f>
        <v/>
      </c>
      <c r="C62" s="5" t="s">
        <v>34</v>
      </c>
      <c r="D62" s="5" t="str">
        <f>CONCATENATE('Ingest Template'!C62,'Ingest Template'!D62)</f>
        <v/>
      </c>
      <c r="E62" s="4"/>
      <c r="F62" s="4"/>
      <c r="G62" s="4"/>
      <c r="H62" s="6"/>
      <c r="I62" s="6" t="str">
        <f>iF('Ingest Template'!A62="Standard","Pristine Brand","Unknown")</f>
        <v>Unknown</v>
      </c>
      <c r="J62" s="4" t="str">
        <f>iF('Ingest Template'!A62="Standard","LF // Beverages","Competitive View")</f>
        <v>Competitive View</v>
      </c>
      <c r="K62" s="7" t="s">
        <v>35</v>
      </c>
      <c r="L62" s="8"/>
      <c r="M62" s="4"/>
      <c r="N62" s="4"/>
      <c r="O62" s="4"/>
      <c r="P62" s="4"/>
      <c r="Q62" s="4"/>
      <c r="R62" s="7" t="s">
        <v>36</v>
      </c>
      <c r="S62" s="4" t="str">
        <f>'Ingest Template'!J62</f>
        <v/>
      </c>
      <c r="T62" s="4" t="str">
        <f>'Ingest Template'!I62</f>
        <v/>
      </c>
      <c r="U62" s="4" t="str">
        <f>LOWER(SUBSTITUTE(SUBSTITUTE(SUBSTITUTE(SUBSTITUTE(SUBSTITUTE('Ingest Template'!K62,"https:",""),"www.",""),"/",""),"?hl=en",""),"instagram.com",""))</f>
        <v/>
      </c>
      <c r="V62" s="9" t="str">
        <f>'Ingest Template'!L62</f>
        <v/>
      </c>
      <c r="W62" s="9" t="str">
        <f>'Ingest Template'!M62</f>
        <v/>
      </c>
      <c r="X62" s="4" t="str">
        <f>SUBSTITUTE(SUBSTITUTE(SUBSTITUTE('Ingest Template'!N62,"http:",""),"https:",""),"/","")</f>
        <v/>
      </c>
      <c r="Y62" s="4" t="str">
        <f t="array" ref="Y62">IF('Ingest Template'!A62="Standard",(IF(ISBLANK('Ingest Template'!O62),"", 'Ingest Template'!O62&amp;"|DAR")),(IF(ISBLANK('Ingest Template'!O62),"", 'Ingest Template'!O62&amp;"|Film Ops")))</f>
        <v/>
      </c>
      <c r="Z62" s="4"/>
      <c r="AA62" s="4" t="str">
        <f>'Ingest Template'!E62</f>
        <v/>
      </c>
      <c r="AB62" s="7"/>
      <c r="AC62" s="4" t="str">
        <f t="array" ref="AC62">IF('Ingest Template'!A62="Standard",(CONCATENATE(IF(ISBLANK('Ingest Template'!F62),"", 'Ingest Template'!F62&amp;"|DAR"),CHAR(10), IF(ISBLANK('Ingest Template'!G62),"", 'Ingest Template'!G62&amp;"|DAR"),CHAR(10), IF(ISBLANK('Ingest Template'!H62),"", 'Ingest Template'!H62&amp;"|DAR"))),(CONCATENATE(IF(ISBLANK('Ingest Template'!F62),"", 'Ingest Template'!F62&amp;"|Film Ops"),CHAR(10), IF(ISBLANK('Ingest Template'!G62),"", 'Ingest Template'!G62&amp;"|Film Ops"),CHAR(10), IF(ISBLANK('Ingest Template'!H62),"", 'Ingest Template'!H62&amp;"|Film Ops"))))</f>
        <v>
</v>
      </c>
      <c r="AD62" s="4"/>
      <c r="AE62" s="4"/>
      <c r="AF62" s="10"/>
      <c r="AG62" s="4"/>
      <c r="AH62" s="4"/>
    </row>
    <row r="63">
      <c r="A63" s="4"/>
      <c r="B63" s="4" t="str">
        <f>'Ingest Template'!B63&amp;IF('Ingest Template'!A63 = "Standard", " - DAR","")</f>
        <v/>
      </c>
      <c r="C63" s="5" t="s">
        <v>34</v>
      </c>
      <c r="D63" s="5" t="str">
        <f>CONCATENATE('Ingest Template'!C63,'Ingest Template'!D63)</f>
        <v/>
      </c>
      <c r="E63" s="4"/>
      <c r="F63" s="4"/>
      <c r="G63" s="4"/>
      <c r="H63" s="6"/>
      <c r="I63" s="6" t="str">
        <f>iF('Ingest Template'!A63="Standard","Pristine Brand","Unknown")</f>
        <v>Unknown</v>
      </c>
      <c r="J63" s="4" t="str">
        <f>iF('Ingest Template'!A63="Standard","LF // Beverages","Competitive View")</f>
        <v>Competitive View</v>
      </c>
      <c r="K63" s="7" t="s">
        <v>35</v>
      </c>
      <c r="L63" s="8"/>
      <c r="M63" s="4"/>
      <c r="N63" s="4"/>
      <c r="O63" s="4"/>
      <c r="P63" s="4"/>
      <c r="Q63" s="4"/>
      <c r="R63" s="7" t="s">
        <v>36</v>
      </c>
      <c r="S63" s="4" t="str">
        <f>'Ingest Template'!J63</f>
        <v/>
      </c>
      <c r="T63" s="4" t="str">
        <f>'Ingest Template'!I63</f>
        <v/>
      </c>
      <c r="U63" s="4" t="str">
        <f>LOWER(SUBSTITUTE(SUBSTITUTE(SUBSTITUTE(SUBSTITUTE(SUBSTITUTE('Ingest Template'!K63,"https:",""),"www.",""),"/",""),"?hl=en",""),"instagram.com",""))</f>
        <v/>
      </c>
      <c r="V63" s="9" t="str">
        <f>'Ingest Template'!L63</f>
        <v/>
      </c>
      <c r="W63" s="9" t="str">
        <f>'Ingest Template'!M63</f>
        <v/>
      </c>
      <c r="X63" s="4" t="str">
        <f>SUBSTITUTE(SUBSTITUTE(SUBSTITUTE('Ingest Template'!N63,"http:",""),"https:",""),"/","")</f>
        <v/>
      </c>
      <c r="Y63" s="4" t="str">
        <f t="array" ref="Y63">IF('Ingest Template'!A63="Standard",(IF(ISBLANK('Ingest Template'!O63),"", 'Ingest Template'!O63&amp;"|DAR")),(IF(ISBLANK('Ingest Template'!O63),"", 'Ingest Template'!O63&amp;"|Film Ops")))</f>
        <v/>
      </c>
      <c r="Z63" s="4"/>
      <c r="AA63" s="4" t="str">
        <f>'Ingest Template'!E63</f>
        <v/>
      </c>
      <c r="AB63" s="7"/>
      <c r="AC63" s="4" t="str">
        <f t="array" ref="AC63">IF('Ingest Template'!A63="Standard",(CONCATENATE(IF(ISBLANK('Ingest Template'!F63),"", 'Ingest Template'!F63&amp;"|DAR"),CHAR(10), IF(ISBLANK('Ingest Template'!G63),"", 'Ingest Template'!G63&amp;"|DAR"),CHAR(10), IF(ISBLANK('Ingest Template'!H63),"", 'Ingest Template'!H63&amp;"|DAR"))),(CONCATENATE(IF(ISBLANK('Ingest Template'!F63),"", 'Ingest Template'!F63&amp;"|Film Ops"),CHAR(10), IF(ISBLANK('Ingest Template'!G63),"", 'Ingest Template'!G63&amp;"|Film Ops"),CHAR(10), IF(ISBLANK('Ingest Template'!H63),"", 'Ingest Template'!H63&amp;"|Film Ops"))))</f>
        <v>
</v>
      </c>
      <c r="AD63" s="4"/>
      <c r="AE63" s="4"/>
      <c r="AF63" s="10"/>
      <c r="AG63" s="4"/>
      <c r="AH63" s="4"/>
    </row>
    <row r="64">
      <c r="A64" s="4"/>
      <c r="B64" s="4" t="str">
        <f>'Ingest Template'!B64&amp;IF('Ingest Template'!A64 = "Standard", " - DAR","")</f>
        <v/>
      </c>
      <c r="C64" s="5" t="s">
        <v>34</v>
      </c>
      <c r="D64" s="5" t="str">
        <f>CONCATENATE('Ingest Template'!C64,'Ingest Template'!D64)</f>
        <v/>
      </c>
      <c r="E64" s="4"/>
      <c r="F64" s="4"/>
      <c r="G64" s="4"/>
      <c r="H64" s="6"/>
      <c r="I64" s="6" t="str">
        <f>iF('Ingest Template'!A64="Standard","Pristine Brand","Unknown")</f>
        <v>Unknown</v>
      </c>
      <c r="J64" s="4" t="str">
        <f>iF('Ingest Template'!A64="Standard","LF // Beverages","Competitive View")</f>
        <v>Competitive View</v>
      </c>
      <c r="K64" s="7" t="s">
        <v>35</v>
      </c>
      <c r="L64" s="8"/>
      <c r="M64" s="4"/>
      <c r="N64" s="4"/>
      <c r="O64" s="4"/>
      <c r="P64" s="4"/>
      <c r="Q64" s="4"/>
      <c r="R64" s="7" t="s">
        <v>36</v>
      </c>
      <c r="S64" s="4" t="str">
        <f>'Ingest Template'!J64</f>
        <v/>
      </c>
      <c r="T64" s="4" t="str">
        <f>'Ingest Template'!I64</f>
        <v/>
      </c>
      <c r="U64" s="4" t="str">
        <f>LOWER(SUBSTITUTE(SUBSTITUTE(SUBSTITUTE(SUBSTITUTE(SUBSTITUTE('Ingest Template'!K64,"https:",""),"www.",""),"/",""),"?hl=en",""),"instagram.com",""))</f>
        <v/>
      </c>
      <c r="V64" s="9" t="str">
        <f>'Ingest Template'!L64</f>
        <v/>
      </c>
      <c r="W64" s="9" t="str">
        <f>'Ingest Template'!M64</f>
        <v/>
      </c>
      <c r="X64" s="4" t="str">
        <f>SUBSTITUTE(SUBSTITUTE(SUBSTITUTE('Ingest Template'!N64,"http:",""),"https:",""),"/","")</f>
        <v/>
      </c>
      <c r="Y64" s="4" t="str">
        <f t="array" ref="Y64">IF('Ingest Template'!A64="Standard",(IF(ISBLANK('Ingest Template'!O64),"", 'Ingest Template'!O64&amp;"|DAR")),(IF(ISBLANK('Ingest Template'!O64),"", 'Ingest Template'!O64&amp;"|Film Ops")))</f>
        <v/>
      </c>
      <c r="Z64" s="4"/>
      <c r="AA64" s="4" t="str">
        <f>'Ingest Template'!E64</f>
        <v/>
      </c>
      <c r="AB64" s="7"/>
      <c r="AC64" s="4" t="str">
        <f t="array" ref="AC64">IF('Ingest Template'!A64="Standard",(CONCATENATE(IF(ISBLANK('Ingest Template'!F64),"", 'Ingest Template'!F64&amp;"|DAR"),CHAR(10), IF(ISBLANK('Ingest Template'!G64),"", 'Ingest Template'!G64&amp;"|DAR"),CHAR(10), IF(ISBLANK('Ingest Template'!H64),"", 'Ingest Template'!H64&amp;"|DAR"))),(CONCATENATE(IF(ISBLANK('Ingest Template'!F64),"", 'Ingest Template'!F64&amp;"|Film Ops"),CHAR(10), IF(ISBLANK('Ingest Template'!G64),"", 'Ingest Template'!G64&amp;"|Film Ops"),CHAR(10), IF(ISBLANK('Ingest Template'!H64),"", 'Ingest Template'!H64&amp;"|Film Ops"))))</f>
        <v>
</v>
      </c>
      <c r="AD64" s="4"/>
      <c r="AE64" s="4"/>
      <c r="AF64" s="10"/>
      <c r="AG64" s="4"/>
      <c r="AH64" s="4"/>
    </row>
    <row r="65">
      <c r="A65" s="4"/>
      <c r="B65" s="4" t="str">
        <f>'Ingest Template'!B65&amp;IF('Ingest Template'!A65 = "Standard", " - DAR","")</f>
        <v/>
      </c>
      <c r="C65" s="5" t="s">
        <v>34</v>
      </c>
      <c r="D65" s="5" t="str">
        <f>CONCATENATE('Ingest Template'!C65,'Ingest Template'!D65)</f>
        <v/>
      </c>
      <c r="E65" s="4"/>
      <c r="F65" s="4"/>
      <c r="G65" s="4"/>
      <c r="H65" s="6"/>
      <c r="I65" s="6" t="str">
        <f>iF('Ingest Template'!A65="Standard","Pristine Brand","Unknown")</f>
        <v>Unknown</v>
      </c>
      <c r="J65" s="4" t="str">
        <f>iF('Ingest Template'!A65="Standard","LF // Beverages","Competitive View")</f>
        <v>Competitive View</v>
      </c>
      <c r="K65" s="7" t="s">
        <v>35</v>
      </c>
      <c r="L65" s="8"/>
      <c r="M65" s="4"/>
      <c r="N65" s="4"/>
      <c r="O65" s="4"/>
      <c r="P65" s="4"/>
      <c r="Q65" s="4"/>
      <c r="R65" s="7" t="s">
        <v>36</v>
      </c>
      <c r="S65" s="4" t="str">
        <f>'Ingest Template'!J65</f>
        <v/>
      </c>
      <c r="T65" s="4" t="str">
        <f>'Ingest Template'!I65</f>
        <v/>
      </c>
      <c r="U65" s="4" t="str">
        <f>LOWER(SUBSTITUTE(SUBSTITUTE(SUBSTITUTE(SUBSTITUTE(SUBSTITUTE('Ingest Template'!K65,"https:",""),"www.",""),"/",""),"?hl=en",""),"instagram.com",""))</f>
        <v/>
      </c>
      <c r="V65" s="9" t="str">
        <f>'Ingest Template'!L65</f>
        <v/>
      </c>
      <c r="W65" s="9" t="str">
        <f>'Ingest Template'!M65</f>
        <v/>
      </c>
      <c r="X65" s="4" t="str">
        <f>SUBSTITUTE(SUBSTITUTE(SUBSTITUTE('Ingest Template'!N65,"http:",""),"https:",""),"/","")</f>
        <v/>
      </c>
      <c r="Y65" s="4" t="str">
        <f t="array" ref="Y65">IF('Ingest Template'!A65="Standard",(IF(ISBLANK('Ingest Template'!O65),"", 'Ingest Template'!O65&amp;"|DAR")),(IF(ISBLANK('Ingest Template'!O65),"", 'Ingest Template'!O65&amp;"|Film Ops")))</f>
        <v/>
      </c>
      <c r="Z65" s="4"/>
      <c r="AA65" s="4" t="str">
        <f>'Ingest Template'!E65</f>
        <v/>
      </c>
      <c r="AB65" s="7"/>
      <c r="AC65" s="4" t="str">
        <f t="array" ref="AC65">IF('Ingest Template'!A65="Standard",(CONCATENATE(IF(ISBLANK('Ingest Template'!F65),"", 'Ingest Template'!F65&amp;"|DAR"),CHAR(10), IF(ISBLANK('Ingest Template'!G65),"", 'Ingest Template'!G65&amp;"|DAR"),CHAR(10), IF(ISBLANK('Ingest Template'!H65),"", 'Ingest Template'!H65&amp;"|DAR"))),(CONCATENATE(IF(ISBLANK('Ingest Template'!F65),"", 'Ingest Template'!F65&amp;"|Film Ops"),CHAR(10), IF(ISBLANK('Ingest Template'!G65),"", 'Ingest Template'!G65&amp;"|Film Ops"),CHAR(10), IF(ISBLANK('Ingest Template'!H65),"", 'Ingest Template'!H65&amp;"|Film Ops"))))</f>
        <v>
</v>
      </c>
      <c r="AD65" s="4"/>
      <c r="AE65" s="4"/>
      <c r="AF65" s="10"/>
      <c r="AG65" s="4"/>
      <c r="AH65" s="4"/>
    </row>
    <row r="66">
      <c r="A66" s="4"/>
      <c r="B66" s="4" t="str">
        <f>'Ingest Template'!B66&amp;IF('Ingest Template'!A66 = "Standard", " - DAR","")</f>
        <v/>
      </c>
      <c r="C66" s="5" t="s">
        <v>34</v>
      </c>
      <c r="D66" s="5" t="str">
        <f>CONCATENATE('Ingest Template'!C66,'Ingest Template'!D66)</f>
        <v/>
      </c>
      <c r="E66" s="4"/>
      <c r="F66" s="4"/>
      <c r="G66" s="4"/>
      <c r="H66" s="6"/>
      <c r="I66" s="6" t="str">
        <f>iF('Ingest Template'!A66="Standard","Pristine Brand","Unknown")</f>
        <v>Unknown</v>
      </c>
      <c r="J66" s="4" t="str">
        <f>iF('Ingest Template'!A66="Standard","LF // Beverages","Competitive View")</f>
        <v>Competitive View</v>
      </c>
      <c r="K66" s="7" t="s">
        <v>35</v>
      </c>
      <c r="L66" s="8"/>
      <c r="M66" s="4"/>
      <c r="N66" s="4"/>
      <c r="O66" s="4"/>
      <c r="P66" s="4"/>
      <c r="Q66" s="4"/>
      <c r="R66" s="7" t="s">
        <v>36</v>
      </c>
      <c r="S66" s="4" t="str">
        <f>'Ingest Template'!J66</f>
        <v/>
      </c>
      <c r="T66" s="4" t="str">
        <f>'Ingest Template'!I66</f>
        <v/>
      </c>
      <c r="U66" s="4" t="str">
        <f>LOWER(SUBSTITUTE(SUBSTITUTE(SUBSTITUTE(SUBSTITUTE(SUBSTITUTE('Ingest Template'!K66,"https:",""),"www.",""),"/",""),"?hl=en",""),"instagram.com",""))</f>
        <v/>
      </c>
      <c r="V66" s="9" t="str">
        <f>'Ingest Template'!L66</f>
        <v/>
      </c>
      <c r="W66" s="9" t="str">
        <f>'Ingest Template'!M66</f>
        <v/>
      </c>
      <c r="X66" s="4" t="str">
        <f>SUBSTITUTE(SUBSTITUTE(SUBSTITUTE('Ingest Template'!N66,"http:",""),"https:",""),"/","")</f>
        <v/>
      </c>
      <c r="Y66" s="4" t="str">
        <f t="array" ref="Y66">IF('Ingest Template'!A66="Standard",(IF(ISBLANK('Ingest Template'!O66),"", 'Ingest Template'!O66&amp;"|DAR")),(IF(ISBLANK('Ingest Template'!O66),"", 'Ingest Template'!O66&amp;"|Film Ops")))</f>
        <v/>
      </c>
      <c r="Z66" s="4"/>
      <c r="AA66" s="4" t="str">
        <f>'Ingest Template'!E66</f>
        <v/>
      </c>
      <c r="AB66" s="7"/>
      <c r="AC66" s="4" t="str">
        <f t="array" ref="AC66">IF('Ingest Template'!A66="Standard",(CONCATENATE(IF(ISBLANK('Ingest Template'!F66),"", 'Ingest Template'!F66&amp;"|DAR"),CHAR(10), IF(ISBLANK('Ingest Template'!G66),"", 'Ingest Template'!G66&amp;"|DAR"),CHAR(10), IF(ISBLANK('Ingest Template'!H66),"", 'Ingest Template'!H66&amp;"|DAR"))),(CONCATENATE(IF(ISBLANK('Ingest Template'!F66),"", 'Ingest Template'!F66&amp;"|Film Ops"),CHAR(10), IF(ISBLANK('Ingest Template'!G66),"", 'Ingest Template'!G66&amp;"|Film Ops"),CHAR(10), IF(ISBLANK('Ingest Template'!H66),"", 'Ingest Template'!H66&amp;"|Film Ops"))))</f>
        <v>
</v>
      </c>
      <c r="AD66" s="4"/>
      <c r="AE66" s="4"/>
      <c r="AF66" s="10"/>
      <c r="AG66" s="4"/>
      <c r="AH66" s="4"/>
    </row>
    <row r="67">
      <c r="A67" s="4"/>
      <c r="B67" s="4" t="str">
        <f>'Ingest Template'!B67&amp;IF('Ingest Template'!A67 = "Standard", " - DAR","")</f>
        <v/>
      </c>
      <c r="C67" s="5" t="s">
        <v>34</v>
      </c>
      <c r="D67" s="5" t="str">
        <f>CONCATENATE('Ingest Template'!C67,'Ingest Template'!D67)</f>
        <v/>
      </c>
      <c r="E67" s="4"/>
      <c r="F67" s="4"/>
      <c r="G67" s="4"/>
      <c r="H67" s="6"/>
      <c r="I67" s="6" t="str">
        <f>iF('Ingest Template'!A67="Standard","Pristine Brand","Unknown")</f>
        <v>Unknown</v>
      </c>
      <c r="J67" s="4" t="str">
        <f>iF('Ingest Template'!A67="Standard","LF // Beverages","Competitive View")</f>
        <v>Competitive View</v>
      </c>
      <c r="K67" s="7" t="s">
        <v>35</v>
      </c>
      <c r="L67" s="8"/>
      <c r="M67" s="4"/>
      <c r="N67" s="4"/>
      <c r="O67" s="4"/>
      <c r="P67" s="4"/>
      <c r="Q67" s="4"/>
      <c r="R67" s="7" t="s">
        <v>36</v>
      </c>
      <c r="S67" s="4" t="str">
        <f>'Ingest Template'!J67</f>
        <v/>
      </c>
      <c r="T67" s="4" t="str">
        <f>'Ingest Template'!I67</f>
        <v/>
      </c>
      <c r="U67" s="4" t="str">
        <f>LOWER(SUBSTITUTE(SUBSTITUTE(SUBSTITUTE(SUBSTITUTE(SUBSTITUTE('Ingest Template'!K67,"https:",""),"www.",""),"/",""),"?hl=en",""),"instagram.com",""))</f>
        <v/>
      </c>
      <c r="V67" s="9" t="str">
        <f>'Ingest Template'!L67</f>
        <v/>
      </c>
      <c r="W67" s="9" t="str">
        <f>'Ingest Template'!M67</f>
        <v/>
      </c>
      <c r="X67" s="4" t="str">
        <f>SUBSTITUTE(SUBSTITUTE(SUBSTITUTE('Ingest Template'!N67,"http:",""),"https:",""),"/","")</f>
        <v/>
      </c>
      <c r="Y67" s="4" t="str">
        <f t="array" ref="Y67">IF('Ingest Template'!A67="Standard",(IF(ISBLANK('Ingest Template'!O67),"", 'Ingest Template'!O67&amp;"|DAR")),(IF(ISBLANK('Ingest Template'!O67),"", 'Ingest Template'!O67&amp;"|Film Ops")))</f>
        <v/>
      </c>
      <c r="Z67" s="4"/>
      <c r="AA67" s="4" t="str">
        <f>'Ingest Template'!E67</f>
        <v/>
      </c>
      <c r="AB67" s="7"/>
      <c r="AC67" s="4" t="str">
        <f t="array" ref="AC67">IF('Ingest Template'!A67="Standard",(CONCATENATE(IF(ISBLANK('Ingest Template'!F67),"", 'Ingest Template'!F67&amp;"|DAR"),CHAR(10), IF(ISBLANK('Ingest Template'!G67),"", 'Ingest Template'!G67&amp;"|DAR"),CHAR(10), IF(ISBLANK('Ingest Template'!H67),"", 'Ingest Template'!H67&amp;"|DAR"))),(CONCATENATE(IF(ISBLANK('Ingest Template'!F67),"", 'Ingest Template'!F67&amp;"|Film Ops"),CHAR(10), IF(ISBLANK('Ingest Template'!G67),"", 'Ingest Template'!G67&amp;"|Film Ops"),CHAR(10), IF(ISBLANK('Ingest Template'!H67),"", 'Ingest Template'!H67&amp;"|Film Ops"))))</f>
        <v>
</v>
      </c>
      <c r="AD67" s="4"/>
      <c r="AE67" s="4"/>
      <c r="AF67" s="10"/>
      <c r="AG67" s="4"/>
      <c r="AH67" s="4"/>
    </row>
    <row r="68">
      <c r="A68" s="4"/>
      <c r="B68" s="4" t="str">
        <f>'Ingest Template'!B68&amp;IF('Ingest Template'!A68 = "Standard", " - DAR","")</f>
        <v/>
      </c>
      <c r="C68" s="5" t="s">
        <v>34</v>
      </c>
      <c r="D68" s="5" t="str">
        <f>CONCATENATE('Ingest Template'!C68,'Ingest Template'!D68)</f>
        <v/>
      </c>
      <c r="E68" s="4"/>
      <c r="F68" s="4"/>
      <c r="G68" s="4"/>
      <c r="H68" s="6"/>
      <c r="I68" s="6" t="str">
        <f>iF('Ingest Template'!A68="Standard","Pristine Brand","Unknown")</f>
        <v>Unknown</v>
      </c>
      <c r="J68" s="4" t="str">
        <f>iF('Ingest Template'!A68="Standard","LF // Beverages","Competitive View")</f>
        <v>Competitive View</v>
      </c>
      <c r="K68" s="7" t="s">
        <v>35</v>
      </c>
      <c r="L68" s="8"/>
      <c r="M68" s="4"/>
      <c r="N68" s="4"/>
      <c r="O68" s="4"/>
      <c r="P68" s="4"/>
      <c r="Q68" s="4"/>
      <c r="R68" s="7" t="s">
        <v>36</v>
      </c>
      <c r="S68" s="4" t="str">
        <f>'Ingest Template'!J68</f>
        <v/>
      </c>
      <c r="T68" s="4" t="str">
        <f>'Ingest Template'!I68</f>
        <v/>
      </c>
      <c r="U68" s="4" t="str">
        <f>LOWER(SUBSTITUTE(SUBSTITUTE(SUBSTITUTE(SUBSTITUTE(SUBSTITUTE('Ingest Template'!K68,"https:",""),"www.",""),"/",""),"?hl=en",""),"instagram.com",""))</f>
        <v/>
      </c>
      <c r="V68" s="9" t="str">
        <f>'Ingest Template'!L68</f>
        <v/>
      </c>
      <c r="W68" s="9" t="str">
        <f>'Ingest Template'!M68</f>
        <v/>
      </c>
      <c r="X68" s="4" t="str">
        <f>SUBSTITUTE(SUBSTITUTE(SUBSTITUTE('Ingest Template'!N68,"http:",""),"https:",""),"/","")</f>
        <v/>
      </c>
      <c r="Y68" s="4" t="str">
        <f t="array" ref="Y68">IF('Ingest Template'!A68="Standard",(IF(ISBLANK('Ingest Template'!O68),"", 'Ingest Template'!O68&amp;"|DAR")),(IF(ISBLANK('Ingest Template'!O68),"", 'Ingest Template'!O68&amp;"|Film Ops")))</f>
        <v/>
      </c>
      <c r="Z68" s="4"/>
      <c r="AA68" s="4" t="str">
        <f>'Ingest Template'!E68</f>
        <v/>
      </c>
      <c r="AB68" s="7"/>
      <c r="AC68" s="4" t="str">
        <f t="array" ref="AC68">IF('Ingest Template'!A68="Standard",(CONCATENATE(IF(ISBLANK('Ingest Template'!F68),"", 'Ingest Template'!F68&amp;"|DAR"),CHAR(10), IF(ISBLANK('Ingest Template'!G68),"", 'Ingest Template'!G68&amp;"|DAR"),CHAR(10), IF(ISBLANK('Ingest Template'!H68),"", 'Ingest Template'!H68&amp;"|DAR"))),(CONCATENATE(IF(ISBLANK('Ingest Template'!F68),"", 'Ingest Template'!F68&amp;"|Film Ops"),CHAR(10), IF(ISBLANK('Ingest Template'!G68),"", 'Ingest Template'!G68&amp;"|Film Ops"),CHAR(10), IF(ISBLANK('Ingest Template'!H68),"", 'Ingest Template'!H68&amp;"|Film Ops"))))</f>
        <v>
</v>
      </c>
      <c r="AD68" s="4"/>
      <c r="AE68" s="4"/>
      <c r="AF68" s="10"/>
      <c r="AG68" s="4"/>
      <c r="AH68" s="4"/>
    </row>
    <row r="69">
      <c r="A69" s="4"/>
      <c r="B69" s="4" t="str">
        <f>'Ingest Template'!B69&amp;IF('Ingest Template'!A69 = "Standard", " - DAR","")</f>
        <v/>
      </c>
      <c r="C69" s="5" t="s">
        <v>34</v>
      </c>
      <c r="D69" s="5" t="str">
        <f>CONCATENATE('Ingest Template'!C69,'Ingest Template'!D69)</f>
        <v/>
      </c>
      <c r="E69" s="4"/>
      <c r="F69" s="4"/>
      <c r="G69" s="4"/>
      <c r="H69" s="6"/>
      <c r="I69" s="6" t="str">
        <f>iF('Ingest Template'!A69="Standard","Pristine Brand","Unknown")</f>
        <v>Unknown</v>
      </c>
      <c r="J69" s="4" t="str">
        <f>iF('Ingest Template'!A69="Standard","LF // Beverages","Competitive View")</f>
        <v>Competitive View</v>
      </c>
      <c r="K69" s="7" t="s">
        <v>35</v>
      </c>
      <c r="L69" s="8"/>
      <c r="M69" s="4"/>
      <c r="N69" s="4"/>
      <c r="O69" s="4"/>
      <c r="P69" s="4"/>
      <c r="Q69" s="4"/>
      <c r="R69" s="7" t="s">
        <v>36</v>
      </c>
      <c r="S69" s="4" t="str">
        <f>'Ingest Template'!J69</f>
        <v/>
      </c>
      <c r="T69" s="4" t="str">
        <f>'Ingest Template'!I69</f>
        <v/>
      </c>
      <c r="U69" s="4" t="str">
        <f>LOWER(SUBSTITUTE(SUBSTITUTE(SUBSTITUTE(SUBSTITUTE(SUBSTITUTE('Ingest Template'!K69,"https:",""),"www.",""),"/",""),"?hl=en",""),"instagram.com",""))</f>
        <v/>
      </c>
      <c r="V69" s="9" t="str">
        <f>'Ingest Template'!L69</f>
        <v/>
      </c>
      <c r="W69" s="9" t="str">
        <f>'Ingest Template'!M69</f>
        <v/>
      </c>
      <c r="X69" s="4" t="str">
        <f>SUBSTITUTE(SUBSTITUTE(SUBSTITUTE('Ingest Template'!N69,"http:",""),"https:",""),"/","")</f>
        <v/>
      </c>
      <c r="Y69" s="4" t="str">
        <f t="array" ref="Y69">IF('Ingest Template'!A69="Standard",(IF(ISBLANK('Ingest Template'!O69),"", 'Ingest Template'!O69&amp;"|DAR")),(IF(ISBLANK('Ingest Template'!O69),"", 'Ingest Template'!O69&amp;"|Film Ops")))</f>
        <v/>
      </c>
      <c r="Z69" s="4"/>
      <c r="AA69" s="4" t="str">
        <f>'Ingest Template'!E69</f>
        <v/>
      </c>
      <c r="AB69" s="7"/>
      <c r="AC69" s="4" t="str">
        <f t="array" ref="AC69">IF('Ingest Template'!A69="Standard",(CONCATENATE(IF(ISBLANK('Ingest Template'!F69),"", 'Ingest Template'!F69&amp;"|DAR"),CHAR(10), IF(ISBLANK('Ingest Template'!G69),"", 'Ingest Template'!G69&amp;"|DAR"),CHAR(10), IF(ISBLANK('Ingest Template'!H69),"", 'Ingest Template'!H69&amp;"|DAR"))),(CONCATENATE(IF(ISBLANK('Ingest Template'!F69),"", 'Ingest Template'!F69&amp;"|Film Ops"),CHAR(10), IF(ISBLANK('Ingest Template'!G69),"", 'Ingest Template'!G69&amp;"|Film Ops"),CHAR(10), IF(ISBLANK('Ingest Template'!H69),"", 'Ingest Template'!H69&amp;"|Film Ops"))))</f>
        <v>
</v>
      </c>
      <c r="AD69" s="4"/>
      <c r="AE69" s="4"/>
      <c r="AF69" s="10"/>
      <c r="AG69" s="4"/>
      <c r="AH69" s="4"/>
    </row>
    <row r="70">
      <c r="A70" s="4"/>
      <c r="B70" s="4" t="str">
        <f>'Ingest Template'!B70&amp;IF('Ingest Template'!A70 = "Standard", " - DAR","")</f>
        <v/>
      </c>
      <c r="C70" s="5" t="s">
        <v>34</v>
      </c>
      <c r="D70" s="5" t="str">
        <f>CONCATENATE('Ingest Template'!C70,'Ingest Template'!D70)</f>
        <v/>
      </c>
      <c r="E70" s="4"/>
      <c r="F70" s="4"/>
      <c r="G70" s="4"/>
      <c r="H70" s="6"/>
      <c r="I70" s="6" t="str">
        <f>iF('Ingest Template'!A70="Standard","Pristine Brand","Unknown")</f>
        <v>Unknown</v>
      </c>
      <c r="J70" s="4" t="str">
        <f>iF('Ingest Template'!A70="Standard","LF // Beverages","Competitive View")</f>
        <v>Competitive View</v>
      </c>
      <c r="K70" s="7" t="s">
        <v>35</v>
      </c>
      <c r="L70" s="8"/>
      <c r="M70" s="4"/>
      <c r="N70" s="4"/>
      <c r="O70" s="4"/>
      <c r="P70" s="4"/>
      <c r="Q70" s="4"/>
      <c r="R70" s="7" t="s">
        <v>36</v>
      </c>
      <c r="S70" s="4" t="str">
        <f>'Ingest Template'!J70</f>
        <v/>
      </c>
      <c r="T70" s="4" t="str">
        <f>'Ingest Template'!I70</f>
        <v/>
      </c>
      <c r="U70" s="4" t="str">
        <f>LOWER(SUBSTITUTE(SUBSTITUTE(SUBSTITUTE(SUBSTITUTE(SUBSTITUTE('Ingest Template'!K70,"https:",""),"www.",""),"/",""),"?hl=en",""),"instagram.com",""))</f>
        <v/>
      </c>
      <c r="V70" s="9" t="str">
        <f>'Ingest Template'!L70</f>
        <v/>
      </c>
      <c r="W70" s="9" t="str">
        <f>'Ingest Template'!M70</f>
        <v/>
      </c>
      <c r="X70" s="4" t="str">
        <f>SUBSTITUTE(SUBSTITUTE(SUBSTITUTE('Ingest Template'!N70,"http:",""),"https:",""),"/","")</f>
        <v/>
      </c>
      <c r="Y70" s="4" t="str">
        <f t="array" ref="Y70">IF('Ingest Template'!A70="Standard",(IF(ISBLANK('Ingest Template'!O70),"", 'Ingest Template'!O70&amp;"|DAR")),(IF(ISBLANK('Ingest Template'!O70),"", 'Ingest Template'!O70&amp;"|Film Ops")))</f>
        <v/>
      </c>
      <c r="Z70" s="4"/>
      <c r="AA70" s="4" t="str">
        <f>'Ingest Template'!E70</f>
        <v/>
      </c>
      <c r="AB70" s="7"/>
      <c r="AC70" s="4" t="str">
        <f t="array" ref="AC70">IF('Ingest Template'!A70="Standard",(CONCATENATE(IF(ISBLANK('Ingest Template'!F70),"", 'Ingest Template'!F70&amp;"|DAR"),CHAR(10), IF(ISBLANK('Ingest Template'!G70),"", 'Ingest Template'!G70&amp;"|DAR"),CHAR(10), IF(ISBLANK('Ingest Template'!H70),"", 'Ingest Template'!H70&amp;"|DAR"))),(CONCATENATE(IF(ISBLANK('Ingest Template'!F70),"", 'Ingest Template'!F70&amp;"|Film Ops"),CHAR(10), IF(ISBLANK('Ingest Template'!G70),"", 'Ingest Template'!G70&amp;"|Film Ops"),CHAR(10), IF(ISBLANK('Ingest Template'!H70),"", 'Ingest Template'!H70&amp;"|Film Ops"))))</f>
        <v>
</v>
      </c>
      <c r="AD70" s="4"/>
      <c r="AE70" s="4"/>
      <c r="AF70" s="10"/>
      <c r="AG70" s="4"/>
      <c r="AH70" s="4"/>
    </row>
    <row r="71">
      <c r="A71" s="4"/>
      <c r="B71" s="4" t="str">
        <f>'Ingest Template'!B71&amp;IF('Ingest Template'!A71 = "Standard", " - DAR","")</f>
        <v/>
      </c>
      <c r="C71" s="5" t="s">
        <v>34</v>
      </c>
      <c r="D71" s="5" t="str">
        <f>CONCATENATE('Ingest Template'!C71,'Ingest Template'!D71)</f>
        <v/>
      </c>
      <c r="E71" s="4"/>
      <c r="F71" s="4"/>
      <c r="G71" s="4"/>
      <c r="H71" s="6"/>
      <c r="I71" s="6" t="str">
        <f>iF('Ingest Template'!A71="Standard","Pristine Brand","Unknown")</f>
        <v>Unknown</v>
      </c>
      <c r="J71" s="4" t="str">
        <f>iF('Ingest Template'!A71="Standard","LF // Beverages","Competitive View")</f>
        <v>Competitive View</v>
      </c>
      <c r="K71" s="7" t="s">
        <v>35</v>
      </c>
      <c r="L71" s="8"/>
      <c r="M71" s="4"/>
      <c r="N71" s="4"/>
      <c r="O71" s="4"/>
      <c r="P71" s="4"/>
      <c r="Q71" s="4"/>
      <c r="R71" s="7" t="s">
        <v>36</v>
      </c>
      <c r="S71" s="4" t="str">
        <f>'Ingest Template'!J71</f>
        <v/>
      </c>
      <c r="T71" s="4" t="str">
        <f>'Ingest Template'!I71</f>
        <v/>
      </c>
      <c r="U71" s="4" t="str">
        <f>LOWER(SUBSTITUTE(SUBSTITUTE(SUBSTITUTE(SUBSTITUTE(SUBSTITUTE('Ingest Template'!K71,"https:",""),"www.",""),"/",""),"?hl=en",""),"instagram.com",""))</f>
        <v/>
      </c>
      <c r="V71" s="9" t="str">
        <f>'Ingest Template'!L71</f>
        <v/>
      </c>
      <c r="W71" s="9" t="str">
        <f>'Ingest Template'!M71</f>
        <v/>
      </c>
      <c r="X71" s="4" t="str">
        <f>SUBSTITUTE(SUBSTITUTE(SUBSTITUTE('Ingest Template'!N71,"http:",""),"https:",""),"/","")</f>
        <v/>
      </c>
      <c r="Y71" s="4" t="str">
        <f t="array" ref="Y71">IF('Ingest Template'!A71="Standard",(IF(ISBLANK('Ingest Template'!O71),"", 'Ingest Template'!O71&amp;"|DAR")),(IF(ISBLANK('Ingest Template'!O71),"", 'Ingest Template'!O71&amp;"|Film Ops")))</f>
        <v/>
      </c>
      <c r="Z71" s="4"/>
      <c r="AA71" s="4" t="str">
        <f>'Ingest Template'!E71</f>
        <v/>
      </c>
      <c r="AB71" s="7"/>
      <c r="AC71" s="4" t="str">
        <f t="array" ref="AC71">IF('Ingest Template'!A71="Standard",(CONCATENATE(IF(ISBLANK('Ingest Template'!F71),"", 'Ingest Template'!F71&amp;"|DAR"),CHAR(10), IF(ISBLANK('Ingest Template'!G71),"", 'Ingest Template'!G71&amp;"|DAR"),CHAR(10), IF(ISBLANK('Ingest Template'!H71),"", 'Ingest Template'!H71&amp;"|DAR"))),(CONCATENATE(IF(ISBLANK('Ingest Template'!F71),"", 'Ingest Template'!F71&amp;"|Film Ops"),CHAR(10), IF(ISBLANK('Ingest Template'!G71),"", 'Ingest Template'!G71&amp;"|Film Ops"),CHAR(10), IF(ISBLANK('Ingest Template'!H71),"", 'Ingest Template'!H71&amp;"|Film Ops"))))</f>
        <v>
</v>
      </c>
      <c r="AD71" s="4"/>
      <c r="AE71" s="4"/>
      <c r="AF71" s="10"/>
      <c r="AG71" s="4"/>
      <c r="AH71" s="4"/>
    </row>
    <row r="72">
      <c r="A72" s="4"/>
      <c r="B72" s="4" t="str">
        <f>'Ingest Template'!B72&amp;IF('Ingest Template'!A72 = "Standard", " - DAR","")</f>
        <v/>
      </c>
      <c r="C72" s="5" t="s">
        <v>34</v>
      </c>
      <c r="D72" s="5" t="str">
        <f>CONCATENATE('Ingest Template'!C72,'Ingest Template'!D72)</f>
        <v/>
      </c>
      <c r="E72" s="4"/>
      <c r="F72" s="4"/>
      <c r="G72" s="4"/>
      <c r="H72" s="6"/>
      <c r="I72" s="6" t="str">
        <f>iF('Ingest Template'!A72="Standard","Pristine Brand","Unknown")</f>
        <v>Unknown</v>
      </c>
      <c r="J72" s="4" t="str">
        <f>iF('Ingest Template'!A72="Standard","LF // Beverages","Competitive View")</f>
        <v>Competitive View</v>
      </c>
      <c r="K72" s="7" t="s">
        <v>35</v>
      </c>
      <c r="L72" s="8"/>
      <c r="M72" s="4"/>
      <c r="N72" s="4"/>
      <c r="O72" s="4"/>
      <c r="P72" s="4"/>
      <c r="Q72" s="4"/>
      <c r="R72" s="7" t="s">
        <v>36</v>
      </c>
      <c r="S72" s="4" t="str">
        <f>'Ingest Template'!J72</f>
        <v/>
      </c>
      <c r="T72" s="4" t="str">
        <f>'Ingest Template'!I72</f>
        <v/>
      </c>
      <c r="U72" s="4" t="str">
        <f>LOWER(SUBSTITUTE(SUBSTITUTE(SUBSTITUTE(SUBSTITUTE(SUBSTITUTE('Ingest Template'!K72,"https:",""),"www.",""),"/",""),"?hl=en",""),"instagram.com",""))</f>
        <v/>
      </c>
      <c r="V72" s="9" t="str">
        <f>'Ingest Template'!L72</f>
        <v/>
      </c>
      <c r="W72" s="9" t="str">
        <f>'Ingest Template'!M72</f>
        <v/>
      </c>
      <c r="X72" s="4" t="str">
        <f>SUBSTITUTE(SUBSTITUTE(SUBSTITUTE('Ingest Template'!N72,"http:",""),"https:",""),"/","")</f>
        <v/>
      </c>
      <c r="Y72" s="4" t="str">
        <f t="array" ref="Y72">IF('Ingest Template'!A72="Standard",(IF(ISBLANK('Ingest Template'!O72),"", 'Ingest Template'!O72&amp;"|DAR")),(IF(ISBLANK('Ingest Template'!O72),"", 'Ingest Template'!O72&amp;"|Film Ops")))</f>
        <v/>
      </c>
      <c r="Z72" s="4"/>
      <c r="AA72" s="4" t="str">
        <f>'Ingest Template'!E72</f>
        <v/>
      </c>
      <c r="AB72" s="7"/>
      <c r="AC72" s="4" t="str">
        <f t="array" ref="AC72">IF('Ingest Template'!A72="Standard",(CONCATENATE(IF(ISBLANK('Ingest Template'!F72),"", 'Ingest Template'!F72&amp;"|DAR"),CHAR(10), IF(ISBLANK('Ingest Template'!G72),"", 'Ingest Template'!G72&amp;"|DAR"),CHAR(10), IF(ISBLANK('Ingest Template'!H72),"", 'Ingest Template'!H72&amp;"|DAR"))),(CONCATENATE(IF(ISBLANK('Ingest Template'!F72),"", 'Ingest Template'!F72&amp;"|Film Ops"),CHAR(10), IF(ISBLANK('Ingest Template'!G72),"", 'Ingest Template'!G72&amp;"|Film Ops"),CHAR(10), IF(ISBLANK('Ingest Template'!H72),"", 'Ingest Template'!H72&amp;"|Film Ops"))))</f>
        <v>
</v>
      </c>
      <c r="AD72" s="4"/>
      <c r="AE72" s="4"/>
      <c r="AF72" s="10"/>
      <c r="AG72" s="4"/>
      <c r="AH72" s="4"/>
    </row>
    <row r="73">
      <c r="A73" s="4"/>
      <c r="B73" s="4" t="str">
        <f>'Ingest Template'!B73&amp;IF('Ingest Template'!A73 = "Standard", " - DAR","")</f>
        <v/>
      </c>
      <c r="C73" s="5" t="s">
        <v>34</v>
      </c>
      <c r="D73" s="5" t="str">
        <f>CONCATENATE('Ingest Template'!C73,'Ingest Template'!D73)</f>
        <v/>
      </c>
      <c r="E73" s="4"/>
      <c r="F73" s="4"/>
      <c r="G73" s="4"/>
      <c r="H73" s="6"/>
      <c r="I73" s="6" t="str">
        <f>iF('Ingest Template'!A73="Standard","Pristine Brand","Unknown")</f>
        <v>Unknown</v>
      </c>
      <c r="J73" s="4" t="str">
        <f>iF('Ingest Template'!A73="Standard","LF // Beverages","Competitive View")</f>
        <v>Competitive View</v>
      </c>
      <c r="K73" s="7" t="s">
        <v>35</v>
      </c>
      <c r="L73" s="8"/>
      <c r="M73" s="4"/>
      <c r="N73" s="4"/>
      <c r="O73" s="4"/>
      <c r="P73" s="4"/>
      <c r="Q73" s="4"/>
      <c r="R73" s="7" t="s">
        <v>36</v>
      </c>
      <c r="S73" s="4" t="str">
        <f>'Ingest Template'!J73</f>
        <v/>
      </c>
      <c r="T73" s="4" t="str">
        <f>'Ingest Template'!I73</f>
        <v/>
      </c>
      <c r="U73" s="4" t="str">
        <f>LOWER(SUBSTITUTE(SUBSTITUTE(SUBSTITUTE(SUBSTITUTE(SUBSTITUTE('Ingest Template'!K73,"https:",""),"www.",""),"/",""),"?hl=en",""),"instagram.com",""))</f>
        <v/>
      </c>
      <c r="V73" s="9" t="str">
        <f>'Ingest Template'!L73</f>
        <v/>
      </c>
      <c r="W73" s="9" t="str">
        <f>'Ingest Template'!M73</f>
        <v/>
      </c>
      <c r="X73" s="4" t="str">
        <f>SUBSTITUTE(SUBSTITUTE(SUBSTITUTE('Ingest Template'!N73,"http:",""),"https:",""),"/","")</f>
        <v/>
      </c>
      <c r="Y73" s="4" t="str">
        <f t="array" ref="Y73">IF('Ingest Template'!A73="Standard",(IF(ISBLANK('Ingest Template'!O73),"", 'Ingest Template'!O73&amp;"|DAR")),(IF(ISBLANK('Ingest Template'!O73),"", 'Ingest Template'!O73&amp;"|Film Ops")))</f>
        <v/>
      </c>
      <c r="Z73" s="4"/>
      <c r="AA73" s="4" t="str">
        <f>'Ingest Template'!E73</f>
        <v/>
      </c>
      <c r="AB73" s="7"/>
      <c r="AC73" s="4" t="str">
        <f t="array" ref="AC73">IF('Ingest Template'!A73="Standard",(CONCATENATE(IF(ISBLANK('Ingest Template'!F73),"", 'Ingest Template'!F73&amp;"|DAR"),CHAR(10), IF(ISBLANK('Ingest Template'!G73),"", 'Ingest Template'!G73&amp;"|DAR"),CHAR(10), IF(ISBLANK('Ingest Template'!H73),"", 'Ingest Template'!H73&amp;"|DAR"))),(CONCATENATE(IF(ISBLANK('Ingest Template'!F73),"", 'Ingest Template'!F73&amp;"|Film Ops"),CHAR(10), IF(ISBLANK('Ingest Template'!G73),"", 'Ingest Template'!G73&amp;"|Film Ops"),CHAR(10), IF(ISBLANK('Ingest Template'!H73),"", 'Ingest Template'!H73&amp;"|Film Ops"))))</f>
        <v>
</v>
      </c>
      <c r="AD73" s="4"/>
      <c r="AE73" s="4"/>
      <c r="AF73" s="10"/>
      <c r="AG73" s="4"/>
      <c r="AH73" s="4"/>
    </row>
    <row r="74">
      <c r="A74" s="4"/>
      <c r="B74" s="4" t="str">
        <f>'Ingest Template'!B74&amp;IF('Ingest Template'!A74 = "Standard", " - DAR","")</f>
        <v/>
      </c>
      <c r="C74" s="5" t="s">
        <v>34</v>
      </c>
      <c r="D74" s="5" t="str">
        <f>CONCATENATE('Ingest Template'!C74,'Ingest Template'!D74)</f>
        <v/>
      </c>
      <c r="E74" s="4"/>
      <c r="F74" s="4"/>
      <c r="G74" s="4"/>
      <c r="H74" s="6"/>
      <c r="I74" s="6" t="str">
        <f>iF('Ingest Template'!A74="Standard","Pristine Brand","Unknown")</f>
        <v>Unknown</v>
      </c>
      <c r="J74" s="4" t="str">
        <f>iF('Ingest Template'!A74="Standard","LF // Beverages","Competitive View")</f>
        <v>Competitive View</v>
      </c>
      <c r="K74" s="7" t="s">
        <v>35</v>
      </c>
      <c r="L74" s="8"/>
      <c r="M74" s="4"/>
      <c r="N74" s="4"/>
      <c r="O74" s="4"/>
      <c r="P74" s="4"/>
      <c r="Q74" s="4"/>
      <c r="R74" s="7" t="s">
        <v>36</v>
      </c>
      <c r="S74" s="4" t="str">
        <f>'Ingest Template'!J74</f>
        <v/>
      </c>
      <c r="T74" s="4" t="str">
        <f>'Ingest Template'!I74</f>
        <v/>
      </c>
      <c r="U74" s="4" t="str">
        <f>LOWER(SUBSTITUTE(SUBSTITUTE(SUBSTITUTE(SUBSTITUTE(SUBSTITUTE('Ingest Template'!K74,"https:",""),"www.",""),"/",""),"?hl=en",""),"instagram.com",""))</f>
        <v/>
      </c>
      <c r="V74" s="9" t="str">
        <f>'Ingest Template'!L74</f>
        <v/>
      </c>
      <c r="W74" s="9" t="str">
        <f>'Ingest Template'!M74</f>
        <v/>
      </c>
      <c r="X74" s="4" t="str">
        <f>SUBSTITUTE(SUBSTITUTE(SUBSTITUTE('Ingest Template'!N74,"http:",""),"https:",""),"/","")</f>
        <v/>
      </c>
      <c r="Y74" s="4" t="str">
        <f t="array" ref="Y74">IF('Ingest Template'!A74="Standard",(IF(ISBLANK('Ingest Template'!O74),"", 'Ingest Template'!O74&amp;"|DAR")),(IF(ISBLANK('Ingest Template'!O74),"", 'Ingest Template'!O74&amp;"|Film Ops")))</f>
        <v/>
      </c>
      <c r="Z74" s="4"/>
      <c r="AA74" s="4" t="str">
        <f>'Ingest Template'!E74</f>
        <v/>
      </c>
      <c r="AB74" s="7"/>
      <c r="AC74" s="4" t="str">
        <f t="array" ref="AC74">IF('Ingest Template'!A74="Standard",(CONCATENATE(IF(ISBLANK('Ingest Template'!F74),"", 'Ingest Template'!F74&amp;"|DAR"),CHAR(10), IF(ISBLANK('Ingest Template'!G74),"", 'Ingest Template'!G74&amp;"|DAR"),CHAR(10), IF(ISBLANK('Ingest Template'!H74),"", 'Ingest Template'!H74&amp;"|DAR"))),(CONCATENATE(IF(ISBLANK('Ingest Template'!F74),"", 'Ingest Template'!F74&amp;"|Film Ops"),CHAR(10), IF(ISBLANK('Ingest Template'!G74),"", 'Ingest Template'!G74&amp;"|Film Ops"),CHAR(10), IF(ISBLANK('Ingest Template'!H74),"", 'Ingest Template'!H74&amp;"|Film Ops"))))</f>
        <v>
</v>
      </c>
      <c r="AD74" s="4"/>
      <c r="AE74" s="4"/>
      <c r="AF74" s="10"/>
      <c r="AG74" s="4"/>
      <c r="AH74" s="4"/>
    </row>
    <row r="75">
      <c r="A75" s="4"/>
      <c r="B75" s="4" t="str">
        <f>'Ingest Template'!B75&amp;IF('Ingest Template'!A75 = "Standard", " - DAR","")</f>
        <v/>
      </c>
      <c r="C75" s="5" t="s">
        <v>34</v>
      </c>
      <c r="D75" s="5" t="str">
        <f>CONCATENATE('Ingest Template'!C75,'Ingest Template'!D75)</f>
        <v/>
      </c>
      <c r="E75" s="4"/>
      <c r="F75" s="4"/>
      <c r="G75" s="4"/>
      <c r="H75" s="6"/>
      <c r="I75" s="6" t="str">
        <f>iF('Ingest Template'!A75="Standard","Pristine Brand","Unknown")</f>
        <v>Unknown</v>
      </c>
      <c r="J75" s="4" t="str">
        <f>iF('Ingest Template'!A75="Standard","LF // Beverages","Competitive View")</f>
        <v>Competitive View</v>
      </c>
      <c r="K75" s="7" t="s">
        <v>35</v>
      </c>
      <c r="L75" s="8"/>
      <c r="M75" s="4"/>
      <c r="N75" s="4"/>
      <c r="O75" s="4"/>
      <c r="P75" s="4"/>
      <c r="Q75" s="4"/>
      <c r="R75" s="7" t="s">
        <v>36</v>
      </c>
      <c r="S75" s="4" t="str">
        <f>'Ingest Template'!J75</f>
        <v/>
      </c>
      <c r="T75" s="4" t="str">
        <f>'Ingest Template'!I75</f>
        <v/>
      </c>
      <c r="U75" s="4" t="str">
        <f>LOWER(SUBSTITUTE(SUBSTITUTE(SUBSTITUTE(SUBSTITUTE(SUBSTITUTE('Ingest Template'!K75,"https:",""),"www.",""),"/",""),"?hl=en",""),"instagram.com",""))</f>
        <v/>
      </c>
      <c r="V75" s="9" t="str">
        <f>'Ingest Template'!L75</f>
        <v/>
      </c>
      <c r="W75" s="9" t="str">
        <f>'Ingest Template'!M75</f>
        <v/>
      </c>
      <c r="X75" s="4" t="str">
        <f>SUBSTITUTE(SUBSTITUTE(SUBSTITUTE('Ingest Template'!N75,"http:",""),"https:",""),"/","")</f>
        <v/>
      </c>
      <c r="Y75" s="4" t="str">
        <f t="array" ref="Y75">IF('Ingest Template'!A75="Standard",(IF(ISBLANK('Ingest Template'!O75),"", 'Ingest Template'!O75&amp;"|DAR")),(IF(ISBLANK('Ingest Template'!O75),"", 'Ingest Template'!O75&amp;"|Film Ops")))</f>
        <v/>
      </c>
      <c r="Z75" s="4"/>
      <c r="AA75" s="4" t="str">
        <f>'Ingest Template'!E75</f>
        <v/>
      </c>
      <c r="AB75" s="7"/>
      <c r="AC75" s="4" t="str">
        <f t="array" ref="AC75">IF('Ingest Template'!A75="Standard",(CONCATENATE(IF(ISBLANK('Ingest Template'!F75),"", 'Ingest Template'!F75&amp;"|DAR"),CHAR(10), IF(ISBLANK('Ingest Template'!G75),"", 'Ingest Template'!G75&amp;"|DAR"),CHAR(10), IF(ISBLANK('Ingest Template'!H75),"", 'Ingest Template'!H75&amp;"|DAR"))),(CONCATENATE(IF(ISBLANK('Ingest Template'!F75),"", 'Ingest Template'!F75&amp;"|Film Ops"),CHAR(10), IF(ISBLANK('Ingest Template'!G75),"", 'Ingest Template'!G75&amp;"|Film Ops"),CHAR(10), IF(ISBLANK('Ingest Template'!H75),"", 'Ingest Template'!H75&amp;"|Film Ops"))))</f>
        <v>
</v>
      </c>
      <c r="AD75" s="4"/>
      <c r="AE75" s="4"/>
      <c r="AF75" s="10"/>
      <c r="AG75" s="4"/>
      <c r="AH75" s="4"/>
    </row>
    <row r="76">
      <c r="A76" s="4"/>
      <c r="B76" s="4" t="str">
        <f>'Ingest Template'!B76&amp;IF('Ingest Template'!A76 = "Standard", " - DAR","")</f>
        <v/>
      </c>
      <c r="C76" s="5" t="s">
        <v>34</v>
      </c>
      <c r="D76" s="5" t="str">
        <f>CONCATENATE('Ingest Template'!C76,'Ingest Template'!D76)</f>
        <v/>
      </c>
      <c r="E76" s="4"/>
      <c r="F76" s="4"/>
      <c r="G76" s="4"/>
      <c r="H76" s="6"/>
      <c r="I76" s="6" t="str">
        <f>iF('Ingest Template'!A76="Standard","Pristine Brand","Unknown")</f>
        <v>Unknown</v>
      </c>
      <c r="J76" s="4" t="str">
        <f>iF('Ingest Template'!A76="Standard","LF // Beverages","Competitive View")</f>
        <v>Competitive View</v>
      </c>
      <c r="K76" s="7" t="s">
        <v>35</v>
      </c>
      <c r="L76" s="8"/>
      <c r="M76" s="4"/>
      <c r="N76" s="4"/>
      <c r="O76" s="4"/>
      <c r="P76" s="4"/>
      <c r="Q76" s="4"/>
      <c r="R76" s="7" t="s">
        <v>36</v>
      </c>
      <c r="S76" s="4" t="str">
        <f>'Ingest Template'!J76</f>
        <v/>
      </c>
      <c r="T76" s="4" t="str">
        <f>'Ingest Template'!I76</f>
        <v/>
      </c>
      <c r="U76" s="4" t="str">
        <f>LOWER(SUBSTITUTE(SUBSTITUTE(SUBSTITUTE(SUBSTITUTE(SUBSTITUTE('Ingest Template'!K76,"https:",""),"www.",""),"/",""),"?hl=en",""),"instagram.com",""))</f>
        <v/>
      </c>
      <c r="V76" s="9" t="str">
        <f>'Ingest Template'!L76</f>
        <v/>
      </c>
      <c r="W76" s="9" t="str">
        <f>'Ingest Template'!M76</f>
        <v/>
      </c>
      <c r="X76" s="4" t="str">
        <f>SUBSTITUTE(SUBSTITUTE(SUBSTITUTE('Ingest Template'!N76,"http:",""),"https:",""),"/","")</f>
        <v/>
      </c>
      <c r="Y76" s="4" t="str">
        <f t="array" ref="Y76">IF('Ingest Template'!A76="Standard",(IF(ISBLANK('Ingest Template'!O76),"", 'Ingest Template'!O76&amp;"|DAR")),(IF(ISBLANK('Ingest Template'!O76),"", 'Ingest Template'!O76&amp;"|Film Ops")))</f>
        <v/>
      </c>
      <c r="Z76" s="4"/>
      <c r="AA76" s="4" t="str">
        <f>'Ingest Template'!E76</f>
        <v/>
      </c>
      <c r="AB76" s="7"/>
      <c r="AC76" s="4" t="str">
        <f t="array" ref="AC76">IF('Ingest Template'!A76="Standard",(CONCATENATE(IF(ISBLANK('Ingest Template'!F76),"", 'Ingest Template'!F76&amp;"|DAR"),CHAR(10), IF(ISBLANK('Ingest Template'!G76),"", 'Ingest Template'!G76&amp;"|DAR"),CHAR(10), IF(ISBLANK('Ingest Template'!H76),"", 'Ingest Template'!H76&amp;"|DAR"))),(CONCATENATE(IF(ISBLANK('Ingest Template'!F76),"", 'Ingest Template'!F76&amp;"|Film Ops"),CHAR(10), IF(ISBLANK('Ingest Template'!G76),"", 'Ingest Template'!G76&amp;"|Film Ops"),CHAR(10), IF(ISBLANK('Ingest Template'!H76),"", 'Ingest Template'!H76&amp;"|Film Ops"))))</f>
        <v>
</v>
      </c>
      <c r="AD76" s="4"/>
      <c r="AE76" s="4"/>
      <c r="AF76" s="10"/>
      <c r="AG76" s="4"/>
      <c r="AH76" s="4"/>
    </row>
    <row r="77">
      <c r="A77" s="4"/>
      <c r="B77" s="4" t="str">
        <f>'Ingest Template'!B77&amp;IF('Ingest Template'!A77 = "Standard", " - DAR","")</f>
        <v/>
      </c>
      <c r="C77" s="5" t="s">
        <v>34</v>
      </c>
      <c r="D77" s="5" t="str">
        <f>CONCATENATE('Ingest Template'!C77,'Ingest Template'!D77)</f>
        <v/>
      </c>
      <c r="E77" s="4"/>
      <c r="F77" s="4"/>
      <c r="G77" s="4"/>
      <c r="H77" s="6"/>
      <c r="I77" s="6" t="str">
        <f>iF('Ingest Template'!A77="Standard","Pristine Brand","Unknown")</f>
        <v>Unknown</v>
      </c>
      <c r="J77" s="4" t="str">
        <f>iF('Ingest Template'!A77="Standard","LF // Beverages","Competitive View")</f>
        <v>Competitive View</v>
      </c>
      <c r="K77" s="7" t="s">
        <v>35</v>
      </c>
      <c r="L77" s="8"/>
      <c r="M77" s="4"/>
      <c r="N77" s="4"/>
      <c r="O77" s="4"/>
      <c r="P77" s="4"/>
      <c r="Q77" s="4"/>
      <c r="R77" s="7" t="s">
        <v>36</v>
      </c>
      <c r="S77" s="4" t="str">
        <f>'Ingest Template'!J77</f>
        <v/>
      </c>
      <c r="T77" s="4" t="str">
        <f>'Ingest Template'!I77</f>
        <v/>
      </c>
      <c r="U77" s="4" t="str">
        <f>LOWER(SUBSTITUTE(SUBSTITUTE(SUBSTITUTE(SUBSTITUTE(SUBSTITUTE('Ingest Template'!K77,"https:",""),"www.",""),"/",""),"?hl=en",""),"instagram.com",""))</f>
        <v/>
      </c>
      <c r="V77" s="9" t="str">
        <f>'Ingest Template'!L77</f>
        <v/>
      </c>
      <c r="W77" s="9" t="str">
        <f>'Ingest Template'!M77</f>
        <v/>
      </c>
      <c r="X77" s="4" t="str">
        <f>SUBSTITUTE(SUBSTITUTE(SUBSTITUTE('Ingest Template'!N77,"http:",""),"https:",""),"/","")</f>
        <v/>
      </c>
      <c r="Y77" s="4" t="str">
        <f t="array" ref="Y77">IF('Ingest Template'!A77="Standard",(IF(ISBLANK('Ingest Template'!O77),"", 'Ingest Template'!O77&amp;"|DAR")),(IF(ISBLANK('Ingest Template'!O77),"", 'Ingest Template'!O77&amp;"|Film Ops")))</f>
        <v/>
      </c>
      <c r="Z77" s="4"/>
      <c r="AA77" s="4" t="str">
        <f>'Ingest Template'!E77</f>
        <v/>
      </c>
      <c r="AB77" s="7"/>
      <c r="AC77" s="4" t="str">
        <f t="array" ref="AC77">IF('Ingest Template'!A77="Standard",(CONCATENATE(IF(ISBLANK('Ingest Template'!F77),"", 'Ingest Template'!F77&amp;"|DAR"),CHAR(10), IF(ISBLANK('Ingest Template'!G77),"", 'Ingest Template'!G77&amp;"|DAR"),CHAR(10), IF(ISBLANK('Ingest Template'!H77),"", 'Ingest Template'!H77&amp;"|DAR"))),(CONCATENATE(IF(ISBLANK('Ingest Template'!F77),"", 'Ingest Template'!F77&amp;"|Film Ops"),CHAR(10), IF(ISBLANK('Ingest Template'!G77),"", 'Ingest Template'!G77&amp;"|Film Ops"),CHAR(10), IF(ISBLANK('Ingest Template'!H77),"", 'Ingest Template'!H77&amp;"|Film Ops"))))</f>
        <v>
</v>
      </c>
      <c r="AD77" s="4"/>
      <c r="AE77" s="4"/>
      <c r="AF77" s="10"/>
      <c r="AG77" s="4"/>
      <c r="AH77" s="4"/>
    </row>
    <row r="78">
      <c r="A78" s="4"/>
      <c r="B78" s="4" t="str">
        <f>'Ingest Template'!B78&amp;IF('Ingest Template'!A78 = "Standard", " - DAR","")</f>
        <v/>
      </c>
      <c r="C78" s="5" t="s">
        <v>34</v>
      </c>
      <c r="D78" s="5" t="str">
        <f>CONCATENATE('Ingest Template'!C78,'Ingest Template'!D78)</f>
        <v/>
      </c>
      <c r="E78" s="4"/>
      <c r="F78" s="4"/>
      <c r="G78" s="4"/>
      <c r="H78" s="6"/>
      <c r="I78" s="6" t="str">
        <f>iF('Ingest Template'!A78="Standard","Pristine Brand","Unknown")</f>
        <v>Unknown</v>
      </c>
      <c r="J78" s="4" t="str">
        <f>iF('Ingest Template'!A78="Standard","LF // Beverages","Competitive View")</f>
        <v>Competitive View</v>
      </c>
      <c r="K78" s="7" t="s">
        <v>35</v>
      </c>
      <c r="L78" s="8"/>
      <c r="M78" s="4"/>
      <c r="N78" s="4"/>
      <c r="O78" s="4"/>
      <c r="P78" s="4"/>
      <c r="Q78" s="4"/>
      <c r="R78" s="7" t="s">
        <v>36</v>
      </c>
      <c r="S78" s="4" t="str">
        <f>'Ingest Template'!J78</f>
        <v/>
      </c>
      <c r="T78" s="4" t="str">
        <f>'Ingest Template'!I78</f>
        <v/>
      </c>
      <c r="U78" s="4" t="str">
        <f>LOWER(SUBSTITUTE(SUBSTITUTE(SUBSTITUTE(SUBSTITUTE(SUBSTITUTE('Ingest Template'!K78,"https:",""),"www.",""),"/",""),"?hl=en",""),"instagram.com",""))</f>
        <v/>
      </c>
      <c r="V78" s="9" t="str">
        <f>'Ingest Template'!L78</f>
        <v/>
      </c>
      <c r="W78" s="9" t="str">
        <f>'Ingest Template'!M78</f>
        <v/>
      </c>
      <c r="X78" s="4" t="str">
        <f>SUBSTITUTE(SUBSTITUTE(SUBSTITUTE('Ingest Template'!N78,"http:",""),"https:",""),"/","")</f>
        <v/>
      </c>
      <c r="Y78" s="4" t="str">
        <f t="array" ref="Y78">IF('Ingest Template'!A78="Standard",(IF(ISBLANK('Ingest Template'!O78),"", 'Ingest Template'!O78&amp;"|DAR")),(IF(ISBLANK('Ingest Template'!O78),"", 'Ingest Template'!O78&amp;"|Film Ops")))</f>
        <v/>
      </c>
      <c r="Z78" s="4"/>
      <c r="AA78" s="4" t="str">
        <f>'Ingest Template'!E78</f>
        <v/>
      </c>
      <c r="AB78" s="7"/>
      <c r="AC78" s="4" t="str">
        <f t="array" ref="AC78">IF('Ingest Template'!A78="Standard",(CONCATENATE(IF(ISBLANK('Ingest Template'!F78),"", 'Ingest Template'!F78&amp;"|DAR"),CHAR(10), IF(ISBLANK('Ingest Template'!G78),"", 'Ingest Template'!G78&amp;"|DAR"),CHAR(10), IF(ISBLANK('Ingest Template'!H78),"", 'Ingest Template'!H78&amp;"|DAR"))),(CONCATENATE(IF(ISBLANK('Ingest Template'!F78),"", 'Ingest Template'!F78&amp;"|Film Ops"),CHAR(10), IF(ISBLANK('Ingest Template'!G78),"", 'Ingest Template'!G78&amp;"|Film Ops"),CHAR(10), IF(ISBLANK('Ingest Template'!H78),"", 'Ingest Template'!H78&amp;"|Film Ops"))))</f>
        <v>
</v>
      </c>
      <c r="AD78" s="4"/>
      <c r="AE78" s="4"/>
      <c r="AF78" s="10"/>
      <c r="AG78" s="4"/>
      <c r="AH78" s="4"/>
    </row>
    <row r="79">
      <c r="A79" s="4"/>
      <c r="B79" s="4" t="str">
        <f>'Ingest Template'!B79&amp;IF('Ingest Template'!A79 = "Standard", " - DAR","")</f>
        <v/>
      </c>
      <c r="C79" s="5" t="s">
        <v>34</v>
      </c>
      <c r="D79" s="5" t="str">
        <f>CONCATENATE('Ingest Template'!C79,'Ingest Template'!D79)</f>
        <v/>
      </c>
      <c r="E79" s="4"/>
      <c r="F79" s="4"/>
      <c r="G79" s="4"/>
      <c r="H79" s="6"/>
      <c r="I79" s="6" t="str">
        <f>iF('Ingest Template'!A79="Standard","Pristine Brand","Unknown")</f>
        <v>Unknown</v>
      </c>
      <c r="J79" s="4" t="str">
        <f>iF('Ingest Template'!A79="Standard","LF // Beverages","Competitive View")</f>
        <v>Competitive View</v>
      </c>
      <c r="K79" s="7" t="s">
        <v>35</v>
      </c>
      <c r="L79" s="8"/>
      <c r="M79" s="4"/>
      <c r="N79" s="4"/>
      <c r="O79" s="4"/>
      <c r="P79" s="4"/>
      <c r="Q79" s="4"/>
      <c r="R79" s="7" t="s">
        <v>36</v>
      </c>
      <c r="S79" s="4" t="str">
        <f>'Ingest Template'!J79</f>
        <v/>
      </c>
      <c r="T79" s="4" t="str">
        <f>'Ingest Template'!I79</f>
        <v/>
      </c>
      <c r="U79" s="4" t="str">
        <f>LOWER(SUBSTITUTE(SUBSTITUTE(SUBSTITUTE(SUBSTITUTE(SUBSTITUTE('Ingest Template'!K79,"https:",""),"www.",""),"/",""),"?hl=en",""),"instagram.com",""))</f>
        <v/>
      </c>
      <c r="V79" s="9" t="str">
        <f>'Ingest Template'!L79</f>
        <v/>
      </c>
      <c r="W79" s="9" t="str">
        <f>'Ingest Template'!M79</f>
        <v/>
      </c>
      <c r="X79" s="4" t="str">
        <f>SUBSTITUTE(SUBSTITUTE(SUBSTITUTE('Ingest Template'!N79,"http:",""),"https:",""),"/","")</f>
        <v/>
      </c>
      <c r="Y79" s="4" t="str">
        <f t="array" ref="Y79">IF('Ingest Template'!A79="Standard",(IF(ISBLANK('Ingest Template'!O79),"", 'Ingest Template'!O79&amp;"|DAR")),(IF(ISBLANK('Ingest Template'!O79),"", 'Ingest Template'!O79&amp;"|Film Ops")))</f>
        <v/>
      </c>
      <c r="Z79" s="4"/>
      <c r="AA79" s="4" t="str">
        <f>'Ingest Template'!E79</f>
        <v/>
      </c>
      <c r="AB79" s="7"/>
      <c r="AC79" s="4" t="str">
        <f t="array" ref="AC79">IF('Ingest Template'!A79="Standard",(CONCATENATE(IF(ISBLANK('Ingest Template'!F79),"", 'Ingest Template'!F79&amp;"|DAR"),CHAR(10), IF(ISBLANK('Ingest Template'!G79),"", 'Ingest Template'!G79&amp;"|DAR"),CHAR(10), IF(ISBLANK('Ingest Template'!H79),"", 'Ingest Template'!H79&amp;"|DAR"))),(CONCATENATE(IF(ISBLANK('Ingest Template'!F79),"", 'Ingest Template'!F79&amp;"|Film Ops"),CHAR(10), IF(ISBLANK('Ingest Template'!G79),"", 'Ingest Template'!G79&amp;"|Film Ops"),CHAR(10), IF(ISBLANK('Ingest Template'!H79),"", 'Ingest Template'!H79&amp;"|Film Ops"))))</f>
        <v>
</v>
      </c>
      <c r="AD79" s="4"/>
      <c r="AE79" s="4"/>
      <c r="AF79" s="10"/>
      <c r="AG79" s="4"/>
      <c r="AH79" s="4"/>
    </row>
    <row r="80">
      <c r="A80" s="4"/>
      <c r="B80" s="4" t="str">
        <f>'Ingest Template'!B80&amp;IF('Ingest Template'!A80 = "Standard", " - DAR","")</f>
        <v/>
      </c>
      <c r="C80" s="5" t="s">
        <v>34</v>
      </c>
      <c r="D80" s="5" t="str">
        <f>CONCATENATE('Ingest Template'!C80,'Ingest Template'!D80)</f>
        <v/>
      </c>
      <c r="E80" s="4"/>
      <c r="F80" s="4"/>
      <c r="G80" s="4"/>
      <c r="H80" s="6"/>
      <c r="I80" s="6" t="str">
        <f>iF('Ingest Template'!A80="Standard","Pristine Brand","Unknown")</f>
        <v>Unknown</v>
      </c>
      <c r="J80" s="4" t="str">
        <f>iF('Ingest Template'!A80="Standard","LF // Beverages","Competitive View")</f>
        <v>Competitive View</v>
      </c>
      <c r="K80" s="7" t="s">
        <v>35</v>
      </c>
      <c r="L80" s="8"/>
      <c r="M80" s="4"/>
      <c r="N80" s="4"/>
      <c r="O80" s="4"/>
      <c r="P80" s="4"/>
      <c r="Q80" s="4"/>
      <c r="R80" s="7" t="s">
        <v>36</v>
      </c>
      <c r="S80" s="4" t="str">
        <f>'Ingest Template'!J80</f>
        <v/>
      </c>
      <c r="T80" s="4" t="str">
        <f>'Ingest Template'!I80</f>
        <v/>
      </c>
      <c r="U80" s="4" t="str">
        <f>LOWER(SUBSTITUTE(SUBSTITUTE(SUBSTITUTE(SUBSTITUTE(SUBSTITUTE('Ingest Template'!K80,"https:",""),"www.",""),"/",""),"?hl=en",""),"instagram.com",""))</f>
        <v/>
      </c>
      <c r="V80" s="9" t="str">
        <f>'Ingest Template'!L80</f>
        <v/>
      </c>
      <c r="W80" s="9" t="str">
        <f>'Ingest Template'!M80</f>
        <v/>
      </c>
      <c r="X80" s="4" t="str">
        <f>SUBSTITUTE(SUBSTITUTE(SUBSTITUTE('Ingest Template'!N80,"http:",""),"https:",""),"/","")</f>
        <v/>
      </c>
      <c r="Y80" s="4" t="str">
        <f t="array" ref="Y80">IF('Ingest Template'!A80="Standard",(IF(ISBLANK('Ingest Template'!O80),"", 'Ingest Template'!O80&amp;"|DAR")),(IF(ISBLANK('Ingest Template'!O80),"", 'Ingest Template'!O80&amp;"|Film Ops")))</f>
        <v/>
      </c>
      <c r="Z80" s="4"/>
      <c r="AA80" s="4" t="str">
        <f>'Ingest Template'!E80</f>
        <v/>
      </c>
      <c r="AB80" s="7"/>
      <c r="AC80" s="4" t="str">
        <f t="array" ref="AC80">IF('Ingest Template'!A80="Standard",(CONCATENATE(IF(ISBLANK('Ingest Template'!F80),"", 'Ingest Template'!F80&amp;"|DAR"),CHAR(10), IF(ISBLANK('Ingest Template'!G80),"", 'Ingest Template'!G80&amp;"|DAR"),CHAR(10), IF(ISBLANK('Ingest Template'!H80),"", 'Ingest Template'!H80&amp;"|DAR"))),(CONCATENATE(IF(ISBLANK('Ingest Template'!F80),"", 'Ingest Template'!F80&amp;"|Film Ops"),CHAR(10), IF(ISBLANK('Ingest Template'!G80),"", 'Ingest Template'!G80&amp;"|Film Ops"),CHAR(10), IF(ISBLANK('Ingest Template'!H80),"", 'Ingest Template'!H80&amp;"|Film Ops"))))</f>
        <v>
</v>
      </c>
      <c r="AD80" s="4"/>
      <c r="AE80" s="4"/>
      <c r="AF80" s="10"/>
      <c r="AG80" s="4"/>
      <c r="AH80" s="4"/>
    </row>
    <row r="81">
      <c r="A81" s="4"/>
      <c r="B81" s="4" t="str">
        <f>'Ingest Template'!B81&amp;IF('Ingest Template'!A81 = "Standard", " - DAR","")</f>
        <v/>
      </c>
      <c r="C81" s="5" t="s">
        <v>34</v>
      </c>
      <c r="D81" s="5" t="str">
        <f>CONCATENATE('Ingest Template'!C81,'Ingest Template'!D81)</f>
        <v/>
      </c>
      <c r="E81" s="4"/>
      <c r="F81" s="4"/>
      <c r="G81" s="4"/>
      <c r="H81" s="6"/>
      <c r="I81" s="6" t="str">
        <f>iF('Ingest Template'!A81="Standard","Pristine Brand","Unknown")</f>
        <v>Unknown</v>
      </c>
      <c r="J81" s="4" t="str">
        <f>iF('Ingest Template'!A81="Standard","LF // Beverages","Competitive View")</f>
        <v>Competitive View</v>
      </c>
      <c r="K81" s="7" t="s">
        <v>35</v>
      </c>
      <c r="L81" s="8"/>
      <c r="M81" s="4"/>
      <c r="N81" s="4"/>
      <c r="O81" s="4"/>
      <c r="P81" s="4"/>
      <c r="Q81" s="4"/>
      <c r="R81" s="7" t="s">
        <v>36</v>
      </c>
      <c r="S81" s="4" t="str">
        <f>'Ingest Template'!J81</f>
        <v/>
      </c>
      <c r="T81" s="4" t="str">
        <f>'Ingest Template'!I81</f>
        <v/>
      </c>
      <c r="U81" s="4" t="str">
        <f>LOWER(SUBSTITUTE(SUBSTITUTE(SUBSTITUTE(SUBSTITUTE(SUBSTITUTE('Ingest Template'!K81,"https:",""),"www.",""),"/",""),"?hl=en",""),"instagram.com",""))</f>
        <v/>
      </c>
      <c r="V81" s="9" t="str">
        <f>'Ingest Template'!L81</f>
        <v/>
      </c>
      <c r="W81" s="9" t="str">
        <f>'Ingest Template'!M81</f>
        <v/>
      </c>
      <c r="X81" s="4" t="str">
        <f>SUBSTITUTE(SUBSTITUTE(SUBSTITUTE('Ingest Template'!N81,"http:",""),"https:",""),"/","")</f>
        <v/>
      </c>
      <c r="Y81" s="4" t="str">
        <f t="array" ref="Y81">IF('Ingest Template'!A81="Standard",(IF(ISBLANK('Ingest Template'!O81),"", 'Ingest Template'!O81&amp;"|DAR")),(IF(ISBLANK('Ingest Template'!O81),"", 'Ingest Template'!O81&amp;"|Film Ops")))</f>
        <v/>
      </c>
      <c r="Z81" s="4"/>
      <c r="AA81" s="4" t="str">
        <f>'Ingest Template'!E81</f>
        <v/>
      </c>
      <c r="AB81" s="7"/>
      <c r="AC81" s="4" t="str">
        <f t="array" ref="AC81">IF('Ingest Template'!A81="Standard",(CONCATENATE(IF(ISBLANK('Ingest Template'!F81),"", 'Ingest Template'!F81&amp;"|DAR"),CHAR(10), IF(ISBLANK('Ingest Template'!G81),"", 'Ingest Template'!G81&amp;"|DAR"),CHAR(10), IF(ISBLANK('Ingest Template'!H81),"", 'Ingest Template'!H81&amp;"|DAR"))),(CONCATENATE(IF(ISBLANK('Ingest Template'!F81),"", 'Ingest Template'!F81&amp;"|Film Ops"),CHAR(10), IF(ISBLANK('Ingest Template'!G81),"", 'Ingest Template'!G81&amp;"|Film Ops"),CHAR(10), IF(ISBLANK('Ingest Template'!H81),"", 'Ingest Template'!H81&amp;"|Film Ops"))))</f>
        <v>
</v>
      </c>
      <c r="AD81" s="4"/>
      <c r="AE81" s="4"/>
      <c r="AF81" s="10"/>
      <c r="AG81" s="4"/>
      <c r="AH81" s="4"/>
    </row>
    <row r="82">
      <c r="A82" s="4"/>
      <c r="B82" s="4" t="str">
        <f>'Ingest Template'!B82&amp;IF('Ingest Template'!A82 = "Standard", " - DAR","")</f>
        <v/>
      </c>
      <c r="C82" s="5" t="s">
        <v>34</v>
      </c>
      <c r="D82" s="5" t="str">
        <f>CONCATENATE('Ingest Template'!C82,'Ingest Template'!D82)</f>
        <v/>
      </c>
      <c r="E82" s="4"/>
      <c r="F82" s="4"/>
      <c r="G82" s="4"/>
      <c r="H82" s="6"/>
      <c r="I82" s="6" t="str">
        <f>iF('Ingest Template'!A82="Standard","Pristine Brand","Unknown")</f>
        <v>Unknown</v>
      </c>
      <c r="J82" s="4" t="str">
        <f>iF('Ingest Template'!A82="Standard","LF // Beverages","Competitive View")</f>
        <v>Competitive View</v>
      </c>
      <c r="K82" s="7" t="s">
        <v>35</v>
      </c>
      <c r="L82" s="8"/>
      <c r="M82" s="4"/>
      <c r="N82" s="4"/>
      <c r="O82" s="4"/>
      <c r="P82" s="4"/>
      <c r="Q82" s="4"/>
      <c r="R82" s="7" t="s">
        <v>36</v>
      </c>
      <c r="S82" s="4" t="str">
        <f>'Ingest Template'!J82</f>
        <v/>
      </c>
      <c r="T82" s="4" t="str">
        <f>'Ingest Template'!I82</f>
        <v/>
      </c>
      <c r="U82" s="4" t="str">
        <f>LOWER(SUBSTITUTE(SUBSTITUTE(SUBSTITUTE(SUBSTITUTE(SUBSTITUTE('Ingest Template'!K82,"https:",""),"www.",""),"/",""),"?hl=en",""),"instagram.com",""))</f>
        <v/>
      </c>
      <c r="V82" s="9" t="str">
        <f>'Ingest Template'!L82</f>
        <v/>
      </c>
      <c r="W82" s="9" t="str">
        <f>'Ingest Template'!M82</f>
        <v/>
      </c>
      <c r="X82" s="4" t="str">
        <f>SUBSTITUTE(SUBSTITUTE(SUBSTITUTE('Ingest Template'!N82,"http:",""),"https:",""),"/","")</f>
        <v/>
      </c>
      <c r="Y82" s="4" t="str">
        <f t="array" ref="Y82">IF('Ingest Template'!A82="Standard",(IF(ISBLANK('Ingest Template'!O82),"", 'Ingest Template'!O82&amp;"|DAR")),(IF(ISBLANK('Ingest Template'!O82),"", 'Ingest Template'!O82&amp;"|Film Ops")))</f>
        <v/>
      </c>
      <c r="Z82" s="4"/>
      <c r="AA82" s="4" t="str">
        <f>'Ingest Template'!E82</f>
        <v/>
      </c>
      <c r="AB82" s="7"/>
      <c r="AC82" s="4" t="str">
        <f t="array" ref="AC82">IF('Ingest Template'!A82="Standard",(CONCATENATE(IF(ISBLANK('Ingest Template'!F82),"", 'Ingest Template'!F82&amp;"|DAR"),CHAR(10), IF(ISBLANK('Ingest Template'!G82),"", 'Ingest Template'!G82&amp;"|DAR"),CHAR(10), IF(ISBLANK('Ingest Template'!H82),"", 'Ingest Template'!H82&amp;"|DAR"))),(CONCATENATE(IF(ISBLANK('Ingest Template'!F82),"", 'Ingest Template'!F82&amp;"|Film Ops"),CHAR(10), IF(ISBLANK('Ingest Template'!G82),"", 'Ingest Template'!G82&amp;"|Film Ops"),CHAR(10), IF(ISBLANK('Ingest Template'!H82),"", 'Ingest Template'!H82&amp;"|Film Ops"))))</f>
        <v>
</v>
      </c>
      <c r="AD82" s="4"/>
      <c r="AE82" s="4"/>
      <c r="AF82" s="10"/>
      <c r="AG82" s="4"/>
      <c r="AH82" s="4"/>
    </row>
    <row r="83">
      <c r="A83" s="4"/>
      <c r="B83" s="4" t="str">
        <f>'Ingest Template'!B83&amp;IF('Ingest Template'!A83 = "Standard", " - DAR","")</f>
        <v/>
      </c>
      <c r="C83" s="5" t="s">
        <v>34</v>
      </c>
      <c r="D83" s="5" t="str">
        <f>CONCATENATE('Ingest Template'!C83,'Ingest Template'!D83)</f>
        <v/>
      </c>
      <c r="E83" s="4"/>
      <c r="F83" s="4"/>
      <c r="G83" s="4"/>
      <c r="H83" s="6"/>
      <c r="I83" s="6" t="str">
        <f>iF('Ingest Template'!A83="Standard","Pristine Brand","Unknown")</f>
        <v>Unknown</v>
      </c>
      <c r="J83" s="4" t="str">
        <f>iF('Ingest Template'!A83="Standard","LF // Beverages","Competitive View")</f>
        <v>Competitive View</v>
      </c>
      <c r="K83" s="7" t="s">
        <v>35</v>
      </c>
      <c r="L83" s="8"/>
      <c r="M83" s="4"/>
      <c r="N83" s="4"/>
      <c r="O83" s="4"/>
      <c r="P83" s="4"/>
      <c r="Q83" s="4"/>
      <c r="R83" s="7" t="s">
        <v>36</v>
      </c>
      <c r="S83" s="4" t="str">
        <f>'Ingest Template'!J83</f>
        <v/>
      </c>
      <c r="T83" s="4" t="str">
        <f>'Ingest Template'!I83</f>
        <v/>
      </c>
      <c r="U83" s="4" t="str">
        <f>LOWER(SUBSTITUTE(SUBSTITUTE(SUBSTITUTE(SUBSTITUTE(SUBSTITUTE('Ingest Template'!K83,"https:",""),"www.",""),"/",""),"?hl=en",""),"instagram.com",""))</f>
        <v/>
      </c>
      <c r="V83" s="9" t="str">
        <f>'Ingest Template'!L83</f>
        <v/>
      </c>
      <c r="W83" s="9" t="str">
        <f>'Ingest Template'!M83</f>
        <v/>
      </c>
      <c r="X83" s="4" t="str">
        <f>SUBSTITUTE(SUBSTITUTE(SUBSTITUTE('Ingest Template'!N83,"http:",""),"https:",""),"/","")</f>
        <v/>
      </c>
      <c r="Y83" s="4" t="str">
        <f t="array" ref="Y83">IF('Ingest Template'!A83="Standard",(IF(ISBLANK('Ingest Template'!O83),"", 'Ingest Template'!O83&amp;"|DAR")),(IF(ISBLANK('Ingest Template'!O83),"", 'Ingest Template'!O83&amp;"|Film Ops")))</f>
        <v/>
      </c>
      <c r="Z83" s="4"/>
      <c r="AA83" s="4" t="str">
        <f>'Ingest Template'!E83</f>
        <v/>
      </c>
      <c r="AB83" s="7"/>
      <c r="AC83" s="4" t="str">
        <f t="array" ref="AC83">IF('Ingest Template'!A83="Standard",(CONCATENATE(IF(ISBLANK('Ingest Template'!F83),"", 'Ingest Template'!F83&amp;"|DAR"),CHAR(10), IF(ISBLANK('Ingest Template'!G83),"", 'Ingest Template'!G83&amp;"|DAR"),CHAR(10), IF(ISBLANK('Ingest Template'!H83),"", 'Ingest Template'!H83&amp;"|DAR"))),(CONCATENATE(IF(ISBLANK('Ingest Template'!F83),"", 'Ingest Template'!F83&amp;"|Film Ops"),CHAR(10), IF(ISBLANK('Ingest Template'!G83),"", 'Ingest Template'!G83&amp;"|Film Ops"),CHAR(10), IF(ISBLANK('Ingest Template'!H83),"", 'Ingest Template'!H83&amp;"|Film Ops"))))</f>
        <v>
</v>
      </c>
      <c r="AD83" s="4"/>
      <c r="AE83" s="4"/>
      <c r="AF83" s="10"/>
      <c r="AG83" s="4"/>
      <c r="AH83" s="4"/>
    </row>
    <row r="84">
      <c r="A84" s="4"/>
      <c r="B84" s="4" t="str">
        <f>'Ingest Template'!B84&amp;IF('Ingest Template'!A84 = "Standard", " - DAR","")</f>
        <v/>
      </c>
      <c r="C84" s="5" t="s">
        <v>34</v>
      </c>
      <c r="D84" s="5" t="str">
        <f>CONCATENATE('Ingest Template'!C84,'Ingest Template'!D84)</f>
        <v/>
      </c>
      <c r="E84" s="4"/>
      <c r="F84" s="4"/>
      <c r="G84" s="4"/>
      <c r="H84" s="6"/>
      <c r="I84" s="6" t="str">
        <f>iF('Ingest Template'!A84="Standard","Pristine Brand","Unknown")</f>
        <v>Unknown</v>
      </c>
      <c r="J84" s="4" t="str">
        <f>iF('Ingest Template'!A84="Standard","LF // Beverages","Competitive View")</f>
        <v>Competitive View</v>
      </c>
      <c r="K84" s="7" t="s">
        <v>35</v>
      </c>
      <c r="L84" s="8"/>
      <c r="M84" s="4"/>
      <c r="N84" s="4"/>
      <c r="O84" s="4"/>
      <c r="P84" s="4"/>
      <c r="Q84" s="4"/>
      <c r="R84" s="7" t="s">
        <v>36</v>
      </c>
      <c r="S84" s="4" t="str">
        <f>'Ingest Template'!J84</f>
        <v/>
      </c>
      <c r="T84" s="4" t="str">
        <f>'Ingest Template'!I84</f>
        <v/>
      </c>
      <c r="U84" s="4" t="str">
        <f>LOWER(SUBSTITUTE(SUBSTITUTE(SUBSTITUTE(SUBSTITUTE(SUBSTITUTE('Ingest Template'!K84,"https:",""),"www.",""),"/",""),"?hl=en",""),"instagram.com",""))</f>
        <v/>
      </c>
      <c r="V84" s="9" t="str">
        <f>'Ingest Template'!L84</f>
        <v/>
      </c>
      <c r="W84" s="9" t="str">
        <f>'Ingest Template'!M84</f>
        <v/>
      </c>
      <c r="X84" s="4" t="str">
        <f>SUBSTITUTE(SUBSTITUTE(SUBSTITUTE('Ingest Template'!N84,"http:",""),"https:",""),"/","")</f>
        <v/>
      </c>
      <c r="Y84" s="4" t="str">
        <f t="array" ref="Y84">IF('Ingest Template'!A84="Standard",(IF(ISBLANK('Ingest Template'!O84),"", 'Ingest Template'!O84&amp;"|DAR")),(IF(ISBLANK('Ingest Template'!O84),"", 'Ingest Template'!O84&amp;"|Film Ops")))</f>
        <v/>
      </c>
      <c r="Z84" s="4"/>
      <c r="AA84" s="4" t="str">
        <f>'Ingest Template'!E84</f>
        <v/>
      </c>
      <c r="AB84" s="7"/>
      <c r="AC84" s="4" t="str">
        <f t="array" ref="AC84">IF('Ingest Template'!A84="Standard",(CONCATENATE(IF(ISBLANK('Ingest Template'!F84),"", 'Ingest Template'!F84&amp;"|DAR"),CHAR(10), IF(ISBLANK('Ingest Template'!G84),"", 'Ingest Template'!G84&amp;"|DAR"),CHAR(10), IF(ISBLANK('Ingest Template'!H84),"", 'Ingest Template'!H84&amp;"|DAR"))),(CONCATENATE(IF(ISBLANK('Ingest Template'!F84),"", 'Ingest Template'!F84&amp;"|Film Ops"),CHAR(10), IF(ISBLANK('Ingest Template'!G84),"", 'Ingest Template'!G84&amp;"|Film Ops"),CHAR(10), IF(ISBLANK('Ingest Template'!H84),"", 'Ingest Template'!H84&amp;"|Film Ops"))))</f>
        <v>
</v>
      </c>
      <c r="AD84" s="4"/>
      <c r="AE84" s="4"/>
      <c r="AF84" s="10"/>
      <c r="AG84" s="4"/>
      <c r="AH84" s="4"/>
    </row>
    <row r="85">
      <c r="A85" s="4"/>
      <c r="B85" s="4" t="str">
        <f>'Ingest Template'!B85&amp;IF('Ingest Template'!A85 = "Standard", " - DAR","")</f>
        <v/>
      </c>
      <c r="C85" s="5" t="s">
        <v>34</v>
      </c>
      <c r="D85" s="5" t="str">
        <f>CONCATENATE('Ingest Template'!C85,'Ingest Template'!D85)</f>
        <v/>
      </c>
      <c r="E85" s="4"/>
      <c r="F85" s="4"/>
      <c r="G85" s="4"/>
      <c r="H85" s="6"/>
      <c r="I85" s="6" t="str">
        <f>iF('Ingest Template'!A85="Standard","Pristine Brand","Unknown")</f>
        <v>Unknown</v>
      </c>
      <c r="J85" s="4" t="str">
        <f>iF('Ingest Template'!A85="Standard","LF // Beverages","Competitive View")</f>
        <v>Competitive View</v>
      </c>
      <c r="K85" s="7" t="s">
        <v>35</v>
      </c>
      <c r="L85" s="8"/>
      <c r="M85" s="4"/>
      <c r="N85" s="4"/>
      <c r="O85" s="4"/>
      <c r="P85" s="4"/>
      <c r="Q85" s="4"/>
      <c r="R85" s="7" t="s">
        <v>36</v>
      </c>
      <c r="S85" s="4" t="str">
        <f>'Ingest Template'!J85</f>
        <v/>
      </c>
      <c r="T85" s="4" t="str">
        <f>'Ingest Template'!I85</f>
        <v/>
      </c>
      <c r="U85" s="4" t="str">
        <f>LOWER(SUBSTITUTE(SUBSTITUTE(SUBSTITUTE(SUBSTITUTE(SUBSTITUTE('Ingest Template'!K85,"https:",""),"www.",""),"/",""),"?hl=en",""),"instagram.com",""))</f>
        <v/>
      </c>
      <c r="V85" s="9" t="str">
        <f>'Ingest Template'!L85</f>
        <v/>
      </c>
      <c r="W85" s="9" t="str">
        <f>'Ingest Template'!M85</f>
        <v/>
      </c>
      <c r="X85" s="4" t="str">
        <f>SUBSTITUTE(SUBSTITUTE(SUBSTITUTE('Ingest Template'!N85,"http:",""),"https:",""),"/","")</f>
        <v/>
      </c>
      <c r="Y85" s="4" t="str">
        <f t="array" ref="Y85">IF('Ingest Template'!A85="Standard",(IF(ISBLANK('Ingest Template'!O85),"", 'Ingest Template'!O85&amp;"|DAR")),(IF(ISBLANK('Ingest Template'!O85),"", 'Ingest Template'!O85&amp;"|Film Ops")))</f>
        <v/>
      </c>
      <c r="Z85" s="4"/>
      <c r="AA85" s="4" t="str">
        <f>'Ingest Template'!E85</f>
        <v/>
      </c>
      <c r="AB85" s="7"/>
      <c r="AC85" s="4" t="str">
        <f t="array" ref="AC85">IF('Ingest Template'!A85="Standard",(CONCATENATE(IF(ISBLANK('Ingest Template'!F85),"", 'Ingest Template'!F85&amp;"|DAR"),CHAR(10), IF(ISBLANK('Ingest Template'!G85),"", 'Ingest Template'!G85&amp;"|DAR"),CHAR(10), IF(ISBLANK('Ingest Template'!H85),"", 'Ingest Template'!H85&amp;"|DAR"))),(CONCATENATE(IF(ISBLANK('Ingest Template'!F85),"", 'Ingest Template'!F85&amp;"|Film Ops"),CHAR(10), IF(ISBLANK('Ingest Template'!G85),"", 'Ingest Template'!G85&amp;"|Film Ops"),CHAR(10), IF(ISBLANK('Ingest Template'!H85),"", 'Ingest Template'!H85&amp;"|Film Ops"))))</f>
        <v>
</v>
      </c>
      <c r="AD85" s="4"/>
      <c r="AE85" s="4"/>
      <c r="AF85" s="10"/>
      <c r="AG85" s="4"/>
      <c r="AH85" s="4"/>
    </row>
    <row r="86">
      <c r="A86" s="4"/>
      <c r="B86" s="4" t="str">
        <f>'Ingest Template'!B86&amp;IF('Ingest Template'!A86 = "Standard", " - DAR","")</f>
        <v/>
      </c>
      <c r="C86" s="5" t="s">
        <v>34</v>
      </c>
      <c r="D86" s="5" t="str">
        <f>CONCATENATE('Ingest Template'!C86,'Ingest Template'!D86)</f>
        <v/>
      </c>
      <c r="E86" s="4"/>
      <c r="F86" s="4"/>
      <c r="G86" s="4"/>
      <c r="H86" s="6"/>
      <c r="I86" s="6" t="str">
        <f>iF('Ingest Template'!A86="Standard","Pristine Brand","Unknown")</f>
        <v>Unknown</v>
      </c>
      <c r="J86" s="4" t="str">
        <f>iF('Ingest Template'!A86="Standard","LF // Beverages","Competitive View")</f>
        <v>Competitive View</v>
      </c>
      <c r="K86" s="7" t="s">
        <v>35</v>
      </c>
      <c r="L86" s="8"/>
      <c r="M86" s="4"/>
      <c r="N86" s="4"/>
      <c r="O86" s="4"/>
      <c r="P86" s="4"/>
      <c r="Q86" s="4"/>
      <c r="R86" s="7" t="s">
        <v>36</v>
      </c>
      <c r="S86" s="4" t="str">
        <f>'Ingest Template'!J86</f>
        <v/>
      </c>
      <c r="T86" s="4" t="str">
        <f>'Ingest Template'!I86</f>
        <v/>
      </c>
      <c r="U86" s="4" t="str">
        <f>LOWER(SUBSTITUTE(SUBSTITUTE(SUBSTITUTE(SUBSTITUTE(SUBSTITUTE('Ingest Template'!K86,"https:",""),"www.",""),"/",""),"?hl=en",""),"instagram.com",""))</f>
        <v/>
      </c>
      <c r="V86" s="9" t="str">
        <f>'Ingest Template'!L86</f>
        <v/>
      </c>
      <c r="W86" s="9" t="str">
        <f>'Ingest Template'!M86</f>
        <v/>
      </c>
      <c r="X86" s="4" t="str">
        <f>SUBSTITUTE(SUBSTITUTE(SUBSTITUTE('Ingest Template'!N86,"http:",""),"https:",""),"/","")</f>
        <v/>
      </c>
      <c r="Y86" s="4" t="str">
        <f t="array" ref="Y86">IF('Ingest Template'!A86="Standard",(IF(ISBLANK('Ingest Template'!O86),"", 'Ingest Template'!O86&amp;"|DAR")),(IF(ISBLANK('Ingest Template'!O86),"", 'Ingest Template'!O86&amp;"|Film Ops")))</f>
        <v/>
      </c>
      <c r="Z86" s="4"/>
      <c r="AA86" s="4" t="str">
        <f>'Ingest Template'!E86</f>
        <v/>
      </c>
      <c r="AB86" s="7"/>
      <c r="AC86" s="4" t="str">
        <f t="array" ref="AC86">IF('Ingest Template'!A86="Standard",(CONCATENATE(IF(ISBLANK('Ingest Template'!F86),"", 'Ingest Template'!F86&amp;"|DAR"),CHAR(10), IF(ISBLANK('Ingest Template'!G86),"", 'Ingest Template'!G86&amp;"|DAR"),CHAR(10), IF(ISBLANK('Ingest Template'!H86),"", 'Ingest Template'!H86&amp;"|DAR"))),(CONCATENATE(IF(ISBLANK('Ingest Template'!F86),"", 'Ingest Template'!F86&amp;"|Film Ops"),CHAR(10), IF(ISBLANK('Ingest Template'!G86),"", 'Ingest Template'!G86&amp;"|Film Ops"),CHAR(10), IF(ISBLANK('Ingest Template'!H86),"", 'Ingest Template'!H86&amp;"|Film Ops"))))</f>
        <v>
</v>
      </c>
      <c r="AD86" s="4"/>
      <c r="AE86" s="4"/>
      <c r="AF86" s="10"/>
      <c r="AG86" s="4"/>
      <c r="AH86" s="4"/>
    </row>
    <row r="87">
      <c r="A87" s="4"/>
      <c r="B87" s="4" t="str">
        <f>'Ingest Template'!B87&amp;IF('Ingest Template'!A87 = "Standard", " - DAR","")</f>
        <v/>
      </c>
      <c r="C87" s="5" t="s">
        <v>34</v>
      </c>
      <c r="D87" s="5" t="str">
        <f>CONCATENATE('Ingest Template'!C87,'Ingest Template'!D87)</f>
        <v/>
      </c>
      <c r="E87" s="4"/>
      <c r="F87" s="4"/>
      <c r="G87" s="4"/>
      <c r="H87" s="6"/>
      <c r="I87" s="6" t="str">
        <f>iF('Ingest Template'!A87="Standard","Pristine Brand","Unknown")</f>
        <v>Unknown</v>
      </c>
      <c r="J87" s="4" t="str">
        <f>iF('Ingest Template'!A87="Standard","LF // Beverages","Competitive View")</f>
        <v>Competitive View</v>
      </c>
      <c r="K87" s="7" t="s">
        <v>35</v>
      </c>
      <c r="L87" s="8"/>
      <c r="M87" s="4"/>
      <c r="N87" s="4"/>
      <c r="O87" s="4"/>
      <c r="P87" s="4"/>
      <c r="Q87" s="4"/>
      <c r="R87" s="7" t="s">
        <v>36</v>
      </c>
      <c r="S87" s="4" t="str">
        <f>'Ingest Template'!J87</f>
        <v/>
      </c>
      <c r="T87" s="4" t="str">
        <f>'Ingest Template'!I87</f>
        <v/>
      </c>
      <c r="U87" s="4" t="str">
        <f>LOWER(SUBSTITUTE(SUBSTITUTE(SUBSTITUTE(SUBSTITUTE(SUBSTITUTE('Ingest Template'!K87,"https:",""),"www.",""),"/",""),"?hl=en",""),"instagram.com",""))</f>
        <v/>
      </c>
      <c r="V87" s="9" t="str">
        <f>'Ingest Template'!L87</f>
        <v/>
      </c>
      <c r="W87" s="9" t="str">
        <f>'Ingest Template'!M87</f>
        <v/>
      </c>
      <c r="X87" s="4" t="str">
        <f>SUBSTITUTE(SUBSTITUTE(SUBSTITUTE('Ingest Template'!N87,"http:",""),"https:",""),"/","")</f>
        <v/>
      </c>
      <c r="Y87" s="4" t="str">
        <f t="array" ref="Y87">IF('Ingest Template'!A87="Standard",(IF(ISBLANK('Ingest Template'!O87),"", 'Ingest Template'!O87&amp;"|DAR")),(IF(ISBLANK('Ingest Template'!O87),"", 'Ingest Template'!O87&amp;"|Film Ops")))</f>
        <v/>
      </c>
      <c r="Z87" s="4"/>
      <c r="AA87" s="4" t="str">
        <f>'Ingest Template'!E87</f>
        <v/>
      </c>
      <c r="AB87" s="7"/>
      <c r="AC87" s="4" t="str">
        <f t="array" ref="AC87">IF('Ingest Template'!A87="Standard",(CONCATENATE(IF(ISBLANK('Ingest Template'!F87),"", 'Ingest Template'!F87&amp;"|DAR"),CHAR(10), IF(ISBLANK('Ingest Template'!G87),"", 'Ingest Template'!G87&amp;"|DAR"),CHAR(10), IF(ISBLANK('Ingest Template'!H87),"", 'Ingest Template'!H87&amp;"|DAR"))),(CONCATENATE(IF(ISBLANK('Ingest Template'!F87),"", 'Ingest Template'!F87&amp;"|Film Ops"),CHAR(10), IF(ISBLANK('Ingest Template'!G87),"", 'Ingest Template'!G87&amp;"|Film Ops"),CHAR(10), IF(ISBLANK('Ingest Template'!H87),"", 'Ingest Template'!H87&amp;"|Film Ops"))))</f>
        <v>
</v>
      </c>
      <c r="AD87" s="4"/>
      <c r="AE87" s="4"/>
      <c r="AF87" s="10"/>
      <c r="AG87" s="4"/>
      <c r="AH87" s="4"/>
    </row>
    <row r="88">
      <c r="A88" s="4"/>
      <c r="B88" s="4" t="str">
        <f>'Ingest Template'!B88&amp;IF('Ingest Template'!A88 = "Standard", " - DAR","")</f>
        <v/>
      </c>
      <c r="C88" s="5" t="s">
        <v>34</v>
      </c>
      <c r="D88" s="5" t="str">
        <f>CONCATENATE('Ingest Template'!C88,'Ingest Template'!D88)</f>
        <v/>
      </c>
      <c r="E88" s="4"/>
      <c r="F88" s="4"/>
      <c r="G88" s="4"/>
      <c r="H88" s="6"/>
      <c r="I88" s="6" t="str">
        <f>iF('Ingest Template'!A88="Standard","Pristine Brand","Unknown")</f>
        <v>Unknown</v>
      </c>
      <c r="J88" s="4" t="str">
        <f>iF('Ingest Template'!A88="Standard","LF // Beverages","Competitive View")</f>
        <v>Competitive View</v>
      </c>
      <c r="K88" s="7" t="s">
        <v>35</v>
      </c>
      <c r="L88" s="8"/>
      <c r="M88" s="4"/>
      <c r="N88" s="4"/>
      <c r="O88" s="4"/>
      <c r="P88" s="4"/>
      <c r="Q88" s="4"/>
      <c r="R88" s="7" t="s">
        <v>36</v>
      </c>
      <c r="S88" s="4" t="str">
        <f>'Ingest Template'!J88</f>
        <v/>
      </c>
      <c r="T88" s="4" t="str">
        <f>'Ingest Template'!I88</f>
        <v/>
      </c>
      <c r="U88" s="4" t="str">
        <f>LOWER(SUBSTITUTE(SUBSTITUTE(SUBSTITUTE(SUBSTITUTE(SUBSTITUTE('Ingest Template'!K88,"https:",""),"www.",""),"/",""),"?hl=en",""),"instagram.com",""))</f>
        <v/>
      </c>
      <c r="V88" s="9" t="str">
        <f>'Ingest Template'!L88</f>
        <v/>
      </c>
      <c r="W88" s="9" t="str">
        <f>'Ingest Template'!M88</f>
        <v/>
      </c>
      <c r="X88" s="4" t="str">
        <f>SUBSTITUTE(SUBSTITUTE(SUBSTITUTE('Ingest Template'!N88,"http:",""),"https:",""),"/","")</f>
        <v/>
      </c>
      <c r="Y88" s="4" t="str">
        <f t="array" ref="Y88">IF('Ingest Template'!A88="Standard",(IF(ISBLANK('Ingest Template'!O88),"", 'Ingest Template'!O88&amp;"|DAR")),(IF(ISBLANK('Ingest Template'!O88),"", 'Ingest Template'!O88&amp;"|Film Ops")))</f>
        <v/>
      </c>
      <c r="Z88" s="4"/>
      <c r="AA88" s="4" t="str">
        <f>'Ingest Template'!E88</f>
        <v/>
      </c>
      <c r="AB88" s="7"/>
      <c r="AC88" s="4" t="str">
        <f t="array" ref="AC88">IF('Ingest Template'!A88="Standard",(CONCATENATE(IF(ISBLANK('Ingest Template'!F88),"", 'Ingest Template'!F88&amp;"|DAR"),CHAR(10), IF(ISBLANK('Ingest Template'!G88),"", 'Ingest Template'!G88&amp;"|DAR"),CHAR(10), IF(ISBLANK('Ingest Template'!H88),"", 'Ingest Template'!H88&amp;"|DAR"))),(CONCATENATE(IF(ISBLANK('Ingest Template'!F88),"", 'Ingest Template'!F88&amp;"|Film Ops"),CHAR(10), IF(ISBLANK('Ingest Template'!G88),"", 'Ingest Template'!G88&amp;"|Film Ops"),CHAR(10), IF(ISBLANK('Ingest Template'!H88),"", 'Ingest Template'!H88&amp;"|Film Ops"))))</f>
        <v>
</v>
      </c>
      <c r="AD88" s="4"/>
      <c r="AE88" s="4"/>
      <c r="AF88" s="10"/>
      <c r="AG88" s="4"/>
      <c r="AH88" s="4"/>
    </row>
    <row r="89">
      <c r="A89" s="4"/>
      <c r="B89" s="4" t="str">
        <f>'Ingest Template'!B89&amp;IF('Ingest Template'!A89 = "Standard", " - DAR","")</f>
        <v/>
      </c>
      <c r="C89" s="5" t="s">
        <v>34</v>
      </c>
      <c r="D89" s="5" t="str">
        <f>CONCATENATE('Ingest Template'!C89,'Ingest Template'!D89)</f>
        <v/>
      </c>
      <c r="E89" s="4"/>
      <c r="F89" s="4"/>
      <c r="G89" s="4"/>
      <c r="H89" s="6"/>
      <c r="I89" s="6" t="str">
        <f>iF('Ingest Template'!A89="Standard","Pristine Brand","Unknown")</f>
        <v>Unknown</v>
      </c>
      <c r="J89" s="4" t="str">
        <f>iF('Ingest Template'!A89="Standard","LF // Beverages","Competitive View")</f>
        <v>Competitive View</v>
      </c>
      <c r="K89" s="7" t="s">
        <v>35</v>
      </c>
      <c r="L89" s="8"/>
      <c r="M89" s="4"/>
      <c r="N89" s="4"/>
      <c r="O89" s="4"/>
      <c r="P89" s="4"/>
      <c r="Q89" s="4"/>
      <c r="R89" s="7" t="s">
        <v>36</v>
      </c>
      <c r="S89" s="4" t="str">
        <f>'Ingest Template'!J89</f>
        <v/>
      </c>
      <c r="T89" s="4" t="str">
        <f>'Ingest Template'!I89</f>
        <v/>
      </c>
      <c r="U89" s="4" t="str">
        <f>LOWER(SUBSTITUTE(SUBSTITUTE(SUBSTITUTE(SUBSTITUTE(SUBSTITUTE('Ingest Template'!K89,"https:",""),"www.",""),"/",""),"?hl=en",""),"instagram.com",""))</f>
        <v/>
      </c>
      <c r="V89" s="9" t="str">
        <f>'Ingest Template'!L89</f>
        <v/>
      </c>
      <c r="W89" s="9" t="str">
        <f>'Ingest Template'!M89</f>
        <v/>
      </c>
      <c r="X89" s="4" t="str">
        <f>SUBSTITUTE(SUBSTITUTE(SUBSTITUTE('Ingest Template'!N89,"http:",""),"https:",""),"/","")</f>
        <v/>
      </c>
      <c r="Y89" s="4" t="str">
        <f t="array" ref="Y89">IF('Ingest Template'!A89="Standard",(IF(ISBLANK('Ingest Template'!O89),"", 'Ingest Template'!O89&amp;"|DAR")),(IF(ISBLANK('Ingest Template'!O89),"", 'Ingest Template'!O89&amp;"|Film Ops")))</f>
        <v/>
      </c>
      <c r="Z89" s="4"/>
      <c r="AA89" s="4" t="str">
        <f>'Ingest Template'!E89</f>
        <v/>
      </c>
      <c r="AB89" s="7"/>
      <c r="AC89" s="4" t="str">
        <f t="array" ref="AC89">IF('Ingest Template'!A89="Standard",(CONCATENATE(IF(ISBLANK('Ingest Template'!F89),"", 'Ingest Template'!F89&amp;"|DAR"),CHAR(10), IF(ISBLANK('Ingest Template'!G89),"", 'Ingest Template'!G89&amp;"|DAR"),CHAR(10), IF(ISBLANK('Ingest Template'!H89),"", 'Ingest Template'!H89&amp;"|DAR"))),(CONCATENATE(IF(ISBLANK('Ingest Template'!F89),"", 'Ingest Template'!F89&amp;"|Film Ops"),CHAR(10), IF(ISBLANK('Ingest Template'!G89),"", 'Ingest Template'!G89&amp;"|Film Ops"),CHAR(10), IF(ISBLANK('Ingest Template'!H89),"", 'Ingest Template'!H89&amp;"|Film Ops"))))</f>
        <v>
</v>
      </c>
      <c r="AD89" s="4"/>
      <c r="AE89" s="4"/>
      <c r="AF89" s="10"/>
      <c r="AG89" s="4"/>
      <c r="AH89" s="4"/>
    </row>
    <row r="90">
      <c r="A90" s="4"/>
      <c r="B90" s="4" t="str">
        <f>'Ingest Template'!B90&amp;IF('Ingest Template'!A90 = "Standard", " - DAR","")</f>
        <v/>
      </c>
      <c r="C90" s="5" t="s">
        <v>34</v>
      </c>
      <c r="D90" s="5" t="str">
        <f>CONCATENATE('Ingest Template'!C90,'Ingest Template'!D90)</f>
        <v/>
      </c>
      <c r="E90" s="4"/>
      <c r="F90" s="4"/>
      <c r="G90" s="4"/>
      <c r="H90" s="6"/>
      <c r="I90" s="6" t="str">
        <f>iF('Ingest Template'!A90="Standard","Pristine Brand","Unknown")</f>
        <v>Unknown</v>
      </c>
      <c r="J90" s="4" t="str">
        <f>iF('Ingest Template'!A90="Standard","LF // Beverages","Competitive View")</f>
        <v>Competitive View</v>
      </c>
      <c r="K90" s="7" t="s">
        <v>35</v>
      </c>
      <c r="L90" s="8"/>
      <c r="M90" s="4"/>
      <c r="N90" s="4"/>
      <c r="O90" s="4"/>
      <c r="P90" s="4"/>
      <c r="Q90" s="4"/>
      <c r="R90" s="7" t="s">
        <v>36</v>
      </c>
      <c r="S90" s="4" t="str">
        <f>'Ingest Template'!J90</f>
        <v/>
      </c>
      <c r="T90" s="4" t="str">
        <f>'Ingest Template'!I90</f>
        <v/>
      </c>
      <c r="U90" s="4" t="str">
        <f>LOWER(SUBSTITUTE(SUBSTITUTE(SUBSTITUTE(SUBSTITUTE(SUBSTITUTE('Ingest Template'!K90,"https:",""),"www.",""),"/",""),"?hl=en",""),"instagram.com",""))</f>
        <v/>
      </c>
      <c r="V90" s="9" t="str">
        <f>'Ingest Template'!L90</f>
        <v/>
      </c>
      <c r="W90" s="9" t="str">
        <f>'Ingest Template'!M90</f>
        <v/>
      </c>
      <c r="X90" s="4" t="str">
        <f>SUBSTITUTE(SUBSTITUTE(SUBSTITUTE('Ingest Template'!N90,"http:",""),"https:",""),"/","")</f>
        <v/>
      </c>
      <c r="Y90" s="4" t="str">
        <f t="array" ref="Y90">IF('Ingest Template'!A90="Standard",(IF(ISBLANK('Ingest Template'!O90),"", 'Ingest Template'!O90&amp;"|DAR")),(IF(ISBLANK('Ingest Template'!O90),"", 'Ingest Template'!O90&amp;"|Film Ops")))</f>
        <v/>
      </c>
      <c r="Z90" s="4"/>
      <c r="AA90" s="4" t="str">
        <f>'Ingest Template'!E90</f>
        <v/>
      </c>
      <c r="AB90" s="7"/>
      <c r="AC90" s="4" t="str">
        <f t="array" ref="AC90">IF('Ingest Template'!A90="Standard",(CONCATENATE(IF(ISBLANK('Ingest Template'!F90),"", 'Ingest Template'!F90&amp;"|DAR"),CHAR(10), IF(ISBLANK('Ingest Template'!G90),"", 'Ingest Template'!G90&amp;"|DAR"),CHAR(10), IF(ISBLANK('Ingest Template'!H90),"", 'Ingest Template'!H90&amp;"|DAR"))),(CONCATENATE(IF(ISBLANK('Ingest Template'!F90),"", 'Ingest Template'!F90&amp;"|Film Ops"),CHAR(10), IF(ISBLANK('Ingest Template'!G90),"", 'Ingest Template'!G90&amp;"|Film Ops"),CHAR(10), IF(ISBLANK('Ingest Template'!H90),"", 'Ingest Template'!H90&amp;"|Film Ops"))))</f>
        <v>
</v>
      </c>
      <c r="AD90" s="4"/>
      <c r="AE90" s="4"/>
      <c r="AF90" s="10"/>
      <c r="AG90" s="4"/>
      <c r="AH90" s="4"/>
    </row>
    <row r="91">
      <c r="A91" s="4"/>
      <c r="B91" s="4" t="str">
        <f>'Ingest Template'!B91&amp;IF('Ingest Template'!A91 = "Standard", " - DAR","")</f>
        <v/>
      </c>
      <c r="C91" s="5" t="s">
        <v>34</v>
      </c>
      <c r="D91" s="5" t="str">
        <f>CONCATENATE('Ingest Template'!C91,'Ingest Template'!D91)</f>
        <v/>
      </c>
      <c r="E91" s="4"/>
      <c r="F91" s="4"/>
      <c r="G91" s="4"/>
      <c r="H91" s="6"/>
      <c r="I91" s="6" t="str">
        <f>iF('Ingest Template'!A91="Standard","Pristine Brand","Unknown")</f>
        <v>Unknown</v>
      </c>
      <c r="J91" s="4" t="str">
        <f>iF('Ingest Template'!A91="Standard","LF // Beverages","Competitive View")</f>
        <v>Competitive View</v>
      </c>
      <c r="K91" s="7" t="s">
        <v>35</v>
      </c>
      <c r="L91" s="8"/>
      <c r="M91" s="4"/>
      <c r="N91" s="4"/>
      <c r="O91" s="4"/>
      <c r="P91" s="4"/>
      <c r="Q91" s="4"/>
      <c r="R91" s="7" t="s">
        <v>36</v>
      </c>
      <c r="S91" s="4" t="str">
        <f>'Ingest Template'!J91</f>
        <v/>
      </c>
      <c r="T91" s="4" t="str">
        <f>'Ingest Template'!I91</f>
        <v/>
      </c>
      <c r="U91" s="4" t="str">
        <f>LOWER(SUBSTITUTE(SUBSTITUTE(SUBSTITUTE(SUBSTITUTE(SUBSTITUTE('Ingest Template'!K91,"https:",""),"www.",""),"/",""),"?hl=en",""),"instagram.com",""))</f>
        <v/>
      </c>
      <c r="V91" s="9" t="str">
        <f>'Ingest Template'!L91</f>
        <v/>
      </c>
      <c r="W91" s="9" t="str">
        <f>'Ingest Template'!M91</f>
        <v/>
      </c>
      <c r="X91" s="4" t="str">
        <f>SUBSTITUTE(SUBSTITUTE(SUBSTITUTE('Ingest Template'!N91,"http:",""),"https:",""),"/","")</f>
        <v/>
      </c>
      <c r="Y91" s="4" t="str">
        <f t="array" ref="Y91">IF('Ingest Template'!A91="Standard",(IF(ISBLANK('Ingest Template'!O91),"", 'Ingest Template'!O91&amp;"|DAR")),(IF(ISBLANK('Ingest Template'!O91),"", 'Ingest Template'!O91&amp;"|Film Ops")))</f>
        <v/>
      </c>
      <c r="Z91" s="4"/>
      <c r="AA91" s="4" t="str">
        <f>'Ingest Template'!E91</f>
        <v/>
      </c>
      <c r="AB91" s="7"/>
      <c r="AC91" s="4" t="str">
        <f t="array" ref="AC91">IF('Ingest Template'!A91="Standard",(CONCATENATE(IF(ISBLANK('Ingest Template'!F91),"", 'Ingest Template'!F91&amp;"|DAR"),CHAR(10), IF(ISBLANK('Ingest Template'!G91),"", 'Ingest Template'!G91&amp;"|DAR"),CHAR(10), IF(ISBLANK('Ingest Template'!H91),"", 'Ingest Template'!H91&amp;"|DAR"))),(CONCATENATE(IF(ISBLANK('Ingest Template'!F91),"", 'Ingest Template'!F91&amp;"|Film Ops"),CHAR(10), IF(ISBLANK('Ingest Template'!G91),"", 'Ingest Template'!G91&amp;"|Film Ops"),CHAR(10), IF(ISBLANK('Ingest Template'!H91),"", 'Ingest Template'!H91&amp;"|Film Ops"))))</f>
        <v>
</v>
      </c>
      <c r="AD91" s="4"/>
      <c r="AE91" s="4"/>
      <c r="AF91" s="10"/>
      <c r="AG91" s="4"/>
      <c r="AH91" s="4"/>
    </row>
    <row r="92">
      <c r="A92" s="4"/>
      <c r="B92" s="4" t="str">
        <f>'Ingest Template'!B92&amp;IF('Ingest Template'!A92 = "Standard", " - DAR","")</f>
        <v/>
      </c>
      <c r="C92" s="5" t="s">
        <v>34</v>
      </c>
      <c r="D92" s="5" t="str">
        <f>CONCATENATE('Ingest Template'!C92,'Ingest Template'!D92)</f>
        <v/>
      </c>
      <c r="E92" s="4"/>
      <c r="F92" s="4"/>
      <c r="G92" s="4"/>
      <c r="H92" s="6"/>
      <c r="I92" s="6" t="str">
        <f>iF('Ingest Template'!A92="Standard","Pristine Brand","Unknown")</f>
        <v>Unknown</v>
      </c>
      <c r="J92" s="4" t="str">
        <f>iF('Ingest Template'!A92="Standard","LF // Beverages","Competitive View")</f>
        <v>Competitive View</v>
      </c>
      <c r="K92" s="7" t="s">
        <v>35</v>
      </c>
      <c r="L92" s="8"/>
      <c r="M92" s="4"/>
      <c r="N92" s="4"/>
      <c r="O92" s="4"/>
      <c r="P92" s="4"/>
      <c r="Q92" s="4"/>
      <c r="R92" s="7" t="s">
        <v>36</v>
      </c>
      <c r="S92" s="4" t="str">
        <f>'Ingest Template'!J92</f>
        <v/>
      </c>
      <c r="T92" s="4" t="str">
        <f>'Ingest Template'!I92</f>
        <v/>
      </c>
      <c r="U92" s="4" t="str">
        <f>LOWER(SUBSTITUTE(SUBSTITUTE(SUBSTITUTE(SUBSTITUTE(SUBSTITUTE('Ingest Template'!K92,"https:",""),"www.",""),"/",""),"?hl=en",""),"instagram.com",""))</f>
        <v/>
      </c>
      <c r="V92" s="9" t="str">
        <f>'Ingest Template'!L92</f>
        <v/>
      </c>
      <c r="W92" s="9" t="str">
        <f>'Ingest Template'!M92</f>
        <v/>
      </c>
      <c r="X92" s="4" t="str">
        <f>SUBSTITUTE(SUBSTITUTE(SUBSTITUTE('Ingest Template'!N92,"http:",""),"https:",""),"/","")</f>
        <v/>
      </c>
      <c r="Y92" s="4" t="str">
        <f t="array" ref="Y92">IF('Ingest Template'!A92="Standard",(IF(ISBLANK('Ingest Template'!O92),"", 'Ingest Template'!O92&amp;"|DAR")),(IF(ISBLANK('Ingest Template'!O92),"", 'Ingest Template'!O92&amp;"|Film Ops")))</f>
        <v/>
      </c>
      <c r="Z92" s="4"/>
      <c r="AA92" s="4" t="str">
        <f>'Ingest Template'!E92</f>
        <v/>
      </c>
      <c r="AB92" s="7"/>
      <c r="AC92" s="4" t="str">
        <f t="array" ref="AC92">IF('Ingest Template'!A92="Standard",(CONCATENATE(IF(ISBLANK('Ingest Template'!F92),"", 'Ingest Template'!F92&amp;"|DAR"),CHAR(10), IF(ISBLANK('Ingest Template'!G92),"", 'Ingest Template'!G92&amp;"|DAR"),CHAR(10), IF(ISBLANK('Ingest Template'!H92),"", 'Ingest Template'!H92&amp;"|DAR"))),(CONCATENATE(IF(ISBLANK('Ingest Template'!F92),"", 'Ingest Template'!F92&amp;"|Film Ops"),CHAR(10), IF(ISBLANK('Ingest Template'!G92),"", 'Ingest Template'!G92&amp;"|Film Ops"),CHAR(10), IF(ISBLANK('Ingest Template'!H92),"", 'Ingest Template'!H92&amp;"|Film Ops"))))</f>
        <v>
</v>
      </c>
      <c r="AD92" s="4"/>
      <c r="AE92" s="4"/>
      <c r="AF92" s="10"/>
      <c r="AG92" s="4"/>
      <c r="AH92" s="4"/>
    </row>
    <row r="93">
      <c r="A93" s="4"/>
      <c r="B93" s="4" t="str">
        <f>'Ingest Template'!B93&amp;IF('Ingest Template'!A93 = "Standard", " - DAR","")</f>
        <v/>
      </c>
      <c r="C93" s="5" t="s">
        <v>34</v>
      </c>
      <c r="D93" s="5" t="str">
        <f>CONCATENATE('Ingest Template'!C93,'Ingest Template'!D93)</f>
        <v/>
      </c>
      <c r="E93" s="4"/>
      <c r="F93" s="4"/>
      <c r="G93" s="4"/>
      <c r="H93" s="6"/>
      <c r="I93" s="6" t="str">
        <f>iF('Ingest Template'!A93="Standard","Pristine Brand","Unknown")</f>
        <v>Unknown</v>
      </c>
      <c r="J93" s="4" t="str">
        <f>iF('Ingest Template'!A93="Standard","LF // Beverages","Competitive View")</f>
        <v>Competitive View</v>
      </c>
      <c r="K93" s="7" t="s">
        <v>35</v>
      </c>
      <c r="L93" s="8"/>
      <c r="M93" s="4"/>
      <c r="N93" s="4"/>
      <c r="O93" s="4"/>
      <c r="P93" s="4"/>
      <c r="Q93" s="4"/>
      <c r="R93" s="7" t="s">
        <v>36</v>
      </c>
      <c r="S93" s="4" t="str">
        <f>'Ingest Template'!J93</f>
        <v/>
      </c>
      <c r="T93" s="4" t="str">
        <f>'Ingest Template'!I93</f>
        <v/>
      </c>
      <c r="U93" s="4" t="str">
        <f>LOWER(SUBSTITUTE(SUBSTITUTE(SUBSTITUTE(SUBSTITUTE(SUBSTITUTE('Ingest Template'!K93,"https:",""),"www.",""),"/",""),"?hl=en",""),"instagram.com",""))</f>
        <v/>
      </c>
      <c r="V93" s="9" t="str">
        <f>'Ingest Template'!L93</f>
        <v/>
      </c>
      <c r="W93" s="9" t="str">
        <f>'Ingest Template'!M93</f>
        <v/>
      </c>
      <c r="X93" s="4" t="str">
        <f>SUBSTITUTE(SUBSTITUTE(SUBSTITUTE('Ingest Template'!N93,"http:",""),"https:",""),"/","")</f>
        <v/>
      </c>
      <c r="Y93" s="4" t="str">
        <f t="array" ref="Y93">IF('Ingest Template'!A93="Standard",(IF(ISBLANK('Ingest Template'!O93),"", 'Ingest Template'!O93&amp;"|DAR")),(IF(ISBLANK('Ingest Template'!O93),"", 'Ingest Template'!O93&amp;"|Film Ops")))</f>
        <v/>
      </c>
      <c r="Z93" s="4"/>
      <c r="AA93" s="4" t="str">
        <f>'Ingest Template'!E93</f>
        <v/>
      </c>
      <c r="AB93" s="7"/>
      <c r="AC93" s="4" t="str">
        <f t="array" ref="AC93">IF('Ingest Template'!A93="Standard",(CONCATENATE(IF(ISBLANK('Ingest Template'!F93),"", 'Ingest Template'!F93&amp;"|DAR"),CHAR(10), IF(ISBLANK('Ingest Template'!G93),"", 'Ingest Template'!G93&amp;"|DAR"),CHAR(10), IF(ISBLANK('Ingest Template'!H93),"", 'Ingest Template'!H93&amp;"|DAR"))),(CONCATENATE(IF(ISBLANK('Ingest Template'!F93),"", 'Ingest Template'!F93&amp;"|Film Ops"),CHAR(10), IF(ISBLANK('Ingest Template'!G93),"", 'Ingest Template'!G93&amp;"|Film Ops"),CHAR(10), IF(ISBLANK('Ingest Template'!H93),"", 'Ingest Template'!H93&amp;"|Film Ops"))))</f>
        <v>
</v>
      </c>
      <c r="AD93" s="4"/>
      <c r="AE93" s="4"/>
      <c r="AF93" s="10"/>
      <c r="AG93" s="4"/>
      <c r="AH93" s="4"/>
    </row>
    <row r="94">
      <c r="A94" s="4"/>
      <c r="B94" s="4" t="str">
        <f>'Ingest Template'!B94&amp;IF('Ingest Template'!A94 = "Standard", " - DAR","")</f>
        <v/>
      </c>
      <c r="C94" s="5" t="s">
        <v>34</v>
      </c>
      <c r="D94" s="5" t="str">
        <f>CONCATENATE('Ingest Template'!C94,'Ingest Template'!D94)</f>
        <v/>
      </c>
      <c r="E94" s="4"/>
      <c r="F94" s="4"/>
      <c r="G94" s="4"/>
      <c r="H94" s="6"/>
      <c r="I94" s="6" t="str">
        <f>iF('Ingest Template'!A94="Standard","Pristine Brand","Unknown")</f>
        <v>Unknown</v>
      </c>
      <c r="J94" s="4" t="str">
        <f>iF('Ingest Template'!A94="Standard","LF // Beverages","Competitive View")</f>
        <v>Competitive View</v>
      </c>
      <c r="K94" s="7" t="s">
        <v>35</v>
      </c>
      <c r="L94" s="8"/>
      <c r="M94" s="4"/>
      <c r="N94" s="4"/>
      <c r="O94" s="4"/>
      <c r="P94" s="4"/>
      <c r="Q94" s="4"/>
      <c r="R94" s="7" t="s">
        <v>36</v>
      </c>
      <c r="S94" s="4" t="str">
        <f>'Ingest Template'!J94</f>
        <v/>
      </c>
      <c r="T94" s="4" t="str">
        <f>'Ingest Template'!I94</f>
        <v/>
      </c>
      <c r="U94" s="4" t="str">
        <f>LOWER(SUBSTITUTE(SUBSTITUTE(SUBSTITUTE(SUBSTITUTE(SUBSTITUTE('Ingest Template'!K94,"https:",""),"www.",""),"/",""),"?hl=en",""),"instagram.com",""))</f>
        <v/>
      </c>
      <c r="V94" s="9" t="str">
        <f>'Ingest Template'!L94</f>
        <v/>
      </c>
      <c r="W94" s="9" t="str">
        <f>'Ingest Template'!M94</f>
        <v/>
      </c>
      <c r="X94" s="4" t="str">
        <f>SUBSTITUTE(SUBSTITUTE(SUBSTITUTE('Ingest Template'!N94,"http:",""),"https:",""),"/","")</f>
        <v/>
      </c>
      <c r="Y94" s="4" t="str">
        <f t="array" ref="Y94">IF('Ingest Template'!A94="Standard",(IF(ISBLANK('Ingest Template'!O94),"", 'Ingest Template'!O94&amp;"|DAR")),(IF(ISBLANK('Ingest Template'!O94),"", 'Ingest Template'!O94&amp;"|Film Ops")))</f>
        <v/>
      </c>
      <c r="Z94" s="4"/>
      <c r="AA94" s="4" t="str">
        <f>'Ingest Template'!E94</f>
        <v/>
      </c>
      <c r="AB94" s="7"/>
      <c r="AC94" s="4" t="str">
        <f t="array" ref="AC94">IF('Ingest Template'!A94="Standard",(CONCATENATE(IF(ISBLANK('Ingest Template'!F94),"", 'Ingest Template'!F94&amp;"|DAR"),CHAR(10), IF(ISBLANK('Ingest Template'!G94),"", 'Ingest Template'!G94&amp;"|DAR"),CHAR(10), IF(ISBLANK('Ingest Template'!H94),"", 'Ingest Template'!H94&amp;"|DAR"))),(CONCATENATE(IF(ISBLANK('Ingest Template'!F94),"", 'Ingest Template'!F94&amp;"|Film Ops"),CHAR(10), IF(ISBLANK('Ingest Template'!G94),"", 'Ingest Template'!G94&amp;"|Film Ops"),CHAR(10), IF(ISBLANK('Ingest Template'!H94),"", 'Ingest Template'!H94&amp;"|Film Ops"))))</f>
        <v>
</v>
      </c>
      <c r="AD94" s="4"/>
      <c r="AE94" s="4"/>
      <c r="AF94" s="10"/>
      <c r="AG94" s="4"/>
      <c r="AH94" s="4"/>
    </row>
    <row r="95">
      <c r="A95" s="4"/>
      <c r="B95" s="4" t="str">
        <f>'Ingest Template'!B95&amp;IF('Ingest Template'!A95 = "Standard", " - DAR","")</f>
        <v/>
      </c>
      <c r="C95" s="5" t="s">
        <v>34</v>
      </c>
      <c r="D95" s="5" t="str">
        <f>CONCATENATE('Ingest Template'!C95,'Ingest Template'!D95)</f>
        <v/>
      </c>
      <c r="E95" s="4"/>
      <c r="F95" s="4"/>
      <c r="G95" s="4"/>
      <c r="H95" s="6"/>
      <c r="I95" s="6" t="str">
        <f>iF('Ingest Template'!A95="Standard","Pristine Brand","Unknown")</f>
        <v>Unknown</v>
      </c>
      <c r="J95" s="4" t="str">
        <f>iF('Ingest Template'!A95="Standard","LF // Beverages","Competitive View")</f>
        <v>Competitive View</v>
      </c>
      <c r="K95" s="7" t="s">
        <v>35</v>
      </c>
      <c r="L95" s="8"/>
      <c r="M95" s="4"/>
      <c r="N95" s="4"/>
      <c r="O95" s="4"/>
      <c r="P95" s="4"/>
      <c r="Q95" s="4"/>
      <c r="R95" s="7" t="s">
        <v>36</v>
      </c>
      <c r="S95" s="4" t="str">
        <f>'Ingest Template'!J95</f>
        <v/>
      </c>
      <c r="T95" s="4" t="str">
        <f>'Ingest Template'!I95</f>
        <v/>
      </c>
      <c r="U95" s="4" t="str">
        <f>LOWER(SUBSTITUTE(SUBSTITUTE(SUBSTITUTE(SUBSTITUTE(SUBSTITUTE('Ingest Template'!K95,"https:",""),"www.",""),"/",""),"?hl=en",""),"instagram.com",""))</f>
        <v/>
      </c>
      <c r="V95" s="9" t="str">
        <f>'Ingest Template'!L95</f>
        <v/>
      </c>
      <c r="W95" s="9" t="str">
        <f>'Ingest Template'!M95</f>
        <v/>
      </c>
      <c r="X95" s="4" t="str">
        <f>SUBSTITUTE(SUBSTITUTE(SUBSTITUTE('Ingest Template'!N95,"http:",""),"https:",""),"/","")</f>
        <v/>
      </c>
      <c r="Y95" s="4" t="str">
        <f t="array" ref="Y95">IF('Ingest Template'!A95="Standard",(IF(ISBLANK('Ingest Template'!O95),"", 'Ingest Template'!O95&amp;"|DAR")),(IF(ISBLANK('Ingest Template'!O95),"", 'Ingest Template'!O95&amp;"|Film Ops")))</f>
        <v/>
      </c>
      <c r="Z95" s="4"/>
      <c r="AA95" s="4" t="str">
        <f>'Ingest Template'!E95</f>
        <v/>
      </c>
      <c r="AB95" s="7"/>
      <c r="AC95" s="4" t="str">
        <f t="array" ref="AC95">IF('Ingest Template'!A95="Standard",(CONCATENATE(IF(ISBLANK('Ingest Template'!F95),"", 'Ingest Template'!F95&amp;"|DAR"),CHAR(10), IF(ISBLANK('Ingest Template'!G95),"", 'Ingest Template'!G95&amp;"|DAR"),CHAR(10), IF(ISBLANK('Ingest Template'!H95),"", 'Ingest Template'!H95&amp;"|DAR"))),(CONCATENATE(IF(ISBLANK('Ingest Template'!F95),"", 'Ingest Template'!F95&amp;"|Film Ops"),CHAR(10), IF(ISBLANK('Ingest Template'!G95),"", 'Ingest Template'!G95&amp;"|Film Ops"),CHAR(10), IF(ISBLANK('Ingest Template'!H95),"", 'Ingest Template'!H95&amp;"|Film Ops"))))</f>
        <v>
</v>
      </c>
      <c r="AD95" s="4"/>
      <c r="AE95" s="4"/>
      <c r="AF95" s="10"/>
      <c r="AG95" s="4"/>
      <c r="AH95" s="4"/>
    </row>
    <row r="96">
      <c r="A96" s="4"/>
      <c r="B96" s="4" t="str">
        <f>'Ingest Template'!B96&amp;IF('Ingest Template'!A96 = "Standard", " - DAR","")</f>
        <v/>
      </c>
      <c r="C96" s="5" t="s">
        <v>34</v>
      </c>
      <c r="D96" s="5" t="str">
        <f>CONCATENATE('Ingest Template'!C96,'Ingest Template'!D96)</f>
        <v/>
      </c>
      <c r="E96" s="4"/>
      <c r="F96" s="4"/>
      <c r="G96" s="4"/>
      <c r="H96" s="6"/>
      <c r="I96" s="6" t="str">
        <f>iF('Ingest Template'!A96="Standard","Pristine Brand","Unknown")</f>
        <v>Unknown</v>
      </c>
      <c r="J96" s="4" t="str">
        <f>iF('Ingest Template'!A96="Standard","LF // Beverages","Competitive View")</f>
        <v>Competitive View</v>
      </c>
      <c r="K96" s="7" t="s">
        <v>35</v>
      </c>
      <c r="L96" s="8"/>
      <c r="M96" s="4"/>
      <c r="N96" s="4"/>
      <c r="O96" s="4"/>
      <c r="P96" s="4"/>
      <c r="Q96" s="4"/>
      <c r="R96" s="7" t="s">
        <v>36</v>
      </c>
      <c r="S96" s="4" t="str">
        <f>'Ingest Template'!J96</f>
        <v/>
      </c>
      <c r="T96" s="4" t="str">
        <f>'Ingest Template'!I96</f>
        <v/>
      </c>
      <c r="U96" s="4" t="str">
        <f>LOWER(SUBSTITUTE(SUBSTITUTE(SUBSTITUTE(SUBSTITUTE(SUBSTITUTE('Ingest Template'!K96,"https:",""),"www.",""),"/",""),"?hl=en",""),"instagram.com",""))</f>
        <v/>
      </c>
      <c r="V96" s="9" t="str">
        <f>'Ingest Template'!L96</f>
        <v/>
      </c>
      <c r="W96" s="9" t="str">
        <f>'Ingest Template'!M96</f>
        <v/>
      </c>
      <c r="X96" s="4" t="str">
        <f>SUBSTITUTE(SUBSTITUTE(SUBSTITUTE('Ingest Template'!N96,"http:",""),"https:",""),"/","")</f>
        <v/>
      </c>
      <c r="Y96" s="4" t="str">
        <f t="array" ref="Y96">IF('Ingest Template'!A96="Standard",(IF(ISBLANK('Ingest Template'!O96),"", 'Ingest Template'!O96&amp;"|DAR")),(IF(ISBLANK('Ingest Template'!O96),"", 'Ingest Template'!O96&amp;"|Film Ops")))</f>
        <v/>
      </c>
      <c r="Z96" s="4"/>
      <c r="AA96" s="4" t="str">
        <f>'Ingest Template'!E96</f>
        <v/>
      </c>
      <c r="AB96" s="7"/>
      <c r="AC96" s="4" t="str">
        <f t="array" ref="AC96">IF('Ingest Template'!A96="Standard",(CONCATENATE(IF(ISBLANK('Ingest Template'!F96),"", 'Ingest Template'!F96&amp;"|DAR"),CHAR(10), IF(ISBLANK('Ingest Template'!G96),"", 'Ingest Template'!G96&amp;"|DAR"),CHAR(10), IF(ISBLANK('Ingest Template'!H96),"", 'Ingest Template'!H96&amp;"|DAR"))),(CONCATENATE(IF(ISBLANK('Ingest Template'!F96),"", 'Ingest Template'!F96&amp;"|Film Ops"),CHAR(10), IF(ISBLANK('Ingest Template'!G96),"", 'Ingest Template'!G96&amp;"|Film Ops"),CHAR(10), IF(ISBLANK('Ingest Template'!H96),"", 'Ingest Template'!H96&amp;"|Film Ops"))))</f>
        <v>
</v>
      </c>
      <c r="AD96" s="4"/>
      <c r="AE96" s="4"/>
      <c r="AF96" s="10"/>
      <c r="AG96" s="4"/>
      <c r="AH96" s="4"/>
    </row>
    <row r="97">
      <c r="A97" s="4"/>
      <c r="B97" s="4" t="str">
        <f>'Ingest Template'!B97&amp;IF('Ingest Template'!A97 = "Standard", " - DAR","")</f>
        <v/>
      </c>
      <c r="C97" s="5" t="s">
        <v>34</v>
      </c>
      <c r="D97" s="5" t="str">
        <f>CONCATENATE('Ingest Template'!C97,'Ingest Template'!D97)</f>
        <v/>
      </c>
      <c r="E97" s="4"/>
      <c r="F97" s="4"/>
      <c r="G97" s="4"/>
      <c r="H97" s="6"/>
      <c r="I97" s="6" t="str">
        <f>iF('Ingest Template'!A97="Standard","Pristine Brand","Unknown")</f>
        <v>Unknown</v>
      </c>
      <c r="J97" s="4" t="str">
        <f>iF('Ingest Template'!A97="Standard","LF // Beverages","Competitive View")</f>
        <v>Competitive View</v>
      </c>
      <c r="K97" s="7" t="s">
        <v>35</v>
      </c>
      <c r="L97" s="8"/>
      <c r="M97" s="4"/>
      <c r="N97" s="4"/>
      <c r="O97" s="4"/>
      <c r="P97" s="4"/>
      <c r="Q97" s="4"/>
      <c r="R97" s="7" t="s">
        <v>36</v>
      </c>
      <c r="S97" s="4" t="str">
        <f>'Ingest Template'!J97</f>
        <v/>
      </c>
      <c r="T97" s="4" t="str">
        <f>'Ingest Template'!I97</f>
        <v/>
      </c>
      <c r="U97" s="4" t="str">
        <f>LOWER(SUBSTITUTE(SUBSTITUTE(SUBSTITUTE(SUBSTITUTE(SUBSTITUTE('Ingest Template'!K97,"https:",""),"www.",""),"/",""),"?hl=en",""),"instagram.com",""))</f>
        <v/>
      </c>
      <c r="V97" s="9" t="str">
        <f>'Ingest Template'!L97</f>
        <v/>
      </c>
      <c r="W97" s="9" t="str">
        <f>'Ingest Template'!M97</f>
        <v/>
      </c>
      <c r="X97" s="4" t="str">
        <f>SUBSTITUTE(SUBSTITUTE(SUBSTITUTE('Ingest Template'!N97,"http:",""),"https:",""),"/","")</f>
        <v/>
      </c>
      <c r="Y97" s="4" t="str">
        <f t="array" ref="Y97">IF('Ingest Template'!A97="Standard",(IF(ISBLANK('Ingest Template'!O97),"", 'Ingest Template'!O97&amp;"|DAR")),(IF(ISBLANK('Ingest Template'!O97),"", 'Ingest Template'!O97&amp;"|Film Ops")))</f>
        <v/>
      </c>
      <c r="Z97" s="4"/>
      <c r="AA97" s="4" t="str">
        <f>'Ingest Template'!E97</f>
        <v/>
      </c>
      <c r="AB97" s="7"/>
      <c r="AC97" s="4" t="str">
        <f t="array" ref="AC97">IF('Ingest Template'!A97="Standard",(CONCATENATE(IF(ISBLANK('Ingest Template'!F97),"", 'Ingest Template'!F97&amp;"|DAR"),CHAR(10), IF(ISBLANK('Ingest Template'!G97),"", 'Ingest Template'!G97&amp;"|DAR"),CHAR(10), IF(ISBLANK('Ingest Template'!H97),"", 'Ingest Template'!H97&amp;"|DAR"))),(CONCATENATE(IF(ISBLANK('Ingest Template'!F97),"", 'Ingest Template'!F97&amp;"|Film Ops"),CHAR(10), IF(ISBLANK('Ingest Template'!G97),"", 'Ingest Template'!G97&amp;"|Film Ops"),CHAR(10), IF(ISBLANK('Ingest Template'!H97),"", 'Ingest Template'!H97&amp;"|Film Ops"))))</f>
        <v>
</v>
      </c>
      <c r="AD97" s="4"/>
      <c r="AE97" s="4"/>
      <c r="AF97" s="10"/>
      <c r="AG97" s="4"/>
      <c r="AH97" s="4"/>
    </row>
    <row r="98">
      <c r="A98" s="4"/>
      <c r="B98" s="4" t="str">
        <f>'Ingest Template'!B98&amp;IF('Ingest Template'!A98 = "Standard", " - DAR","")</f>
        <v/>
      </c>
      <c r="C98" s="5" t="s">
        <v>34</v>
      </c>
      <c r="D98" s="5" t="str">
        <f>CONCATENATE('Ingest Template'!C98,'Ingest Template'!D98)</f>
        <v/>
      </c>
      <c r="E98" s="4"/>
      <c r="F98" s="4"/>
      <c r="G98" s="4"/>
      <c r="H98" s="6"/>
      <c r="I98" s="6" t="str">
        <f>iF('Ingest Template'!A98="Standard","Pristine Brand","Unknown")</f>
        <v>Unknown</v>
      </c>
      <c r="J98" s="4" t="str">
        <f>iF('Ingest Template'!A98="Standard","LF // Beverages","Competitive View")</f>
        <v>Competitive View</v>
      </c>
      <c r="K98" s="7" t="s">
        <v>35</v>
      </c>
      <c r="L98" s="8"/>
      <c r="M98" s="4"/>
      <c r="N98" s="4"/>
      <c r="O98" s="4"/>
      <c r="P98" s="4"/>
      <c r="Q98" s="4"/>
      <c r="R98" s="7" t="s">
        <v>36</v>
      </c>
      <c r="S98" s="4" t="str">
        <f>'Ingest Template'!J98</f>
        <v/>
      </c>
      <c r="T98" s="4" t="str">
        <f>'Ingest Template'!I98</f>
        <v/>
      </c>
      <c r="U98" s="4" t="str">
        <f>LOWER(SUBSTITUTE(SUBSTITUTE(SUBSTITUTE(SUBSTITUTE(SUBSTITUTE('Ingest Template'!K98,"https:",""),"www.",""),"/",""),"?hl=en",""),"instagram.com",""))</f>
        <v/>
      </c>
      <c r="V98" s="9" t="str">
        <f>'Ingest Template'!L98</f>
        <v/>
      </c>
      <c r="W98" s="9" t="str">
        <f>'Ingest Template'!M98</f>
        <v/>
      </c>
      <c r="X98" s="4" t="str">
        <f>SUBSTITUTE(SUBSTITUTE(SUBSTITUTE('Ingest Template'!N98,"http:",""),"https:",""),"/","")</f>
        <v/>
      </c>
      <c r="Y98" s="4" t="str">
        <f t="array" ref="Y98">IF('Ingest Template'!A98="Standard",(IF(ISBLANK('Ingest Template'!O98),"", 'Ingest Template'!O98&amp;"|DAR")),(IF(ISBLANK('Ingest Template'!O98),"", 'Ingest Template'!O98&amp;"|Film Ops")))</f>
        <v/>
      </c>
      <c r="Z98" s="4"/>
      <c r="AA98" s="4" t="str">
        <f>'Ingest Template'!E98</f>
        <v/>
      </c>
      <c r="AB98" s="7"/>
      <c r="AC98" s="4" t="str">
        <f t="array" ref="AC98">IF('Ingest Template'!A98="Standard",(CONCATENATE(IF(ISBLANK('Ingest Template'!F98),"", 'Ingest Template'!F98&amp;"|DAR"),CHAR(10), IF(ISBLANK('Ingest Template'!G98),"", 'Ingest Template'!G98&amp;"|DAR"),CHAR(10), IF(ISBLANK('Ingest Template'!H98),"", 'Ingest Template'!H98&amp;"|DAR"))),(CONCATENATE(IF(ISBLANK('Ingest Template'!F98),"", 'Ingest Template'!F98&amp;"|Film Ops"),CHAR(10), IF(ISBLANK('Ingest Template'!G98),"", 'Ingest Template'!G98&amp;"|Film Ops"),CHAR(10), IF(ISBLANK('Ingest Template'!H98),"", 'Ingest Template'!H98&amp;"|Film Ops"))))</f>
        <v>
</v>
      </c>
      <c r="AD98" s="4"/>
      <c r="AE98" s="4"/>
      <c r="AF98" s="10"/>
      <c r="AG98" s="4"/>
      <c r="AH98" s="4"/>
    </row>
    <row r="99">
      <c r="A99" s="4"/>
      <c r="B99" s="4" t="str">
        <f>'Ingest Template'!B99&amp;IF('Ingest Template'!A99 = "Standard", " - DAR","")</f>
        <v/>
      </c>
      <c r="C99" s="5" t="s">
        <v>34</v>
      </c>
      <c r="D99" s="5" t="str">
        <f>CONCATENATE('Ingest Template'!C99,'Ingest Template'!D99)</f>
        <v/>
      </c>
      <c r="E99" s="4"/>
      <c r="F99" s="4"/>
      <c r="G99" s="4"/>
      <c r="H99" s="6"/>
      <c r="I99" s="6" t="str">
        <f>iF('Ingest Template'!A99="Standard","Pristine Brand","Unknown")</f>
        <v>Unknown</v>
      </c>
      <c r="J99" s="4" t="str">
        <f>iF('Ingest Template'!A99="Standard","LF // Beverages","Competitive View")</f>
        <v>Competitive View</v>
      </c>
      <c r="K99" s="7" t="s">
        <v>35</v>
      </c>
      <c r="L99" s="8"/>
      <c r="M99" s="4"/>
      <c r="N99" s="4"/>
      <c r="O99" s="4"/>
      <c r="P99" s="4"/>
      <c r="Q99" s="4"/>
      <c r="R99" s="7" t="s">
        <v>36</v>
      </c>
      <c r="S99" s="4" t="str">
        <f>'Ingest Template'!J99</f>
        <v/>
      </c>
      <c r="T99" s="4" t="str">
        <f>'Ingest Template'!I99</f>
        <v/>
      </c>
      <c r="U99" s="4" t="str">
        <f>LOWER(SUBSTITUTE(SUBSTITUTE(SUBSTITUTE(SUBSTITUTE(SUBSTITUTE('Ingest Template'!K99,"https:",""),"www.",""),"/",""),"?hl=en",""),"instagram.com",""))</f>
        <v/>
      </c>
      <c r="V99" s="9" t="str">
        <f>'Ingest Template'!L99</f>
        <v/>
      </c>
      <c r="W99" s="9" t="str">
        <f>'Ingest Template'!M99</f>
        <v/>
      </c>
      <c r="X99" s="4" t="str">
        <f>SUBSTITUTE(SUBSTITUTE(SUBSTITUTE('Ingest Template'!N99,"http:",""),"https:",""),"/","")</f>
        <v/>
      </c>
      <c r="Y99" s="4" t="str">
        <f t="array" ref="Y99">IF('Ingest Template'!A99="Standard",(IF(ISBLANK('Ingest Template'!O99),"", 'Ingest Template'!O99&amp;"|DAR")),(IF(ISBLANK('Ingest Template'!O99),"", 'Ingest Template'!O99&amp;"|Film Ops")))</f>
        <v/>
      </c>
      <c r="Z99" s="4"/>
      <c r="AA99" s="4" t="str">
        <f>'Ingest Template'!E99</f>
        <v/>
      </c>
      <c r="AB99" s="7"/>
      <c r="AC99" s="4" t="str">
        <f t="array" ref="AC99">IF('Ingest Template'!A99="Standard",(CONCATENATE(IF(ISBLANK('Ingest Template'!F99),"", 'Ingest Template'!F99&amp;"|DAR"),CHAR(10), IF(ISBLANK('Ingest Template'!G99),"", 'Ingest Template'!G99&amp;"|DAR"),CHAR(10), IF(ISBLANK('Ingest Template'!H99),"", 'Ingest Template'!H99&amp;"|DAR"))),(CONCATENATE(IF(ISBLANK('Ingest Template'!F99),"", 'Ingest Template'!F99&amp;"|Film Ops"),CHAR(10), IF(ISBLANK('Ingest Template'!G99),"", 'Ingest Template'!G99&amp;"|Film Ops"),CHAR(10), IF(ISBLANK('Ingest Template'!H99),"", 'Ingest Template'!H99&amp;"|Film Ops"))))</f>
        <v>
</v>
      </c>
      <c r="AD99" s="4"/>
      <c r="AE99" s="4"/>
      <c r="AF99" s="10"/>
      <c r="AG99" s="4"/>
      <c r="AH99" s="4"/>
    </row>
    <row r="100">
      <c r="A100" s="4"/>
      <c r="B100" s="4" t="str">
        <f>'Ingest Template'!B100&amp;IF('Ingest Template'!A100 = "Standard", " - DAR","")</f>
        <v/>
      </c>
      <c r="C100" s="5" t="s">
        <v>34</v>
      </c>
      <c r="D100" s="5" t="str">
        <f>CONCATENATE('Ingest Template'!C100,'Ingest Template'!D100)</f>
        <v/>
      </c>
      <c r="E100" s="4"/>
      <c r="F100" s="4"/>
      <c r="G100" s="4"/>
      <c r="H100" s="6"/>
      <c r="I100" s="6" t="str">
        <f>iF('Ingest Template'!A100="Standard","Pristine Brand","Unknown")</f>
        <v>Unknown</v>
      </c>
      <c r="J100" s="4" t="str">
        <f>iF('Ingest Template'!A100="Standard","LF // Beverages","Competitive View")</f>
        <v>Competitive View</v>
      </c>
      <c r="K100" s="7" t="s">
        <v>35</v>
      </c>
      <c r="L100" s="8"/>
      <c r="M100" s="4"/>
      <c r="N100" s="4"/>
      <c r="O100" s="4"/>
      <c r="P100" s="4"/>
      <c r="Q100" s="4"/>
      <c r="R100" s="7" t="s">
        <v>36</v>
      </c>
      <c r="S100" s="4" t="str">
        <f>'Ingest Template'!J100</f>
        <v/>
      </c>
      <c r="T100" s="4" t="str">
        <f>'Ingest Template'!I100</f>
        <v/>
      </c>
      <c r="U100" s="4" t="str">
        <f>LOWER(SUBSTITUTE(SUBSTITUTE(SUBSTITUTE(SUBSTITUTE(SUBSTITUTE('Ingest Template'!K100,"https:",""),"www.",""),"/",""),"?hl=en",""),"instagram.com",""))</f>
        <v/>
      </c>
      <c r="V100" s="9" t="str">
        <f>'Ingest Template'!L100</f>
        <v/>
      </c>
      <c r="W100" s="9" t="str">
        <f>'Ingest Template'!M100</f>
        <v/>
      </c>
      <c r="X100" s="4" t="str">
        <f>SUBSTITUTE(SUBSTITUTE(SUBSTITUTE('Ingest Template'!N100,"http:",""),"https:",""),"/","")</f>
        <v/>
      </c>
      <c r="Y100" s="4" t="str">
        <f t="array" ref="Y100">IF('Ingest Template'!A100="Standard",(IF(ISBLANK('Ingest Template'!O100),"", 'Ingest Template'!O100&amp;"|DAR")),(IF(ISBLANK('Ingest Template'!O100),"", 'Ingest Template'!O100&amp;"|Film Ops")))</f>
        <v/>
      </c>
      <c r="Z100" s="4"/>
      <c r="AA100" s="4" t="str">
        <f>'Ingest Template'!E100</f>
        <v/>
      </c>
      <c r="AB100" s="7"/>
      <c r="AC100" s="4" t="str">
        <f t="array" ref="AC100">IF('Ingest Template'!A100="Standard",(CONCATENATE(IF(ISBLANK('Ingest Template'!F100),"", 'Ingest Template'!F100&amp;"|DAR"),CHAR(10), IF(ISBLANK('Ingest Template'!G100),"", 'Ingest Template'!G100&amp;"|DAR"),CHAR(10), IF(ISBLANK('Ingest Template'!H100),"", 'Ingest Template'!H100&amp;"|DAR"))),(CONCATENATE(IF(ISBLANK('Ingest Template'!F100),"", 'Ingest Template'!F100&amp;"|Film Ops"),CHAR(10), IF(ISBLANK('Ingest Template'!G100),"", 'Ingest Template'!G100&amp;"|Film Ops"),CHAR(10), IF(ISBLANK('Ingest Template'!H100),"", 'Ingest Template'!H100&amp;"|Film Ops"))))</f>
        <v>
</v>
      </c>
      <c r="AD100" s="4"/>
      <c r="AE100" s="4"/>
      <c r="AF100" s="10"/>
      <c r="AG100" s="4"/>
      <c r="AH100" s="4"/>
    </row>
    <row r="101">
      <c r="A101" s="4"/>
      <c r="B101" s="4" t="str">
        <f>'Ingest Template'!B101&amp;IF('Ingest Template'!A101 = "Standard", " - DAR","")</f>
        <v/>
      </c>
      <c r="C101" s="5" t="s">
        <v>34</v>
      </c>
      <c r="D101" s="5" t="str">
        <f>CONCATENATE('Ingest Template'!C101,'Ingest Template'!D101)</f>
        <v/>
      </c>
      <c r="E101" s="4"/>
      <c r="F101" s="4"/>
      <c r="G101" s="4"/>
      <c r="H101" s="6"/>
      <c r="I101" s="6" t="str">
        <f>iF('Ingest Template'!A101="Standard","Pristine Brand","Unknown")</f>
        <v>Unknown</v>
      </c>
      <c r="J101" s="4" t="str">
        <f>iF('Ingest Template'!A101="Standard","LF // Beverages","Competitive View")</f>
        <v>Competitive View</v>
      </c>
      <c r="K101" s="7" t="s">
        <v>35</v>
      </c>
      <c r="L101" s="8"/>
      <c r="M101" s="4"/>
      <c r="N101" s="4"/>
      <c r="O101" s="4"/>
      <c r="P101" s="4"/>
      <c r="Q101" s="4"/>
      <c r="R101" s="7" t="s">
        <v>36</v>
      </c>
      <c r="S101" s="4" t="str">
        <f>'Ingest Template'!J101</f>
        <v/>
      </c>
      <c r="T101" s="4" t="str">
        <f>'Ingest Template'!I101</f>
        <v/>
      </c>
      <c r="U101" s="4" t="str">
        <f>LOWER(SUBSTITUTE(SUBSTITUTE(SUBSTITUTE(SUBSTITUTE(SUBSTITUTE('Ingest Template'!K101,"https:",""),"www.",""),"/",""),"?hl=en",""),"instagram.com",""))</f>
        <v/>
      </c>
      <c r="V101" s="9" t="str">
        <f>'Ingest Template'!L101</f>
        <v/>
      </c>
      <c r="W101" s="9" t="str">
        <f>'Ingest Template'!M101</f>
        <v/>
      </c>
      <c r="X101" s="4" t="str">
        <f>SUBSTITUTE(SUBSTITUTE(SUBSTITUTE('Ingest Template'!N101,"http:",""),"https:",""),"/","")</f>
        <v/>
      </c>
      <c r="Y101" s="4" t="str">
        <f t="array" ref="Y101">IF('Ingest Template'!A101="Standard",(IF(ISBLANK('Ingest Template'!O101),"", 'Ingest Template'!O101&amp;"|DAR")),(IF(ISBLANK('Ingest Template'!O101),"", 'Ingest Template'!O101&amp;"|Film Ops")))</f>
        <v/>
      </c>
      <c r="Z101" s="4"/>
      <c r="AA101" s="4" t="str">
        <f>'Ingest Template'!E101</f>
        <v/>
      </c>
      <c r="AB101" s="7"/>
      <c r="AC101" s="4" t="str">
        <f t="array" ref="AC101">IF('Ingest Template'!A101="Standard",(CONCATENATE(IF(ISBLANK('Ingest Template'!F101),"", 'Ingest Template'!F101&amp;"|DAR"),CHAR(10), IF(ISBLANK('Ingest Template'!G101),"", 'Ingest Template'!G101&amp;"|DAR"),CHAR(10), IF(ISBLANK('Ingest Template'!H101),"", 'Ingest Template'!H101&amp;"|DAR"))),(CONCATENATE(IF(ISBLANK('Ingest Template'!F101),"", 'Ingest Template'!F101&amp;"|Film Ops"),CHAR(10), IF(ISBLANK('Ingest Template'!G101),"", 'Ingest Template'!G101&amp;"|Film Ops"),CHAR(10), IF(ISBLANK('Ingest Template'!H101),"", 'Ingest Template'!H101&amp;"|Film Ops"))))</f>
        <v>
</v>
      </c>
      <c r="AD101" s="4"/>
      <c r="AE101" s="4"/>
      <c r="AF101" s="10"/>
      <c r="AG101" s="4"/>
      <c r="AH101" s="4"/>
    </row>
    <row r="102">
      <c r="A102" s="4"/>
      <c r="B102" s="4" t="str">
        <f>'Ingest Template'!B102&amp;IF('Ingest Template'!A102 = "Standard", " - DAR","")</f>
        <v/>
      </c>
      <c r="C102" s="5" t="s">
        <v>34</v>
      </c>
      <c r="D102" s="5" t="str">
        <f>CONCATENATE('Ingest Template'!C102,'Ingest Template'!D102)</f>
        <v/>
      </c>
      <c r="E102" s="4"/>
      <c r="F102" s="4"/>
      <c r="G102" s="4"/>
      <c r="H102" s="6"/>
      <c r="I102" s="6" t="str">
        <f>iF('Ingest Template'!A102="Standard","Pristine Brand","Unknown")</f>
        <v>Unknown</v>
      </c>
      <c r="J102" s="4" t="str">
        <f>iF('Ingest Template'!A102="Standard","LF // Beverages","Competitive View")</f>
        <v>Competitive View</v>
      </c>
      <c r="K102" s="7" t="s">
        <v>35</v>
      </c>
      <c r="L102" s="8"/>
      <c r="M102" s="4"/>
      <c r="N102" s="4"/>
      <c r="O102" s="4"/>
      <c r="P102" s="4"/>
      <c r="Q102" s="4"/>
      <c r="R102" s="7" t="s">
        <v>36</v>
      </c>
      <c r="S102" s="4" t="str">
        <f>'Ingest Template'!J102</f>
        <v/>
      </c>
      <c r="T102" s="4" t="str">
        <f>'Ingest Template'!I102</f>
        <v/>
      </c>
      <c r="U102" s="4" t="str">
        <f>LOWER(SUBSTITUTE(SUBSTITUTE(SUBSTITUTE(SUBSTITUTE(SUBSTITUTE('Ingest Template'!K102,"https:",""),"www.",""),"/",""),"?hl=en",""),"instagram.com",""))</f>
        <v/>
      </c>
      <c r="V102" s="9" t="str">
        <f>'Ingest Template'!L102</f>
        <v/>
      </c>
      <c r="W102" s="9" t="str">
        <f>'Ingest Template'!M102</f>
        <v/>
      </c>
      <c r="X102" s="4" t="str">
        <f>SUBSTITUTE(SUBSTITUTE(SUBSTITUTE('Ingest Template'!N102,"http:",""),"https:",""),"/","")</f>
        <v/>
      </c>
      <c r="Y102" s="4" t="str">
        <f t="array" ref="Y102">IF('Ingest Template'!A102="Standard",(IF(ISBLANK('Ingest Template'!O102),"", 'Ingest Template'!O102&amp;"|DAR")),(IF(ISBLANK('Ingest Template'!O102),"", 'Ingest Template'!O102&amp;"|Film Ops")))</f>
        <v/>
      </c>
      <c r="Z102" s="4"/>
      <c r="AA102" s="4" t="str">
        <f>'Ingest Template'!E102</f>
        <v/>
      </c>
      <c r="AB102" s="7"/>
      <c r="AC102" s="4" t="str">
        <f t="array" ref="AC102">IF('Ingest Template'!A102="Standard",(CONCATENATE(IF(ISBLANK('Ingest Template'!F102),"", 'Ingest Template'!F102&amp;"|DAR"),CHAR(10), IF(ISBLANK('Ingest Template'!G102),"", 'Ingest Template'!G102&amp;"|DAR"),CHAR(10), IF(ISBLANK('Ingest Template'!H102),"", 'Ingest Template'!H102&amp;"|DAR"))),(CONCATENATE(IF(ISBLANK('Ingest Template'!F102),"", 'Ingest Template'!F102&amp;"|Film Ops"),CHAR(10), IF(ISBLANK('Ingest Template'!G102),"", 'Ingest Template'!G102&amp;"|Film Ops"),CHAR(10), IF(ISBLANK('Ingest Template'!H102),"", 'Ingest Template'!H102&amp;"|Film Ops"))))</f>
        <v>
</v>
      </c>
      <c r="AD102" s="4"/>
      <c r="AE102" s="4"/>
      <c r="AF102" s="10"/>
      <c r="AG102" s="4"/>
      <c r="AH102" s="4"/>
    </row>
    <row r="103">
      <c r="A103" s="4"/>
      <c r="B103" s="4" t="str">
        <f>'Ingest Template'!B103&amp;IF('Ingest Template'!A103 = "Standard", " - DAR","")</f>
        <v/>
      </c>
      <c r="C103" s="5" t="s">
        <v>34</v>
      </c>
      <c r="D103" s="5" t="str">
        <f>CONCATENATE('Ingest Template'!C103,'Ingest Template'!D103)</f>
        <v/>
      </c>
      <c r="E103" s="4"/>
      <c r="F103" s="4"/>
      <c r="G103" s="4"/>
      <c r="H103" s="6"/>
      <c r="I103" s="6" t="str">
        <f>iF('Ingest Template'!A103="Standard","Pristine Brand","Unknown")</f>
        <v>Unknown</v>
      </c>
      <c r="J103" s="4" t="str">
        <f>iF('Ingest Template'!A103="Standard","LF // Beverages","Competitive View")</f>
        <v>Competitive View</v>
      </c>
      <c r="K103" s="7" t="s">
        <v>35</v>
      </c>
      <c r="L103" s="8"/>
      <c r="M103" s="4"/>
      <c r="N103" s="4"/>
      <c r="O103" s="4"/>
      <c r="P103" s="4"/>
      <c r="Q103" s="4"/>
      <c r="R103" s="7" t="s">
        <v>36</v>
      </c>
      <c r="S103" s="4" t="str">
        <f>'Ingest Template'!J103</f>
        <v/>
      </c>
      <c r="T103" s="4" t="str">
        <f>'Ingest Template'!I103</f>
        <v/>
      </c>
      <c r="U103" s="4" t="str">
        <f>LOWER(SUBSTITUTE(SUBSTITUTE(SUBSTITUTE(SUBSTITUTE(SUBSTITUTE('Ingest Template'!K103,"https:",""),"www.",""),"/",""),"?hl=en",""),"instagram.com",""))</f>
        <v/>
      </c>
      <c r="V103" s="9" t="str">
        <f>'Ingest Template'!L103</f>
        <v/>
      </c>
      <c r="W103" s="9" t="str">
        <f>'Ingest Template'!M103</f>
        <v/>
      </c>
      <c r="X103" s="4" t="str">
        <f>SUBSTITUTE(SUBSTITUTE(SUBSTITUTE('Ingest Template'!N103,"http:",""),"https:",""),"/","")</f>
        <v/>
      </c>
      <c r="Y103" s="4" t="str">
        <f t="array" ref="Y103">IF('Ingest Template'!A103="Standard",(IF(ISBLANK('Ingest Template'!O103),"", 'Ingest Template'!O103&amp;"|DAR")),(IF(ISBLANK('Ingest Template'!O103),"", 'Ingest Template'!O103&amp;"|Film Ops")))</f>
        <v/>
      </c>
      <c r="Z103" s="4"/>
      <c r="AA103" s="4" t="str">
        <f>'Ingest Template'!E103</f>
        <v/>
      </c>
      <c r="AB103" s="7"/>
      <c r="AC103" s="4" t="str">
        <f t="array" ref="AC103">IF('Ingest Template'!A103="Standard",(CONCATENATE(IF(ISBLANK('Ingest Template'!F103),"", 'Ingest Template'!F103&amp;"|DAR"),CHAR(10), IF(ISBLANK('Ingest Template'!G103),"", 'Ingest Template'!G103&amp;"|DAR"),CHAR(10), IF(ISBLANK('Ingest Template'!H103),"", 'Ingest Template'!H103&amp;"|DAR"))),(CONCATENATE(IF(ISBLANK('Ingest Template'!F103),"", 'Ingest Template'!F103&amp;"|Film Ops"),CHAR(10), IF(ISBLANK('Ingest Template'!G103),"", 'Ingest Template'!G103&amp;"|Film Ops"),CHAR(10), IF(ISBLANK('Ingest Template'!H103),"", 'Ingest Template'!H103&amp;"|Film Ops"))))</f>
        <v>
</v>
      </c>
      <c r="AD103" s="4"/>
      <c r="AE103" s="4"/>
      <c r="AF103" s="10"/>
      <c r="AG103" s="4"/>
      <c r="AH103" s="4"/>
    </row>
    <row r="104">
      <c r="A104" s="4"/>
      <c r="B104" s="4" t="str">
        <f>'Ingest Template'!B104&amp;IF('Ingest Template'!A104 = "Standard", " - DAR","")</f>
        <v/>
      </c>
      <c r="C104" s="5" t="s">
        <v>34</v>
      </c>
      <c r="D104" s="5" t="str">
        <f>CONCATENATE('Ingest Template'!C104,'Ingest Template'!D104)</f>
        <v/>
      </c>
      <c r="E104" s="4"/>
      <c r="F104" s="4"/>
      <c r="G104" s="4"/>
      <c r="H104" s="6"/>
      <c r="I104" s="6" t="str">
        <f>iF('Ingest Template'!A104="Standard","Pristine Brand","Unknown")</f>
        <v>Unknown</v>
      </c>
      <c r="J104" s="4" t="str">
        <f>iF('Ingest Template'!A104="Standard","LF // Beverages","Competitive View")</f>
        <v>Competitive View</v>
      </c>
      <c r="K104" s="7" t="s">
        <v>35</v>
      </c>
      <c r="L104" s="8"/>
      <c r="M104" s="4"/>
      <c r="N104" s="4"/>
      <c r="O104" s="4"/>
      <c r="P104" s="4"/>
      <c r="Q104" s="4"/>
      <c r="R104" s="7" t="s">
        <v>36</v>
      </c>
      <c r="S104" s="4" t="str">
        <f>'Ingest Template'!J104</f>
        <v/>
      </c>
      <c r="T104" s="4" t="str">
        <f>'Ingest Template'!I104</f>
        <v/>
      </c>
      <c r="U104" s="4" t="str">
        <f>LOWER(SUBSTITUTE(SUBSTITUTE(SUBSTITUTE(SUBSTITUTE(SUBSTITUTE('Ingest Template'!K104,"https:",""),"www.",""),"/",""),"?hl=en",""),"instagram.com",""))</f>
        <v/>
      </c>
      <c r="V104" s="9" t="str">
        <f>'Ingest Template'!L104</f>
        <v/>
      </c>
      <c r="W104" s="9" t="str">
        <f>'Ingest Template'!M104</f>
        <v/>
      </c>
      <c r="X104" s="4" t="str">
        <f>SUBSTITUTE(SUBSTITUTE(SUBSTITUTE('Ingest Template'!N104,"http:",""),"https:",""),"/","")</f>
        <v/>
      </c>
      <c r="Y104" s="4" t="str">
        <f t="array" ref="Y104">IF('Ingest Template'!A104="Standard",(IF(ISBLANK('Ingest Template'!O104),"", 'Ingest Template'!O104&amp;"|DAR")),(IF(ISBLANK('Ingest Template'!O104),"", 'Ingest Template'!O104&amp;"|Film Ops")))</f>
        <v/>
      </c>
      <c r="Z104" s="4"/>
      <c r="AA104" s="4" t="str">
        <f>'Ingest Template'!E104</f>
        <v/>
      </c>
      <c r="AB104" s="7"/>
      <c r="AC104" s="4" t="str">
        <f t="array" ref="AC104">IF('Ingest Template'!A104="Standard",(CONCATENATE(IF(ISBLANK('Ingest Template'!F104),"", 'Ingest Template'!F104&amp;"|DAR"),CHAR(10), IF(ISBLANK('Ingest Template'!G104),"", 'Ingest Template'!G104&amp;"|DAR"),CHAR(10), IF(ISBLANK('Ingest Template'!H104),"", 'Ingest Template'!H104&amp;"|DAR"))),(CONCATENATE(IF(ISBLANK('Ingest Template'!F104),"", 'Ingest Template'!F104&amp;"|Film Ops"),CHAR(10), IF(ISBLANK('Ingest Template'!G104),"", 'Ingest Template'!G104&amp;"|Film Ops"),CHAR(10), IF(ISBLANK('Ingest Template'!H104),"", 'Ingest Template'!H104&amp;"|Film Ops"))))</f>
        <v>
</v>
      </c>
      <c r="AD104" s="4"/>
      <c r="AE104" s="4"/>
      <c r="AF104" s="10"/>
      <c r="AG104" s="4"/>
      <c r="AH104" s="4"/>
    </row>
    <row r="105">
      <c r="A105" s="4"/>
      <c r="B105" s="4" t="str">
        <f>'Ingest Template'!B105&amp;IF('Ingest Template'!A105 = "Standard", " - DAR","")</f>
        <v/>
      </c>
      <c r="C105" s="5" t="s">
        <v>34</v>
      </c>
      <c r="D105" s="5" t="str">
        <f>CONCATENATE('Ingest Template'!C105,'Ingest Template'!D105)</f>
        <v/>
      </c>
      <c r="E105" s="4"/>
      <c r="F105" s="4"/>
      <c r="G105" s="4"/>
      <c r="H105" s="6"/>
      <c r="I105" s="6" t="str">
        <f>iF('Ingest Template'!A105="Standard","Pristine Brand","Unknown")</f>
        <v>Unknown</v>
      </c>
      <c r="J105" s="4" t="str">
        <f>iF('Ingest Template'!A105="Standard","LF // Beverages","Competitive View")</f>
        <v>Competitive View</v>
      </c>
      <c r="K105" s="7" t="s">
        <v>35</v>
      </c>
      <c r="L105" s="8"/>
      <c r="M105" s="4"/>
      <c r="N105" s="4"/>
      <c r="O105" s="4"/>
      <c r="P105" s="4"/>
      <c r="Q105" s="4"/>
      <c r="R105" s="7" t="s">
        <v>36</v>
      </c>
      <c r="S105" s="4" t="str">
        <f>'Ingest Template'!J105</f>
        <v/>
      </c>
      <c r="T105" s="4" t="str">
        <f>'Ingest Template'!I105</f>
        <v/>
      </c>
      <c r="U105" s="4" t="str">
        <f>LOWER(SUBSTITUTE(SUBSTITUTE(SUBSTITUTE(SUBSTITUTE(SUBSTITUTE('Ingest Template'!K105,"https:",""),"www.",""),"/",""),"?hl=en",""),"instagram.com",""))</f>
        <v/>
      </c>
      <c r="V105" s="9" t="str">
        <f>'Ingest Template'!L105</f>
        <v/>
      </c>
      <c r="W105" s="9" t="str">
        <f>'Ingest Template'!M105</f>
        <v/>
      </c>
      <c r="X105" s="4" t="str">
        <f>SUBSTITUTE(SUBSTITUTE(SUBSTITUTE('Ingest Template'!N105,"http:",""),"https:",""),"/","")</f>
        <v/>
      </c>
      <c r="Y105" s="4" t="str">
        <f t="array" ref="Y105">IF('Ingest Template'!A105="Standard",(IF(ISBLANK('Ingest Template'!O105),"", 'Ingest Template'!O105&amp;"|DAR")),(IF(ISBLANK('Ingest Template'!O105),"", 'Ingest Template'!O105&amp;"|Film Ops")))</f>
        <v/>
      </c>
      <c r="Z105" s="4"/>
      <c r="AA105" s="4" t="str">
        <f>'Ingest Template'!E105</f>
        <v/>
      </c>
      <c r="AB105" s="7"/>
      <c r="AC105" s="4" t="str">
        <f t="array" ref="AC105">IF('Ingest Template'!A105="Standard",(CONCATENATE(IF(ISBLANK('Ingest Template'!F105),"", 'Ingest Template'!F105&amp;"|DAR"),CHAR(10), IF(ISBLANK('Ingest Template'!G105),"", 'Ingest Template'!G105&amp;"|DAR"),CHAR(10), IF(ISBLANK('Ingest Template'!H105),"", 'Ingest Template'!H105&amp;"|DAR"))),(CONCATENATE(IF(ISBLANK('Ingest Template'!F105),"", 'Ingest Template'!F105&amp;"|Film Ops"),CHAR(10), IF(ISBLANK('Ingest Template'!G105),"", 'Ingest Template'!G105&amp;"|Film Ops"),CHAR(10), IF(ISBLANK('Ingest Template'!H105),"", 'Ingest Template'!H105&amp;"|Film Ops"))))</f>
        <v>
</v>
      </c>
      <c r="AD105" s="4"/>
      <c r="AE105" s="4"/>
      <c r="AF105" s="10"/>
      <c r="AG105" s="4"/>
      <c r="AH105" s="4"/>
    </row>
    <row r="106">
      <c r="A106" s="4"/>
      <c r="B106" s="4" t="str">
        <f>'Ingest Template'!B106&amp;IF('Ingest Template'!A106 = "Standard", " - DAR","")</f>
        <v/>
      </c>
      <c r="C106" s="5" t="s">
        <v>34</v>
      </c>
      <c r="D106" s="5" t="str">
        <f>CONCATENATE('Ingest Template'!C106,'Ingest Template'!D106)</f>
        <v/>
      </c>
      <c r="E106" s="4"/>
      <c r="F106" s="4"/>
      <c r="G106" s="4"/>
      <c r="H106" s="6"/>
      <c r="I106" s="6" t="str">
        <f>iF('Ingest Template'!A106="Standard","Pristine Brand","Unknown")</f>
        <v>Unknown</v>
      </c>
      <c r="J106" s="4" t="str">
        <f>iF('Ingest Template'!A106="Standard","LF // Beverages","Competitive View")</f>
        <v>Competitive View</v>
      </c>
      <c r="K106" s="7" t="s">
        <v>35</v>
      </c>
      <c r="L106" s="8"/>
      <c r="M106" s="4"/>
      <c r="N106" s="4"/>
      <c r="O106" s="4"/>
      <c r="P106" s="4"/>
      <c r="Q106" s="4"/>
      <c r="R106" s="7" t="s">
        <v>36</v>
      </c>
      <c r="S106" s="4" t="str">
        <f>'Ingest Template'!J106</f>
        <v/>
      </c>
      <c r="T106" s="4" t="str">
        <f>'Ingest Template'!I106</f>
        <v/>
      </c>
      <c r="U106" s="4" t="str">
        <f>LOWER(SUBSTITUTE(SUBSTITUTE(SUBSTITUTE(SUBSTITUTE(SUBSTITUTE('Ingest Template'!K106,"https:",""),"www.",""),"/",""),"?hl=en",""),"instagram.com",""))</f>
        <v/>
      </c>
      <c r="V106" s="9" t="str">
        <f>'Ingest Template'!L106</f>
        <v/>
      </c>
      <c r="W106" s="9" t="str">
        <f>'Ingest Template'!M106</f>
        <v/>
      </c>
      <c r="X106" s="4" t="str">
        <f>SUBSTITUTE(SUBSTITUTE(SUBSTITUTE('Ingest Template'!N106,"http:",""),"https:",""),"/","")</f>
        <v/>
      </c>
      <c r="Y106" s="4" t="str">
        <f t="array" ref="Y106">IF('Ingest Template'!A106="Standard",(IF(ISBLANK('Ingest Template'!O106),"", 'Ingest Template'!O106&amp;"|DAR")),(IF(ISBLANK('Ingest Template'!O106),"", 'Ingest Template'!O106&amp;"|Film Ops")))</f>
        <v/>
      </c>
      <c r="Z106" s="4"/>
      <c r="AA106" s="4" t="str">
        <f>'Ingest Template'!E106</f>
        <v/>
      </c>
      <c r="AB106" s="7"/>
      <c r="AC106" s="4" t="str">
        <f t="array" ref="AC106">IF('Ingest Template'!A106="Standard",(CONCATENATE(IF(ISBLANK('Ingest Template'!F106),"", 'Ingest Template'!F106&amp;"|DAR"),CHAR(10), IF(ISBLANK('Ingest Template'!G106),"", 'Ingest Template'!G106&amp;"|DAR"),CHAR(10), IF(ISBLANK('Ingest Template'!H106),"", 'Ingest Template'!H106&amp;"|DAR"))),(CONCATENATE(IF(ISBLANK('Ingest Template'!F106),"", 'Ingest Template'!F106&amp;"|Film Ops"),CHAR(10), IF(ISBLANK('Ingest Template'!G106),"", 'Ingest Template'!G106&amp;"|Film Ops"),CHAR(10), IF(ISBLANK('Ingest Template'!H106),"", 'Ingest Template'!H106&amp;"|Film Ops"))))</f>
        <v>
</v>
      </c>
      <c r="AD106" s="4"/>
      <c r="AE106" s="4"/>
      <c r="AF106" s="10"/>
      <c r="AG106" s="4"/>
      <c r="AH106" s="4"/>
    </row>
    <row r="107">
      <c r="A107" s="4"/>
      <c r="B107" s="4" t="str">
        <f>'Ingest Template'!B107&amp;IF('Ingest Template'!A107 = "Standard", " - DAR","")</f>
        <v/>
      </c>
      <c r="C107" s="5" t="s">
        <v>34</v>
      </c>
      <c r="D107" s="5" t="str">
        <f>CONCATENATE('Ingest Template'!C107,'Ingest Template'!D107)</f>
        <v/>
      </c>
      <c r="E107" s="4"/>
      <c r="F107" s="4"/>
      <c r="G107" s="4"/>
      <c r="H107" s="6"/>
      <c r="I107" s="6" t="str">
        <f>iF('Ingest Template'!A107="Standard","Pristine Brand","Unknown")</f>
        <v>Unknown</v>
      </c>
      <c r="J107" s="4" t="str">
        <f>iF('Ingest Template'!A107="Standard","LF // Beverages","Competitive View")</f>
        <v>Competitive View</v>
      </c>
      <c r="K107" s="7" t="s">
        <v>35</v>
      </c>
      <c r="L107" s="8"/>
      <c r="M107" s="4"/>
      <c r="N107" s="4"/>
      <c r="O107" s="4"/>
      <c r="P107" s="4"/>
      <c r="Q107" s="4"/>
      <c r="R107" s="7" t="s">
        <v>36</v>
      </c>
      <c r="S107" s="4" t="str">
        <f>'Ingest Template'!J107</f>
        <v/>
      </c>
      <c r="T107" s="4" t="str">
        <f>'Ingest Template'!I107</f>
        <v/>
      </c>
      <c r="U107" s="4" t="str">
        <f>LOWER(SUBSTITUTE(SUBSTITUTE(SUBSTITUTE(SUBSTITUTE(SUBSTITUTE('Ingest Template'!K107,"https:",""),"www.",""),"/",""),"?hl=en",""),"instagram.com",""))</f>
        <v/>
      </c>
      <c r="V107" s="9" t="str">
        <f>'Ingest Template'!L107</f>
        <v/>
      </c>
      <c r="W107" s="9" t="str">
        <f>'Ingest Template'!M107</f>
        <v/>
      </c>
      <c r="X107" s="4" t="str">
        <f>SUBSTITUTE(SUBSTITUTE(SUBSTITUTE('Ingest Template'!N107,"http:",""),"https:",""),"/","")</f>
        <v/>
      </c>
      <c r="Y107" s="4" t="str">
        <f t="array" ref="Y107">IF('Ingest Template'!A107="Standard",(IF(ISBLANK('Ingest Template'!O107),"", 'Ingest Template'!O107&amp;"|DAR")),(IF(ISBLANK('Ingest Template'!O107),"", 'Ingest Template'!O107&amp;"|Film Ops")))</f>
        <v/>
      </c>
      <c r="Z107" s="4"/>
      <c r="AA107" s="4" t="str">
        <f>'Ingest Template'!E107</f>
        <v/>
      </c>
      <c r="AB107" s="7"/>
      <c r="AC107" s="4" t="str">
        <f t="array" ref="AC107">IF('Ingest Template'!A107="Standard",(CONCATENATE(IF(ISBLANK('Ingest Template'!F107),"", 'Ingest Template'!F107&amp;"|DAR"),CHAR(10), IF(ISBLANK('Ingest Template'!G107),"", 'Ingest Template'!G107&amp;"|DAR"),CHAR(10), IF(ISBLANK('Ingest Template'!H107),"", 'Ingest Template'!H107&amp;"|DAR"))),(CONCATENATE(IF(ISBLANK('Ingest Template'!F107),"", 'Ingest Template'!F107&amp;"|Film Ops"),CHAR(10), IF(ISBLANK('Ingest Template'!G107),"", 'Ingest Template'!G107&amp;"|Film Ops"),CHAR(10), IF(ISBLANK('Ingest Template'!H107),"", 'Ingest Template'!H107&amp;"|Film Ops"))))</f>
        <v>
</v>
      </c>
      <c r="AD107" s="4"/>
      <c r="AE107" s="4"/>
      <c r="AF107" s="10"/>
      <c r="AG107" s="4"/>
      <c r="AH107" s="4"/>
    </row>
    <row r="108">
      <c r="A108" s="4"/>
      <c r="B108" s="4" t="str">
        <f>'Ingest Template'!B108&amp;IF('Ingest Template'!A108 = "Standard", " - DAR","")</f>
        <v/>
      </c>
      <c r="C108" s="5" t="s">
        <v>34</v>
      </c>
      <c r="D108" s="5" t="str">
        <f>CONCATENATE('Ingest Template'!C108,'Ingest Template'!D108)</f>
        <v/>
      </c>
      <c r="E108" s="4"/>
      <c r="F108" s="4"/>
      <c r="G108" s="4"/>
      <c r="H108" s="6"/>
      <c r="I108" s="6" t="str">
        <f>iF('Ingest Template'!A108="Standard","Pristine Brand","Unknown")</f>
        <v>Unknown</v>
      </c>
      <c r="J108" s="4" t="str">
        <f>iF('Ingest Template'!A108="Standard","LF // Beverages","Competitive View")</f>
        <v>Competitive View</v>
      </c>
      <c r="K108" s="7" t="s">
        <v>35</v>
      </c>
      <c r="L108" s="8"/>
      <c r="M108" s="4"/>
      <c r="N108" s="4"/>
      <c r="O108" s="4"/>
      <c r="P108" s="4"/>
      <c r="Q108" s="4"/>
      <c r="R108" s="7" t="s">
        <v>36</v>
      </c>
      <c r="S108" s="4" t="str">
        <f>'Ingest Template'!J108</f>
        <v/>
      </c>
      <c r="T108" s="4" t="str">
        <f>'Ingest Template'!I108</f>
        <v/>
      </c>
      <c r="U108" s="4" t="str">
        <f>LOWER(SUBSTITUTE(SUBSTITUTE(SUBSTITUTE(SUBSTITUTE(SUBSTITUTE('Ingest Template'!K108,"https:",""),"www.",""),"/",""),"?hl=en",""),"instagram.com",""))</f>
        <v/>
      </c>
      <c r="V108" s="9" t="str">
        <f>'Ingest Template'!L108</f>
        <v/>
      </c>
      <c r="W108" s="9" t="str">
        <f>'Ingest Template'!M108</f>
        <v/>
      </c>
      <c r="X108" s="4" t="str">
        <f>SUBSTITUTE(SUBSTITUTE(SUBSTITUTE('Ingest Template'!N108,"http:",""),"https:",""),"/","")</f>
        <v/>
      </c>
      <c r="Y108" s="4" t="str">
        <f t="array" ref="Y108">IF('Ingest Template'!A108="Standard",(IF(ISBLANK('Ingest Template'!O108),"", 'Ingest Template'!O108&amp;"|DAR")),(IF(ISBLANK('Ingest Template'!O108),"", 'Ingest Template'!O108&amp;"|Film Ops")))</f>
        <v/>
      </c>
      <c r="Z108" s="4"/>
      <c r="AA108" s="4" t="str">
        <f>'Ingest Template'!E108</f>
        <v/>
      </c>
      <c r="AB108" s="7"/>
      <c r="AC108" s="4" t="str">
        <f t="array" ref="AC108">IF('Ingest Template'!A108="Standard",(CONCATENATE(IF(ISBLANK('Ingest Template'!F108),"", 'Ingest Template'!F108&amp;"|DAR"),CHAR(10), IF(ISBLANK('Ingest Template'!G108),"", 'Ingest Template'!G108&amp;"|DAR"),CHAR(10), IF(ISBLANK('Ingest Template'!H108),"", 'Ingest Template'!H108&amp;"|DAR"))),(CONCATENATE(IF(ISBLANK('Ingest Template'!F108),"", 'Ingest Template'!F108&amp;"|Film Ops"),CHAR(10), IF(ISBLANK('Ingest Template'!G108),"", 'Ingest Template'!G108&amp;"|Film Ops"),CHAR(10), IF(ISBLANK('Ingest Template'!H108),"", 'Ingest Template'!H108&amp;"|Film Ops"))))</f>
        <v>
</v>
      </c>
      <c r="AD108" s="4"/>
      <c r="AE108" s="4"/>
      <c r="AF108" s="10"/>
      <c r="AG108" s="4"/>
      <c r="AH108" s="4"/>
    </row>
    <row r="109">
      <c r="A109" s="4"/>
      <c r="B109" s="4" t="str">
        <f>'Ingest Template'!B109&amp;IF('Ingest Template'!A109 = "Standard", " - DAR","")</f>
        <v/>
      </c>
      <c r="C109" s="5" t="s">
        <v>34</v>
      </c>
      <c r="D109" s="5" t="str">
        <f>CONCATENATE('Ingest Template'!C109,'Ingest Template'!D109)</f>
        <v/>
      </c>
      <c r="E109" s="4"/>
      <c r="F109" s="4"/>
      <c r="G109" s="4"/>
      <c r="H109" s="6"/>
      <c r="I109" s="6" t="str">
        <f>iF('Ingest Template'!A109="Standard","Pristine Brand","Unknown")</f>
        <v>Unknown</v>
      </c>
      <c r="J109" s="4" t="str">
        <f>iF('Ingest Template'!A109="Standard","LF // Beverages","Competitive View")</f>
        <v>Competitive View</v>
      </c>
      <c r="K109" s="7" t="s">
        <v>35</v>
      </c>
      <c r="L109" s="8"/>
      <c r="M109" s="4"/>
      <c r="N109" s="4"/>
      <c r="O109" s="4"/>
      <c r="P109" s="4"/>
      <c r="Q109" s="4"/>
      <c r="R109" s="7" t="s">
        <v>36</v>
      </c>
      <c r="S109" s="4" t="str">
        <f>'Ingest Template'!J109</f>
        <v/>
      </c>
      <c r="T109" s="4" t="str">
        <f>'Ingest Template'!I109</f>
        <v/>
      </c>
      <c r="U109" s="4" t="str">
        <f>LOWER(SUBSTITUTE(SUBSTITUTE(SUBSTITUTE(SUBSTITUTE(SUBSTITUTE('Ingest Template'!K109,"https:",""),"www.",""),"/",""),"?hl=en",""),"instagram.com",""))</f>
        <v/>
      </c>
      <c r="V109" s="9" t="str">
        <f>'Ingest Template'!L109</f>
        <v/>
      </c>
      <c r="W109" s="9" t="str">
        <f>'Ingest Template'!M109</f>
        <v/>
      </c>
      <c r="X109" s="4" t="str">
        <f>SUBSTITUTE(SUBSTITUTE(SUBSTITUTE('Ingest Template'!N109,"http:",""),"https:",""),"/","")</f>
        <v/>
      </c>
      <c r="Y109" s="4" t="str">
        <f t="array" ref="Y109">IF('Ingest Template'!A109="Standard",(IF(ISBLANK('Ingest Template'!O109),"", 'Ingest Template'!O109&amp;"|DAR")),(IF(ISBLANK('Ingest Template'!O109),"", 'Ingest Template'!O109&amp;"|Film Ops")))</f>
        <v/>
      </c>
      <c r="Z109" s="4"/>
      <c r="AA109" s="4" t="str">
        <f>'Ingest Template'!E109</f>
        <v/>
      </c>
      <c r="AB109" s="7"/>
      <c r="AC109" s="4" t="str">
        <f t="array" ref="AC109">IF('Ingest Template'!A109="Standard",(CONCATENATE(IF(ISBLANK('Ingest Template'!F109),"", 'Ingest Template'!F109&amp;"|DAR"),CHAR(10), IF(ISBLANK('Ingest Template'!G109),"", 'Ingest Template'!G109&amp;"|DAR"),CHAR(10), IF(ISBLANK('Ingest Template'!H109),"", 'Ingest Template'!H109&amp;"|DAR"))),(CONCATENATE(IF(ISBLANK('Ingest Template'!F109),"", 'Ingest Template'!F109&amp;"|Film Ops"),CHAR(10), IF(ISBLANK('Ingest Template'!G109),"", 'Ingest Template'!G109&amp;"|Film Ops"),CHAR(10), IF(ISBLANK('Ingest Template'!H109),"", 'Ingest Template'!H109&amp;"|Film Ops"))))</f>
        <v>
</v>
      </c>
      <c r="AD109" s="4"/>
      <c r="AE109" s="4"/>
      <c r="AF109" s="10"/>
      <c r="AG109" s="4"/>
      <c r="AH109" s="4"/>
    </row>
    <row r="110">
      <c r="A110" s="4"/>
      <c r="B110" s="4" t="str">
        <f>'Ingest Template'!B110&amp;IF('Ingest Template'!A110 = "Standard", " - DAR","")</f>
        <v/>
      </c>
      <c r="C110" s="5" t="s">
        <v>34</v>
      </c>
      <c r="D110" s="5" t="str">
        <f>CONCATENATE('Ingest Template'!C110,'Ingest Template'!D110)</f>
        <v/>
      </c>
      <c r="E110" s="4"/>
      <c r="F110" s="4"/>
      <c r="G110" s="4"/>
      <c r="H110" s="6"/>
      <c r="I110" s="6" t="str">
        <f>iF('Ingest Template'!A110="Standard","Pristine Brand","Unknown")</f>
        <v>Unknown</v>
      </c>
      <c r="J110" s="4" t="str">
        <f>iF('Ingest Template'!A110="Standard","LF // Beverages","Competitive View")</f>
        <v>Competitive View</v>
      </c>
      <c r="K110" s="7" t="s">
        <v>35</v>
      </c>
      <c r="L110" s="8"/>
      <c r="M110" s="4"/>
      <c r="N110" s="4"/>
      <c r="O110" s="4"/>
      <c r="P110" s="4"/>
      <c r="Q110" s="4"/>
      <c r="R110" s="7" t="s">
        <v>36</v>
      </c>
      <c r="S110" s="4" t="str">
        <f>'Ingest Template'!J110</f>
        <v/>
      </c>
      <c r="T110" s="4" t="str">
        <f>'Ingest Template'!I110</f>
        <v/>
      </c>
      <c r="U110" s="4" t="str">
        <f>LOWER(SUBSTITUTE(SUBSTITUTE(SUBSTITUTE(SUBSTITUTE(SUBSTITUTE('Ingest Template'!K110,"https:",""),"www.",""),"/",""),"?hl=en",""),"instagram.com",""))</f>
        <v/>
      </c>
      <c r="V110" s="9" t="str">
        <f>'Ingest Template'!L110</f>
        <v/>
      </c>
      <c r="W110" s="9" t="str">
        <f>'Ingest Template'!M110</f>
        <v/>
      </c>
      <c r="X110" s="4" t="str">
        <f>SUBSTITUTE(SUBSTITUTE(SUBSTITUTE('Ingest Template'!N110,"http:",""),"https:",""),"/","")</f>
        <v/>
      </c>
      <c r="Y110" s="4" t="str">
        <f t="array" ref="Y110">IF('Ingest Template'!A110="Standard",(IF(ISBLANK('Ingest Template'!O110),"", 'Ingest Template'!O110&amp;"|DAR")),(IF(ISBLANK('Ingest Template'!O110),"", 'Ingest Template'!O110&amp;"|Film Ops")))</f>
        <v/>
      </c>
      <c r="Z110" s="4"/>
      <c r="AA110" s="4" t="str">
        <f>'Ingest Template'!E110</f>
        <v/>
      </c>
      <c r="AB110" s="7"/>
      <c r="AC110" s="4" t="str">
        <f t="array" ref="AC110">IF('Ingest Template'!A110="Standard",(CONCATENATE(IF(ISBLANK('Ingest Template'!F110),"", 'Ingest Template'!F110&amp;"|DAR"),CHAR(10), IF(ISBLANK('Ingest Template'!G110),"", 'Ingest Template'!G110&amp;"|DAR"),CHAR(10), IF(ISBLANK('Ingest Template'!H110),"", 'Ingest Template'!H110&amp;"|DAR"))),(CONCATENATE(IF(ISBLANK('Ingest Template'!F110),"", 'Ingest Template'!F110&amp;"|Film Ops"),CHAR(10), IF(ISBLANK('Ingest Template'!G110),"", 'Ingest Template'!G110&amp;"|Film Ops"),CHAR(10), IF(ISBLANK('Ingest Template'!H110),"", 'Ingest Template'!H110&amp;"|Film Ops"))))</f>
        <v>
</v>
      </c>
      <c r="AD110" s="4"/>
      <c r="AE110" s="4"/>
      <c r="AF110" s="10"/>
      <c r="AG110" s="4"/>
      <c r="AH110" s="4"/>
    </row>
    <row r="111">
      <c r="A111" s="4"/>
      <c r="B111" s="4" t="str">
        <f>'Ingest Template'!B111&amp;IF('Ingest Template'!A111 = "Standard", " - DAR","")</f>
        <v/>
      </c>
      <c r="C111" s="5" t="s">
        <v>34</v>
      </c>
      <c r="D111" s="5" t="str">
        <f>CONCATENATE('Ingest Template'!C111,'Ingest Template'!D111)</f>
        <v/>
      </c>
      <c r="E111" s="4"/>
      <c r="F111" s="4"/>
      <c r="G111" s="4"/>
      <c r="H111" s="6"/>
      <c r="I111" s="6" t="str">
        <f>iF('Ingest Template'!A111="Standard","Pristine Brand","Unknown")</f>
        <v>Unknown</v>
      </c>
      <c r="J111" s="4" t="str">
        <f>iF('Ingest Template'!A111="Standard","LF // Beverages","Competitive View")</f>
        <v>Competitive View</v>
      </c>
      <c r="K111" s="7" t="s">
        <v>35</v>
      </c>
      <c r="L111" s="8"/>
      <c r="M111" s="4"/>
      <c r="N111" s="4"/>
      <c r="O111" s="4"/>
      <c r="P111" s="4"/>
      <c r="Q111" s="4"/>
      <c r="R111" s="7" t="s">
        <v>36</v>
      </c>
      <c r="S111" s="4" t="str">
        <f>'Ingest Template'!J111</f>
        <v/>
      </c>
      <c r="T111" s="4" t="str">
        <f>'Ingest Template'!I111</f>
        <v/>
      </c>
      <c r="U111" s="4" t="str">
        <f>LOWER(SUBSTITUTE(SUBSTITUTE(SUBSTITUTE(SUBSTITUTE(SUBSTITUTE('Ingest Template'!K111,"https:",""),"www.",""),"/",""),"?hl=en",""),"instagram.com",""))</f>
        <v/>
      </c>
      <c r="V111" s="9" t="str">
        <f>'Ingest Template'!L111</f>
        <v/>
      </c>
      <c r="W111" s="9" t="str">
        <f>'Ingest Template'!M111</f>
        <v/>
      </c>
      <c r="X111" s="4" t="str">
        <f>SUBSTITUTE(SUBSTITUTE(SUBSTITUTE('Ingest Template'!N111,"http:",""),"https:",""),"/","")</f>
        <v/>
      </c>
      <c r="Y111" s="4" t="str">
        <f t="array" ref="Y111">IF('Ingest Template'!A111="Standard",(IF(ISBLANK('Ingest Template'!O111),"", 'Ingest Template'!O111&amp;"|DAR")),(IF(ISBLANK('Ingest Template'!O111),"", 'Ingest Template'!O111&amp;"|Film Ops")))</f>
        <v/>
      </c>
      <c r="Z111" s="4"/>
      <c r="AA111" s="4" t="str">
        <f>'Ingest Template'!E111</f>
        <v/>
      </c>
      <c r="AB111" s="7"/>
      <c r="AC111" s="4" t="str">
        <f t="array" ref="AC111">IF('Ingest Template'!A111="Standard",(CONCATENATE(IF(ISBLANK('Ingest Template'!F111),"", 'Ingest Template'!F111&amp;"|DAR"),CHAR(10), IF(ISBLANK('Ingest Template'!G111),"", 'Ingest Template'!G111&amp;"|DAR"),CHAR(10), IF(ISBLANK('Ingest Template'!H111),"", 'Ingest Template'!H111&amp;"|DAR"))),(CONCATENATE(IF(ISBLANK('Ingest Template'!F111),"", 'Ingest Template'!F111&amp;"|Film Ops"),CHAR(10), IF(ISBLANK('Ingest Template'!G111),"", 'Ingest Template'!G111&amp;"|Film Ops"),CHAR(10), IF(ISBLANK('Ingest Template'!H111),"", 'Ingest Template'!H111&amp;"|Film Ops"))))</f>
        <v>
</v>
      </c>
      <c r="AD111" s="4"/>
      <c r="AE111" s="4"/>
      <c r="AF111" s="10"/>
      <c r="AG111" s="4"/>
      <c r="AH111" s="4"/>
    </row>
    <row r="112">
      <c r="A112" s="4"/>
      <c r="B112" s="4" t="str">
        <f>'Ingest Template'!B112&amp;IF('Ingest Template'!A112 = "Standard", " - DAR","")</f>
        <v/>
      </c>
      <c r="C112" s="5" t="s">
        <v>34</v>
      </c>
      <c r="D112" s="5" t="str">
        <f>CONCATENATE('Ingest Template'!C112,'Ingest Template'!D112)</f>
        <v/>
      </c>
      <c r="E112" s="4"/>
      <c r="F112" s="4"/>
      <c r="G112" s="4"/>
      <c r="H112" s="6"/>
      <c r="I112" s="6" t="str">
        <f>iF('Ingest Template'!A112="Standard","Pristine Brand","Unknown")</f>
        <v>Unknown</v>
      </c>
      <c r="J112" s="4" t="str">
        <f>iF('Ingest Template'!A112="Standard","LF // Beverages","Competitive View")</f>
        <v>Competitive View</v>
      </c>
      <c r="K112" s="7" t="s">
        <v>35</v>
      </c>
      <c r="L112" s="8"/>
      <c r="M112" s="4"/>
      <c r="N112" s="4"/>
      <c r="O112" s="4"/>
      <c r="P112" s="4"/>
      <c r="Q112" s="4"/>
      <c r="R112" s="7" t="s">
        <v>36</v>
      </c>
      <c r="S112" s="4" t="str">
        <f>'Ingest Template'!J112</f>
        <v/>
      </c>
      <c r="T112" s="4" t="str">
        <f>'Ingest Template'!I112</f>
        <v/>
      </c>
      <c r="U112" s="4" t="str">
        <f>LOWER(SUBSTITUTE(SUBSTITUTE(SUBSTITUTE(SUBSTITUTE(SUBSTITUTE('Ingest Template'!K112,"https:",""),"www.",""),"/",""),"?hl=en",""),"instagram.com",""))</f>
        <v/>
      </c>
      <c r="V112" s="9" t="str">
        <f>'Ingest Template'!L112</f>
        <v/>
      </c>
      <c r="W112" s="9" t="str">
        <f>'Ingest Template'!M112</f>
        <v/>
      </c>
      <c r="X112" s="4" t="str">
        <f>SUBSTITUTE(SUBSTITUTE(SUBSTITUTE('Ingest Template'!N112,"http:",""),"https:",""),"/","")</f>
        <v/>
      </c>
      <c r="Y112" s="4" t="str">
        <f t="array" ref="Y112">IF('Ingest Template'!A112="Standard",(IF(ISBLANK('Ingest Template'!O112),"", 'Ingest Template'!O112&amp;"|DAR")),(IF(ISBLANK('Ingest Template'!O112),"", 'Ingest Template'!O112&amp;"|Film Ops")))</f>
        <v/>
      </c>
      <c r="Z112" s="4"/>
      <c r="AA112" s="4" t="str">
        <f>'Ingest Template'!E112</f>
        <v/>
      </c>
      <c r="AB112" s="7"/>
      <c r="AC112" s="4" t="str">
        <f t="array" ref="AC112">IF('Ingest Template'!A112="Standard",(CONCATENATE(IF(ISBLANK('Ingest Template'!F112),"", 'Ingest Template'!F112&amp;"|DAR"),CHAR(10), IF(ISBLANK('Ingest Template'!G112),"", 'Ingest Template'!G112&amp;"|DAR"),CHAR(10), IF(ISBLANK('Ingest Template'!H112),"", 'Ingest Template'!H112&amp;"|DAR"))),(CONCATENATE(IF(ISBLANK('Ingest Template'!F112),"", 'Ingest Template'!F112&amp;"|Film Ops"),CHAR(10), IF(ISBLANK('Ingest Template'!G112),"", 'Ingest Template'!G112&amp;"|Film Ops"),CHAR(10), IF(ISBLANK('Ingest Template'!H112),"", 'Ingest Template'!H112&amp;"|Film Ops"))))</f>
        <v>
</v>
      </c>
      <c r="AD112" s="4"/>
      <c r="AE112" s="4"/>
      <c r="AF112" s="10"/>
      <c r="AG112" s="4"/>
      <c r="AH112" s="4"/>
    </row>
    <row r="113">
      <c r="A113" s="4"/>
      <c r="B113" s="4" t="str">
        <f>'Ingest Template'!B113&amp;IF('Ingest Template'!A113 = "Standard", " - DAR","")</f>
        <v/>
      </c>
      <c r="C113" s="5" t="s">
        <v>34</v>
      </c>
      <c r="D113" s="5" t="str">
        <f>CONCATENATE('Ingest Template'!C113,'Ingest Template'!D113)</f>
        <v/>
      </c>
      <c r="E113" s="4"/>
      <c r="F113" s="4"/>
      <c r="G113" s="4"/>
      <c r="H113" s="6"/>
      <c r="I113" s="6" t="str">
        <f>iF('Ingest Template'!A113="Standard","Pristine Brand","Unknown")</f>
        <v>Unknown</v>
      </c>
      <c r="J113" s="4" t="str">
        <f>iF('Ingest Template'!A113="Standard","LF // Beverages","Competitive View")</f>
        <v>Competitive View</v>
      </c>
      <c r="K113" s="7" t="s">
        <v>35</v>
      </c>
      <c r="L113" s="8"/>
      <c r="M113" s="4"/>
      <c r="N113" s="4"/>
      <c r="O113" s="4"/>
      <c r="P113" s="4"/>
      <c r="Q113" s="4"/>
      <c r="R113" s="7" t="s">
        <v>36</v>
      </c>
      <c r="S113" s="4" t="str">
        <f>'Ingest Template'!J113</f>
        <v/>
      </c>
      <c r="T113" s="4" t="str">
        <f>'Ingest Template'!I113</f>
        <v/>
      </c>
      <c r="U113" s="4" t="str">
        <f>LOWER(SUBSTITUTE(SUBSTITUTE(SUBSTITUTE(SUBSTITUTE(SUBSTITUTE('Ingest Template'!K113,"https:",""),"www.",""),"/",""),"?hl=en",""),"instagram.com",""))</f>
        <v/>
      </c>
      <c r="V113" s="9" t="str">
        <f>'Ingest Template'!L113</f>
        <v/>
      </c>
      <c r="W113" s="9" t="str">
        <f>'Ingest Template'!M113</f>
        <v/>
      </c>
      <c r="X113" s="4" t="str">
        <f>SUBSTITUTE(SUBSTITUTE(SUBSTITUTE('Ingest Template'!N113,"http:",""),"https:",""),"/","")</f>
        <v/>
      </c>
      <c r="Y113" s="4" t="str">
        <f t="array" ref="Y113">IF('Ingest Template'!A113="Standard",(IF(ISBLANK('Ingest Template'!O113),"", 'Ingest Template'!O113&amp;"|DAR")),(IF(ISBLANK('Ingest Template'!O113),"", 'Ingest Template'!O113&amp;"|Film Ops")))</f>
        <v/>
      </c>
      <c r="Z113" s="4"/>
      <c r="AA113" s="4" t="str">
        <f>'Ingest Template'!E113</f>
        <v/>
      </c>
      <c r="AB113" s="7"/>
      <c r="AC113" s="4" t="str">
        <f t="array" ref="AC113">IF('Ingest Template'!A113="Standard",(CONCATENATE(IF(ISBLANK('Ingest Template'!F113),"", 'Ingest Template'!F113&amp;"|DAR"),CHAR(10), IF(ISBLANK('Ingest Template'!G113),"", 'Ingest Template'!G113&amp;"|DAR"),CHAR(10), IF(ISBLANK('Ingest Template'!H113),"", 'Ingest Template'!H113&amp;"|DAR"))),(CONCATENATE(IF(ISBLANK('Ingest Template'!F113),"", 'Ingest Template'!F113&amp;"|Film Ops"),CHAR(10), IF(ISBLANK('Ingest Template'!G113),"", 'Ingest Template'!G113&amp;"|Film Ops"),CHAR(10), IF(ISBLANK('Ingest Template'!H113),"", 'Ingest Template'!H113&amp;"|Film Ops"))))</f>
        <v>
</v>
      </c>
      <c r="AD113" s="4"/>
      <c r="AE113" s="4"/>
      <c r="AF113" s="10"/>
      <c r="AG113" s="4"/>
      <c r="AH113" s="4"/>
    </row>
    <row r="114">
      <c r="A114" s="4"/>
      <c r="B114" s="4" t="str">
        <f>'Ingest Template'!B114&amp;IF('Ingest Template'!A114 = "Standard", " - DAR","")</f>
        <v/>
      </c>
      <c r="C114" s="5" t="s">
        <v>34</v>
      </c>
      <c r="D114" s="5" t="str">
        <f>CONCATENATE('Ingest Template'!C114,'Ingest Template'!D114)</f>
        <v/>
      </c>
      <c r="E114" s="4"/>
      <c r="F114" s="4"/>
      <c r="G114" s="4"/>
      <c r="H114" s="6"/>
      <c r="I114" s="6" t="str">
        <f>iF('Ingest Template'!A114="Standard","Pristine Brand","Unknown")</f>
        <v>Unknown</v>
      </c>
      <c r="J114" s="4" t="str">
        <f>iF('Ingest Template'!A114="Standard","LF // Beverages","Competitive View")</f>
        <v>Competitive View</v>
      </c>
      <c r="K114" s="7" t="s">
        <v>35</v>
      </c>
      <c r="L114" s="8"/>
      <c r="M114" s="4"/>
      <c r="N114" s="4"/>
      <c r="O114" s="4"/>
      <c r="P114" s="4"/>
      <c r="Q114" s="4"/>
      <c r="R114" s="7" t="s">
        <v>36</v>
      </c>
      <c r="S114" s="4" t="str">
        <f>'Ingest Template'!J114</f>
        <v/>
      </c>
      <c r="T114" s="4" t="str">
        <f>'Ingest Template'!I114</f>
        <v/>
      </c>
      <c r="U114" s="4" t="str">
        <f>LOWER(SUBSTITUTE(SUBSTITUTE(SUBSTITUTE(SUBSTITUTE(SUBSTITUTE('Ingest Template'!K114,"https:",""),"www.",""),"/",""),"?hl=en",""),"instagram.com",""))</f>
        <v/>
      </c>
      <c r="V114" s="9" t="str">
        <f>'Ingest Template'!L114</f>
        <v/>
      </c>
      <c r="W114" s="9" t="str">
        <f>'Ingest Template'!M114</f>
        <v/>
      </c>
      <c r="X114" s="4" t="str">
        <f>SUBSTITUTE(SUBSTITUTE(SUBSTITUTE('Ingest Template'!N114,"http:",""),"https:",""),"/","")</f>
        <v/>
      </c>
      <c r="Y114" s="4" t="str">
        <f t="array" ref="Y114">IF('Ingest Template'!A114="Standard",(IF(ISBLANK('Ingest Template'!O114),"", 'Ingest Template'!O114&amp;"|DAR")),(IF(ISBLANK('Ingest Template'!O114),"", 'Ingest Template'!O114&amp;"|Film Ops")))</f>
        <v/>
      </c>
      <c r="Z114" s="4"/>
      <c r="AA114" s="4" t="str">
        <f>'Ingest Template'!E114</f>
        <v/>
      </c>
      <c r="AB114" s="7"/>
      <c r="AC114" s="4" t="str">
        <f t="array" ref="AC114">IF('Ingest Template'!A114="Standard",(CONCATENATE(IF(ISBLANK('Ingest Template'!F114),"", 'Ingest Template'!F114&amp;"|DAR"),CHAR(10), IF(ISBLANK('Ingest Template'!G114),"", 'Ingest Template'!G114&amp;"|DAR"),CHAR(10), IF(ISBLANK('Ingest Template'!H114),"", 'Ingest Template'!H114&amp;"|DAR"))),(CONCATENATE(IF(ISBLANK('Ingest Template'!F114),"", 'Ingest Template'!F114&amp;"|Film Ops"),CHAR(10), IF(ISBLANK('Ingest Template'!G114),"", 'Ingest Template'!G114&amp;"|Film Ops"),CHAR(10), IF(ISBLANK('Ingest Template'!H114),"", 'Ingest Template'!H114&amp;"|Film Ops"))))</f>
        <v>
</v>
      </c>
      <c r="AD114" s="4"/>
      <c r="AE114" s="4"/>
      <c r="AF114" s="10"/>
      <c r="AG114" s="4"/>
      <c r="AH114" s="4"/>
    </row>
    <row r="115">
      <c r="A115" s="4"/>
      <c r="B115" s="4" t="str">
        <f>'Ingest Template'!B115&amp;IF('Ingest Template'!A115 = "Standard", " - DAR","")</f>
        <v/>
      </c>
      <c r="C115" s="5" t="s">
        <v>34</v>
      </c>
      <c r="D115" s="5" t="str">
        <f>CONCATENATE('Ingest Template'!C115,'Ingest Template'!D115)</f>
        <v/>
      </c>
      <c r="E115" s="4"/>
      <c r="F115" s="4"/>
      <c r="G115" s="4"/>
      <c r="H115" s="6"/>
      <c r="I115" s="6" t="str">
        <f>iF('Ingest Template'!A115="Standard","Pristine Brand","Unknown")</f>
        <v>Unknown</v>
      </c>
      <c r="J115" s="4" t="str">
        <f>iF('Ingest Template'!A115="Standard","LF // Beverages","Competitive View")</f>
        <v>Competitive View</v>
      </c>
      <c r="K115" s="7" t="s">
        <v>35</v>
      </c>
      <c r="L115" s="8"/>
      <c r="M115" s="4"/>
      <c r="N115" s="4"/>
      <c r="O115" s="4"/>
      <c r="P115" s="4"/>
      <c r="Q115" s="4"/>
      <c r="R115" s="7" t="s">
        <v>36</v>
      </c>
      <c r="S115" s="4" t="str">
        <f>'Ingest Template'!J115</f>
        <v/>
      </c>
      <c r="T115" s="4" t="str">
        <f>'Ingest Template'!I115</f>
        <v/>
      </c>
      <c r="U115" s="4" t="str">
        <f>LOWER(SUBSTITUTE(SUBSTITUTE(SUBSTITUTE(SUBSTITUTE(SUBSTITUTE('Ingest Template'!K115,"https:",""),"www.",""),"/",""),"?hl=en",""),"instagram.com",""))</f>
        <v/>
      </c>
      <c r="V115" s="9" t="str">
        <f>'Ingest Template'!L115</f>
        <v/>
      </c>
      <c r="W115" s="9" t="str">
        <f>'Ingest Template'!M115</f>
        <v/>
      </c>
      <c r="X115" s="4" t="str">
        <f>SUBSTITUTE(SUBSTITUTE(SUBSTITUTE('Ingest Template'!N115,"http:",""),"https:",""),"/","")</f>
        <v/>
      </c>
      <c r="Y115" s="4" t="str">
        <f t="array" ref="Y115">IF('Ingest Template'!A115="Standard",(IF(ISBLANK('Ingest Template'!O115),"", 'Ingest Template'!O115&amp;"|DAR")),(IF(ISBLANK('Ingest Template'!O115),"", 'Ingest Template'!O115&amp;"|Film Ops")))</f>
        <v/>
      </c>
      <c r="Z115" s="4"/>
      <c r="AA115" s="4" t="str">
        <f>'Ingest Template'!E115</f>
        <v/>
      </c>
      <c r="AB115" s="7"/>
      <c r="AC115" s="4" t="str">
        <f t="array" ref="AC115">IF('Ingest Template'!A115="Standard",(CONCATENATE(IF(ISBLANK('Ingest Template'!F115),"", 'Ingest Template'!F115&amp;"|DAR"),CHAR(10), IF(ISBLANK('Ingest Template'!G115),"", 'Ingest Template'!G115&amp;"|DAR"),CHAR(10), IF(ISBLANK('Ingest Template'!H115),"", 'Ingest Template'!H115&amp;"|DAR"))),(CONCATENATE(IF(ISBLANK('Ingest Template'!F115),"", 'Ingest Template'!F115&amp;"|Film Ops"),CHAR(10), IF(ISBLANK('Ingest Template'!G115),"", 'Ingest Template'!G115&amp;"|Film Ops"),CHAR(10), IF(ISBLANK('Ingest Template'!H115),"", 'Ingest Template'!H115&amp;"|Film Ops"))))</f>
        <v>
</v>
      </c>
      <c r="AD115" s="4"/>
      <c r="AE115" s="4"/>
      <c r="AF115" s="10"/>
      <c r="AG115" s="4"/>
      <c r="AH115" s="4"/>
    </row>
    <row r="116">
      <c r="A116" s="4"/>
      <c r="B116" s="4" t="str">
        <f>'Ingest Template'!B116&amp;IF('Ingest Template'!A116 = "Standard", " - DAR","")</f>
        <v/>
      </c>
      <c r="C116" s="5" t="s">
        <v>34</v>
      </c>
      <c r="D116" s="5" t="str">
        <f>CONCATENATE('Ingest Template'!C116,'Ingest Template'!D116)</f>
        <v/>
      </c>
      <c r="E116" s="4"/>
      <c r="F116" s="4"/>
      <c r="G116" s="4"/>
      <c r="H116" s="6"/>
      <c r="I116" s="6" t="str">
        <f>iF('Ingest Template'!A116="Standard","Pristine Brand","Unknown")</f>
        <v>Unknown</v>
      </c>
      <c r="J116" s="4" t="str">
        <f>iF('Ingest Template'!A116="Standard","LF // Beverages","Competitive View")</f>
        <v>Competitive View</v>
      </c>
      <c r="K116" s="7" t="s">
        <v>35</v>
      </c>
      <c r="L116" s="8"/>
      <c r="M116" s="4"/>
      <c r="N116" s="4"/>
      <c r="O116" s="4"/>
      <c r="P116" s="4"/>
      <c r="Q116" s="4"/>
      <c r="R116" s="7" t="s">
        <v>36</v>
      </c>
      <c r="S116" s="4" t="str">
        <f>'Ingest Template'!J116</f>
        <v/>
      </c>
      <c r="T116" s="4" t="str">
        <f>'Ingest Template'!I116</f>
        <v/>
      </c>
      <c r="U116" s="4" t="str">
        <f>LOWER(SUBSTITUTE(SUBSTITUTE(SUBSTITUTE(SUBSTITUTE(SUBSTITUTE('Ingest Template'!K116,"https:",""),"www.",""),"/",""),"?hl=en",""),"instagram.com",""))</f>
        <v/>
      </c>
      <c r="V116" s="9" t="str">
        <f>'Ingest Template'!L116</f>
        <v/>
      </c>
      <c r="W116" s="9" t="str">
        <f>'Ingest Template'!M116</f>
        <v/>
      </c>
      <c r="X116" s="4" t="str">
        <f>SUBSTITUTE(SUBSTITUTE(SUBSTITUTE('Ingest Template'!N116,"http:",""),"https:",""),"/","")</f>
        <v/>
      </c>
      <c r="Y116" s="4" t="str">
        <f t="array" ref="Y116">IF('Ingest Template'!A116="Standard",(IF(ISBLANK('Ingest Template'!O116),"", 'Ingest Template'!O116&amp;"|DAR")),(IF(ISBLANK('Ingest Template'!O116),"", 'Ingest Template'!O116&amp;"|Film Ops")))</f>
        <v/>
      </c>
      <c r="Z116" s="4"/>
      <c r="AA116" s="4" t="str">
        <f>'Ingest Template'!E116</f>
        <v/>
      </c>
      <c r="AB116" s="7"/>
      <c r="AC116" s="4" t="str">
        <f t="array" ref="AC116">IF('Ingest Template'!A116="Standard",(CONCATENATE(IF(ISBLANK('Ingest Template'!F116),"", 'Ingest Template'!F116&amp;"|DAR"),CHAR(10), IF(ISBLANK('Ingest Template'!G116),"", 'Ingest Template'!G116&amp;"|DAR"),CHAR(10), IF(ISBLANK('Ingest Template'!H116),"", 'Ingest Template'!H116&amp;"|DAR"))),(CONCATENATE(IF(ISBLANK('Ingest Template'!F116),"", 'Ingest Template'!F116&amp;"|Film Ops"),CHAR(10), IF(ISBLANK('Ingest Template'!G116),"", 'Ingest Template'!G116&amp;"|Film Ops"),CHAR(10), IF(ISBLANK('Ingest Template'!H116),"", 'Ingest Template'!H116&amp;"|Film Ops"))))</f>
        <v>
</v>
      </c>
      <c r="AD116" s="4"/>
      <c r="AE116" s="4"/>
      <c r="AF116" s="10"/>
      <c r="AG116" s="4"/>
      <c r="AH116" s="4"/>
    </row>
    <row r="117">
      <c r="A117" s="4"/>
      <c r="B117" s="4" t="str">
        <f>'Ingest Template'!B117&amp;IF('Ingest Template'!A117 = "Standard", " - DAR","")</f>
        <v/>
      </c>
      <c r="C117" s="5" t="s">
        <v>34</v>
      </c>
      <c r="D117" s="5" t="str">
        <f>CONCATENATE('Ingest Template'!C117,'Ingest Template'!D117)</f>
        <v/>
      </c>
      <c r="E117" s="4"/>
      <c r="F117" s="4"/>
      <c r="G117" s="4"/>
      <c r="H117" s="6"/>
      <c r="I117" s="6" t="str">
        <f>iF('Ingest Template'!A117="Standard","Pristine Brand","Unknown")</f>
        <v>Unknown</v>
      </c>
      <c r="J117" s="4" t="str">
        <f>iF('Ingest Template'!A117="Standard","LF // Beverages","Competitive View")</f>
        <v>Competitive View</v>
      </c>
      <c r="K117" s="7" t="s">
        <v>35</v>
      </c>
      <c r="L117" s="8"/>
      <c r="M117" s="4"/>
      <c r="N117" s="4"/>
      <c r="O117" s="4"/>
      <c r="P117" s="4"/>
      <c r="Q117" s="4"/>
      <c r="R117" s="7" t="s">
        <v>36</v>
      </c>
      <c r="S117" s="4" t="str">
        <f>'Ingest Template'!J117</f>
        <v/>
      </c>
      <c r="T117" s="4" t="str">
        <f>'Ingest Template'!I117</f>
        <v/>
      </c>
      <c r="U117" s="4" t="str">
        <f>LOWER(SUBSTITUTE(SUBSTITUTE(SUBSTITUTE(SUBSTITUTE(SUBSTITUTE('Ingest Template'!K117,"https:",""),"www.",""),"/",""),"?hl=en",""),"instagram.com",""))</f>
        <v/>
      </c>
      <c r="V117" s="9" t="str">
        <f>'Ingest Template'!L117</f>
        <v/>
      </c>
      <c r="W117" s="9" t="str">
        <f>'Ingest Template'!M117</f>
        <v/>
      </c>
      <c r="X117" s="4" t="str">
        <f>SUBSTITUTE(SUBSTITUTE(SUBSTITUTE('Ingest Template'!N117,"http:",""),"https:",""),"/","")</f>
        <v/>
      </c>
      <c r="Y117" s="4" t="str">
        <f t="array" ref="Y117">IF('Ingest Template'!A117="Standard",(IF(ISBLANK('Ingest Template'!O117),"", 'Ingest Template'!O117&amp;"|DAR")),(IF(ISBLANK('Ingest Template'!O117),"", 'Ingest Template'!O117&amp;"|Film Ops")))</f>
        <v/>
      </c>
      <c r="Z117" s="4"/>
      <c r="AA117" s="4" t="str">
        <f>'Ingest Template'!E117</f>
        <v/>
      </c>
      <c r="AB117" s="7"/>
      <c r="AC117" s="4" t="str">
        <f t="array" ref="AC117">IF('Ingest Template'!A117="Standard",(CONCATENATE(IF(ISBLANK('Ingest Template'!F117),"", 'Ingest Template'!F117&amp;"|DAR"),CHAR(10), IF(ISBLANK('Ingest Template'!G117),"", 'Ingest Template'!G117&amp;"|DAR"),CHAR(10), IF(ISBLANK('Ingest Template'!H117),"", 'Ingest Template'!H117&amp;"|DAR"))),(CONCATENATE(IF(ISBLANK('Ingest Template'!F117),"", 'Ingest Template'!F117&amp;"|Film Ops"),CHAR(10), IF(ISBLANK('Ingest Template'!G117),"", 'Ingest Template'!G117&amp;"|Film Ops"),CHAR(10), IF(ISBLANK('Ingest Template'!H117),"", 'Ingest Template'!H117&amp;"|Film Ops"))))</f>
        <v>
</v>
      </c>
      <c r="AD117" s="4"/>
      <c r="AE117" s="4"/>
      <c r="AF117" s="10"/>
      <c r="AG117" s="4"/>
      <c r="AH117" s="4"/>
    </row>
    <row r="118">
      <c r="A118" s="4"/>
      <c r="B118" s="4" t="str">
        <f>'Ingest Template'!B118&amp;IF('Ingest Template'!A118 = "Standard", " - DAR","")</f>
        <v/>
      </c>
      <c r="C118" s="5" t="s">
        <v>34</v>
      </c>
      <c r="D118" s="5" t="str">
        <f>CONCATENATE('Ingest Template'!C118,'Ingest Template'!D118)</f>
        <v/>
      </c>
      <c r="E118" s="4"/>
      <c r="F118" s="4"/>
      <c r="G118" s="4"/>
      <c r="H118" s="6"/>
      <c r="I118" s="6" t="str">
        <f>iF('Ingest Template'!A118="Standard","Pristine Brand","Unknown")</f>
        <v>Unknown</v>
      </c>
      <c r="J118" s="4" t="str">
        <f>iF('Ingest Template'!A118="Standard","LF // Beverages","Competitive View")</f>
        <v>Competitive View</v>
      </c>
      <c r="K118" s="7" t="s">
        <v>35</v>
      </c>
      <c r="L118" s="8"/>
      <c r="M118" s="4"/>
      <c r="N118" s="4"/>
      <c r="O118" s="4"/>
      <c r="P118" s="4"/>
      <c r="Q118" s="4"/>
      <c r="R118" s="7" t="s">
        <v>36</v>
      </c>
      <c r="S118" s="4" t="str">
        <f>'Ingest Template'!J118</f>
        <v/>
      </c>
      <c r="T118" s="4" t="str">
        <f>'Ingest Template'!I118</f>
        <v/>
      </c>
      <c r="U118" s="4" t="str">
        <f>LOWER(SUBSTITUTE(SUBSTITUTE(SUBSTITUTE(SUBSTITUTE(SUBSTITUTE('Ingest Template'!K118,"https:",""),"www.",""),"/",""),"?hl=en",""),"instagram.com",""))</f>
        <v/>
      </c>
      <c r="V118" s="9" t="str">
        <f>'Ingest Template'!L118</f>
        <v/>
      </c>
      <c r="W118" s="9" t="str">
        <f>'Ingest Template'!M118</f>
        <v/>
      </c>
      <c r="X118" s="4" t="str">
        <f>SUBSTITUTE(SUBSTITUTE(SUBSTITUTE('Ingest Template'!N118,"http:",""),"https:",""),"/","")</f>
        <v/>
      </c>
      <c r="Y118" s="4" t="str">
        <f t="array" ref="Y118">IF('Ingest Template'!A118="Standard",(IF(ISBLANK('Ingest Template'!O118),"", 'Ingest Template'!O118&amp;"|DAR")),(IF(ISBLANK('Ingest Template'!O118),"", 'Ingest Template'!O118&amp;"|Film Ops")))</f>
        <v/>
      </c>
      <c r="Z118" s="4"/>
      <c r="AA118" s="4" t="str">
        <f>'Ingest Template'!E118</f>
        <v/>
      </c>
      <c r="AB118" s="7"/>
      <c r="AC118" s="4" t="str">
        <f t="array" ref="AC118">IF('Ingest Template'!A118="Standard",(CONCATENATE(IF(ISBLANK('Ingest Template'!F118),"", 'Ingest Template'!F118&amp;"|DAR"),CHAR(10), IF(ISBLANK('Ingest Template'!G118),"", 'Ingest Template'!G118&amp;"|DAR"),CHAR(10), IF(ISBLANK('Ingest Template'!H118),"", 'Ingest Template'!H118&amp;"|DAR"))),(CONCATENATE(IF(ISBLANK('Ingest Template'!F118),"", 'Ingest Template'!F118&amp;"|Film Ops"),CHAR(10), IF(ISBLANK('Ingest Template'!G118),"", 'Ingest Template'!G118&amp;"|Film Ops"),CHAR(10), IF(ISBLANK('Ingest Template'!H118),"", 'Ingest Template'!H118&amp;"|Film Ops"))))</f>
        <v>
</v>
      </c>
      <c r="AD118" s="4"/>
      <c r="AE118" s="4"/>
      <c r="AF118" s="10"/>
      <c r="AG118" s="4"/>
      <c r="AH118" s="4"/>
    </row>
    <row r="119">
      <c r="A119" s="4"/>
      <c r="B119" s="4" t="str">
        <f>'Ingest Template'!B119&amp;IF('Ingest Template'!A119 = "Standard", " - DAR","")</f>
        <v/>
      </c>
      <c r="C119" s="5" t="s">
        <v>34</v>
      </c>
      <c r="D119" s="5" t="str">
        <f>CONCATENATE('Ingest Template'!C119,'Ingest Template'!D119)</f>
        <v/>
      </c>
      <c r="E119" s="4"/>
      <c r="F119" s="4"/>
      <c r="G119" s="4"/>
      <c r="H119" s="6"/>
      <c r="I119" s="6" t="str">
        <f>iF('Ingest Template'!A119="Standard","Pristine Brand","Unknown")</f>
        <v>Unknown</v>
      </c>
      <c r="J119" s="4" t="str">
        <f>iF('Ingest Template'!A119="Standard","LF // Beverages","Competitive View")</f>
        <v>Competitive View</v>
      </c>
      <c r="K119" s="7" t="s">
        <v>35</v>
      </c>
      <c r="L119" s="8"/>
      <c r="M119" s="4"/>
      <c r="N119" s="4"/>
      <c r="O119" s="4"/>
      <c r="P119" s="4"/>
      <c r="Q119" s="4"/>
      <c r="R119" s="7" t="s">
        <v>36</v>
      </c>
      <c r="S119" s="4" t="str">
        <f>'Ingest Template'!J119</f>
        <v/>
      </c>
      <c r="T119" s="4" t="str">
        <f>'Ingest Template'!I119</f>
        <v/>
      </c>
      <c r="U119" s="4" t="str">
        <f>LOWER(SUBSTITUTE(SUBSTITUTE(SUBSTITUTE(SUBSTITUTE(SUBSTITUTE('Ingest Template'!K119,"https:",""),"www.",""),"/",""),"?hl=en",""),"instagram.com",""))</f>
        <v/>
      </c>
      <c r="V119" s="9" t="str">
        <f>'Ingest Template'!L119</f>
        <v/>
      </c>
      <c r="W119" s="9" t="str">
        <f>'Ingest Template'!M119</f>
        <v/>
      </c>
      <c r="X119" s="4" t="str">
        <f>SUBSTITUTE(SUBSTITUTE(SUBSTITUTE('Ingest Template'!N119,"http:",""),"https:",""),"/","")</f>
        <v/>
      </c>
      <c r="Y119" s="4" t="str">
        <f t="array" ref="Y119">IF('Ingest Template'!A119="Standard",(IF(ISBLANK('Ingest Template'!O119),"", 'Ingest Template'!O119&amp;"|DAR")),(IF(ISBLANK('Ingest Template'!O119),"", 'Ingest Template'!O119&amp;"|Film Ops")))</f>
        <v/>
      </c>
      <c r="Z119" s="4"/>
      <c r="AA119" s="4" t="str">
        <f>'Ingest Template'!E119</f>
        <v/>
      </c>
      <c r="AB119" s="7"/>
      <c r="AC119" s="4" t="str">
        <f t="array" ref="AC119">IF('Ingest Template'!A119="Standard",(CONCATENATE(IF(ISBLANK('Ingest Template'!F119),"", 'Ingest Template'!F119&amp;"|DAR"),CHAR(10), IF(ISBLANK('Ingest Template'!G119),"", 'Ingest Template'!G119&amp;"|DAR"),CHAR(10), IF(ISBLANK('Ingest Template'!H119),"", 'Ingest Template'!H119&amp;"|DAR"))),(CONCATENATE(IF(ISBLANK('Ingest Template'!F119),"", 'Ingest Template'!F119&amp;"|Film Ops"),CHAR(10), IF(ISBLANK('Ingest Template'!G119),"", 'Ingest Template'!G119&amp;"|Film Ops"),CHAR(10), IF(ISBLANK('Ingest Template'!H119),"", 'Ingest Template'!H119&amp;"|Film Ops"))))</f>
        <v>
</v>
      </c>
      <c r="AD119" s="4"/>
      <c r="AE119" s="4"/>
      <c r="AF119" s="10"/>
      <c r="AG119" s="4"/>
      <c r="AH119" s="4"/>
    </row>
    <row r="120">
      <c r="A120" s="4"/>
      <c r="B120" s="4" t="str">
        <f>'Ingest Template'!B120&amp;IF('Ingest Template'!A120 = "Standard", " - DAR","")</f>
        <v/>
      </c>
      <c r="C120" s="5" t="s">
        <v>34</v>
      </c>
      <c r="D120" s="5" t="str">
        <f>CONCATENATE('Ingest Template'!C120,'Ingest Template'!D120)</f>
        <v/>
      </c>
      <c r="E120" s="4"/>
      <c r="F120" s="4"/>
      <c r="G120" s="4"/>
      <c r="H120" s="6"/>
      <c r="I120" s="6" t="str">
        <f>iF('Ingest Template'!A120="Standard","Pristine Brand","Unknown")</f>
        <v>Unknown</v>
      </c>
      <c r="J120" s="4" t="str">
        <f>iF('Ingest Template'!A120="Standard","LF // Beverages","Competitive View")</f>
        <v>Competitive View</v>
      </c>
      <c r="K120" s="7" t="s">
        <v>35</v>
      </c>
      <c r="L120" s="8"/>
      <c r="M120" s="4"/>
      <c r="N120" s="4"/>
      <c r="O120" s="4"/>
      <c r="P120" s="4"/>
      <c r="Q120" s="4"/>
      <c r="R120" s="7" t="s">
        <v>36</v>
      </c>
      <c r="S120" s="4" t="str">
        <f>'Ingest Template'!J120</f>
        <v/>
      </c>
      <c r="T120" s="4" t="str">
        <f>'Ingest Template'!I120</f>
        <v/>
      </c>
      <c r="U120" s="4" t="str">
        <f>LOWER(SUBSTITUTE(SUBSTITUTE(SUBSTITUTE(SUBSTITUTE(SUBSTITUTE('Ingest Template'!K120,"https:",""),"www.",""),"/",""),"?hl=en",""),"instagram.com",""))</f>
        <v/>
      </c>
      <c r="V120" s="9" t="str">
        <f>'Ingest Template'!L120</f>
        <v/>
      </c>
      <c r="W120" s="9" t="str">
        <f>'Ingest Template'!M120</f>
        <v/>
      </c>
      <c r="X120" s="4" t="str">
        <f>SUBSTITUTE(SUBSTITUTE(SUBSTITUTE('Ingest Template'!N120,"http:",""),"https:",""),"/","")</f>
        <v/>
      </c>
      <c r="Y120" s="4" t="str">
        <f t="array" ref="Y120">IF('Ingest Template'!A120="Standard",(IF(ISBLANK('Ingest Template'!O120),"", 'Ingest Template'!O120&amp;"|DAR")),(IF(ISBLANK('Ingest Template'!O120),"", 'Ingest Template'!O120&amp;"|Film Ops")))</f>
        <v/>
      </c>
      <c r="Z120" s="4"/>
      <c r="AA120" s="4" t="str">
        <f>'Ingest Template'!E120</f>
        <v/>
      </c>
      <c r="AB120" s="7"/>
      <c r="AC120" s="4" t="str">
        <f t="array" ref="AC120">IF('Ingest Template'!A120="Standard",(CONCATENATE(IF(ISBLANK('Ingest Template'!F120),"", 'Ingest Template'!F120&amp;"|DAR"),CHAR(10), IF(ISBLANK('Ingest Template'!G120),"", 'Ingest Template'!G120&amp;"|DAR"),CHAR(10), IF(ISBLANK('Ingest Template'!H120),"", 'Ingest Template'!H120&amp;"|DAR"))),(CONCATENATE(IF(ISBLANK('Ingest Template'!F120),"", 'Ingest Template'!F120&amp;"|Film Ops"),CHAR(10), IF(ISBLANK('Ingest Template'!G120),"", 'Ingest Template'!G120&amp;"|Film Ops"),CHAR(10), IF(ISBLANK('Ingest Template'!H120),"", 'Ingest Template'!H120&amp;"|Film Ops"))))</f>
        <v>
</v>
      </c>
      <c r="AD120" s="4"/>
      <c r="AE120" s="4"/>
      <c r="AF120" s="10"/>
      <c r="AG120" s="4"/>
      <c r="AH120" s="4"/>
    </row>
    <row r="121">
      <c r="A121" s="4"/>
      <c r="B121" s="4" t="str">
        <f>'Ingest Template'!B121&amp;IF('Ingest Template'!A121 = "Standard", " - DAR","")</f>
        <v/>
      </c>
      <c r="C121" s="5" t="s">
        <v>34</v>
      </c>
      <c r="D121" s="5" t="str">
        <f>CONCATENATE('Ingest Template'!C121,'Ingest Template'!D121)</f>
        <v/>
      </c>
      <c r="E121" s="4"/>
      <c r="F121" s="4"/>
      <c r="G121" s="4"/>
      <c r="H121" s="6"/>
      <c r="I121" s="6" t="str">
        <f>iF('Ingest Template'!A121="Standard","Pristine Brand","Unknown")</f>
        <v>Unknown</v>
      </c>
      <c r="J121" s="4" t="str">
        <f>iF('Ingest Template'!A121="Standard","LF // Beverages","Competitive View")</f>
        <v>Competitive View</v>
      </c>
      <c r="K121" s="7" t="s">
        <v>35</v>
      </c>
      <c r="L121" s="8"/>
      <c r="M121" s="4"/>
      <c r="N121" s="4"/>
      <c r="O121" s="4"/>
      <c r="P121" s="4"/>
      <c r="Q121" s="4"/>
      <c r="R121" s="7" t="s">
        <v>36</v>
      </c>
      <c r="S121" s="4" t="str">
        <f>'Ingest Template'!J121</f>
        <v/>
      </c>
      <c r="T121" s="4" t="str">
        <f>'Ingest Template'!I121</f>
        <v/>
      </c>
      <c r="U121" s="4" t="str">
        <f>LOWER(SUBSTITUTE(SUBSTITUTE(SUBSTITUTE(SUBSTITUTE(SUBSTITUTE('Ingest Template'!K121,"https:",""),"www.",""),"/",""),"?hl=en",""),"instagram.com",""))</f>
        <v/>
      </c>
      <c r="V121" s="9" t="str">
        <f>'Ingest Template'!L121</f>
        <v/>
      </c>
      <c r="W121" s="9" t="str">
        <f>'Ingest Template'!M121</f>
        <v/>
      </c>
      <c r="X121" s="4" t="str">
        <f>SUBSTITUTE(SUBSTITUTE(SUBSTITUTE('Ingest Template'!N121,"http:",""),"https:",""),"/","")</f>
        <v/>
      </c>
      <c r="Y121" s="4" t="str">
        <f t="array" ref="Y121">IF('Ingest Template'!A121="Standard",(IF(ISBLANK('Ingest Template'!O121),"", 'Ingest Template'!O121&amp;"|DAR")),(IF(ISBLANK('Ingest Template'!O121),"", 'Ingest Template'!O121&amp;"|Film Ops")))</f>
        <v/>
      </c>
      <c r="Z121" s="4"/>
      <c r="AA121" s="4" t="str">
        <f>'Ingest Template'!E121</f>
        <v/>
      </c>
      <c r="AB121" s="7"/>
      <c r="AC121" s="4" t="str">
        <f t="array" ref="AC121">IF('Ingest Template'!A121="Standard",(CONCATENATE(IF(ISBLANK('Ingest Template'!F121),"", 'Ingest Template'!F121&amp;"|DAR"),CHAR(10), IF(ISBLANK('Ingest Template'!G121),"", 'Ingest Template'!G121&amp;"|DAR"),CHAR(10), IF(ISBLANK('Ingest Template'!H121),"", 'Ingest Template'!H121&amp;"|DAR"))),(CONCATENATE(IF(ISBLANK('Ingest Template'!F121),"", 'Ingest Template'!F121&amp;"|Film Ops"),CHAR(10), IF(ISBLANK('Ingest Template'!G121),"", 'Ingest Template'!G121&amp;"|Film Ops"),CHAR(10), IF(ISBLANK('Ingest Template'!H121),"", 'Ingest Template'!H121&amp;"|Film Ops"))))</f>
        <v>
</v>
      </c>
      <c r="AD121" s="4"/>
      <c r="AE121" s="4"/>
      <c r="AF121" s="10"/>
      <c r="AG121" s="4"/>
      <c r="AH121" s="4"/>
    </row>
    <row r="122">
      <c r="A122" s="4"/>
      <c r="B122" s="4" t="str">
        <f>'Ingest Template'!B122&amp;IF('Ingest Template'!A122 = "Standard", " - DAR","")</f>
        <v/>
      </c>
      <c r="C122" s="5" t="s">
        <v>34</v>
      </c>
      <c r="D122" s="5" t="str">
        <f>CONCATENATE('Ingest Template'!C122,'Ingest Template'!D122)</f>
        <v/>
      </c>
      <c r="E122" s="4"/>
      <c r="F122" s="4"/>
      <c r="G122" s="4"/>
      <c r="H122" s="6"/>
      <c r="I122" s="6" t="str">
        <f>iF('Ingest Template'!A122="Standard","Pristine Brand","Unknown")</f>
        <v>Unknown</v>
      </c>
      <c r="J122" s="4" t="str">
        <f>iF('Ingest Template'!A122="Standard","LF // Beverages","Competitive View")</f>
        <v>Competitive View</v>
      </c>
      <c r="K122" s="7" t="s">
        <v>35</v>
      </c>
      <c r="L122" s="8"/>
      <c r="M122" s="4"/>
      <c r="N122" s="4"/>
      <c r="O122" s="4"/>
      <c r="P122" s="4"/>
      <c r="Q122" s="4"/>
      <c r="R122" s="7" t="s">
        <v>36</v>
      </c>
      <c r="S122" s="4" t="str">
        <f>'Ingest Template'!J122</f>
        <v/>
      </c>
      <c r="T122" s="4" t="str">
        <f>'Ingest Template'!I122</f>
        <v/>
      </c>
      <c r="U122" s="4" t="str">
        <f>LOWER(SUBSTITUTE(SUBSTITUTE(SUBSTITUTE(SUBSTITUTE(SUBSTITUTE('Ingest Template'!K122,"https:",""),"www.",""),"/",""),"?hl=en",""),"instagram.com",""))</f>
        <v/>
      </c>
      <c r="V122" s="9" t="str">
        <f>'Ingest Template'!L122</f>
        <v/>
      </c>
      <c r="W122" s="9" t="str">
        <f>'Ingest Template'!M122</f>
        <v/>
      </c>
      <c r="X122" s="4" t="str">
        <f>SUBSTITUTE(SUBSTITUTE(SUBSTITUTE('Ingest Template'!N122,"http:",""),"https:",""),"/","")</f>
        <v/>
      </c>
      <c r="Y122" s="4" t="str">
        <f t="array" ref="Y122">IF('Ingest Template'!A122="Standard",(IF(ISBLANK('Ingest Template'!O122),"", 'Ingest Template'!O122&amp;"|DAR")),(IF(ISBLANK('Ingest Template'!O122),"", 'Ingest Template'!O122&amp;"|Film Ops")))</f>
        <v/>
      </c>
      <c r="Z122" s="4"/>
      <c r="AA122" s="4" t="str">
        <f>'Ingest Template'!E122</f>
        <v/>
      </c>
      <c r="AB122" s="7"/>
      <c r="AC122" s="4" t="str">
        <f t="array" ref="AC122">IF('Ingest Template'!A122="Standard",(CONCATENATE(IF(ISBLANK('Ingest Template'!F122),"", 'Ingest Template'!F122&amp;"|DAR"),CHAR(10), IF(ISBLANK('Ingest Template'!G122),"", 'Ingest Template'!G122&amp;"|DAR"),CHAR(10), IF(ISBLANK('Ingest Template'!H122),"", 'Ingest Template'!H122&amp;"|DAR"))),(CONCATENATE(IF(ISBLANK('Ingest Template'!F122),"", 'Ingest Template'!F122&amp;"|Film Ops"),CHAR(10), IF(ISBLANK('Ingest Template'!G122),"", 'Ingest Template'!G122&amp;"|Film Ops"),CHAR(10), IF(ISBLANK('Ingest Template'!H122),"", 'Ingest Template'!H122&amp;"|Film Ops"))))</f>
        <v>
</v>
      </c>
      <c r="AD122" s="4"/>
      <c r="AE122" s="4"/>
      <c r="AF122" s="10"/>
      <c r="AG122" s="4"/>
      <c r="AH122" s="4"/>
    </row>
    <row r="123">
      <c r="A123" s="4"/>
      <c r="B123" s="4" t="str">
        <f>'Ingest Template'!B123&amp;IF('Ingest Template'!A123 = "Standard", " - DAR","")</f>
        <v/>
      </c>
      <c r="C123" s="5" t="s">
        <v>34</v>
      </c>
      <c r="D123" s="5" t="str">
        <f>CONCATENATE('Ingest Template'!C123,'Ingest Template'!D123)</f>
        <v/>
      </c>
      <c r="E123" s="4"/>
      <c r="F123" s="4"/>
      <c r="G123" s="4"/>
      <c r="H123" s="6"/>
      <c r="I123" s="6" t="str">
        <f>iF('Ingest Template'!A123="Standard","Pristine Brand","Unknown")</f>
        <v>Unknown</v>
      </c>
      <c r="J123" s="4" t="str">
        <f>iF('Ingest Template'!A123="Standard","LF // Beverages","Competitive View")</f>
        <v>Competitive View</v>
      </c>
      <c r="K123" s="7" t="s">
        <v>35</v>
      </c>
      <c r="L123" s="8"/>
      <c r="M123" s="4"/>
      <c r="N123" s="4"/>
      <c r="O123" s="4"/>
      <c r="P123" s="4"/>
      <c r="Q123" s="4"/>
      <c r="R123" s="7" t="s">
        <v>36</v>
      </c>
      <c r="S123" s="4" t="str">
        <f>'Ingest Template'!J123</f>
        <v/>
      </c>
      <c r="T123" s="4" t="str">
        <f>'Ingest Template'!I123</f>
        <v/>
      </c>
      <c r="U123" s="4" t="str">
        <f>LOWER(SUBSTITUTE(SUBSTITUTE(SUBSTITUTE(SUBSTITUTE(SUBSTITUTE('Ingest Template'!K123,"https:",""),"www.",""),"/",""),"?hl=en",""),"instagram.com",""))</f>
        <v/>
      </c>
      <c r="V123" s="9" t="str">
        <f>'Ingest Template'!L123</f>
        <v/>
      </c>
      <c r="W123" s="9" t="str">
        <f>'Ingest Template'!M123</f>
        <v/>
      </c>
      <c r="X123" s="4" t="str">
        <f>SUBSTITUTE(SUBSTITUTE(SUBSTITUTE('Ingest Template'!N123,"http:",""),"https:",""),"/","")</f>
        <v/>
      </c>
      <c r="Y123" s="4" t="str">
        <f t="array" ref="Y123">IF('Ingest Template'!A123="Standard",(IF(ISBLANK('Ingest Template'!O123),"", 'Ingest Template'!O123&amp;"|DAR")),(IF(ISBLANK('Ingest Template'!O123),"", 'Ingest Template'!O123&amp;"|Film Ops")))</f>
        <v/>
      </c>
      <c r="Z123" s="4"/>
      <c r="AA123" s="4" t="str">
        <f>'Ingest Template'!E123</f>
        <v/>
      </c>
      <c r="AB123" s="7"/>
      <c r="AC123" s="4" t="str">
        <f t="array" ref="AC123">IF('Ingest Template'!A123="Standard",(CONCATENATE(IF(ISBLANK('Ingest Template'!F123),"", 'Ingest Template'!F123&amp;"|DAR"),CHAR(10), IF(ISBLANK('Ingest Template'!G123),"", 'Ingest Template'!G123&amp;"|DAR"),CHAR(10), IF(ISBLANK('Ingest Template'!H123),"", 'Ingest Template'!H123&amp;"|DAR"))),(CONCATENATE(IF(ISBLANK('Ingest Template'!F123),"", 'Ingest Template'!F123&amp;"|Film Ops"),CHAR(10), IF(ISBLANK('Ingest Template'!G123),"", 'Ingest Template'!G123&amp;"|Film Ops"),CHAR(10), IF(ISBLANK('Ingest Template'!H123),"", 'Ingest Template'!H123&amp;"|Film Ops"))))</f>
        <v>
</v>
      </c>
      <c r="AD123" s="4"/>
      <c r="AE123" s="4"/>
      <c r="AF123" s="10"/>
      <c r="AG123" s="4"/>
      <c r="AH123" s="4"/>
    </row>
    <row r="124">
      <c r="A124" s="4"/>
      <c r="B124" s="4" t="str">
        <f>'Ingest Template'!B124&amp;IF('Ingest Template'!A124 = "Standard", " - DAR","")</f>
        <v/>
      </c>
      <c r="C124" s="5" t="s">
        <v>34</v>
      </c>
      <c r="D124" s="5" t="str">
        <f>CONCATENATE('Ingest Template'!C124,'Ingest Template'!D124)</f>
        <v/>
      </c>
      <c r="E124" s="4"/>
      <c r="F124" s="4"/>
      <c r="G124" s="4"/>
      <c r="H124" s="6"/>
      <c r="I124" s="6" t="str">
        <f>iF('Ingest Template'!A124="Standard","Pristine Brand","Unknown")</f>
        <v>Unknown</v>
      </c>
      <c r="J124" s="4" t="str">
        <f>iF('Ingest Template'!A124="Standard","LF // Beverages","Competitive View")</f>
        <v>Competitive View</v>
      </c>
      <c r="K124" s="7" t="s">
        <v>35</v>
      </c>
      <c r="L124" s="8"/>
      <c r="M124" s="4"/>
      <c r="N124" s="4"/>
      <c r="O124" s="4"/>
      <c r="P124" s="4"/>
      <c r="Q124" s="4"/>
      <c r="R124" s="7" t="s">
        <v>36</v>
      </c>
      <c r="S124" s="4" t="str">
        <f>'Ingest Template'!J124</f>
        <v/>
      </c>
      <c r="T124" s="4" t="str">
        <f>'Ingest Template'!I124</f>
        <v/>
      </c>
      <c r="U124" s="4" t="str">
        <f>LOWER(SUBSTITUTE(SUBSTITUTE(SUBSTITUTE(SUBSTITUTE(SUBSTITUTE('Ingest Template'!K124,"https:",""),"www.",""),"/",""),"?hl=en",""),"instagram.com",""))</f>
        <v/>
      </c>
      <c r="V124" s="9" t="str">
        <f>'Ingest Template'!L124</f>
        <v/>
      </c>
      <c r="W124" s="9" t="str">
        <f>'Ingest Template'!M124</f>
        <v/>
      </c>
      <c r="X124" s="4" t="str">
        <f>SUBSTITUTE(SUBSTITUTE(SUBSTITUTE('Ingest Template'!N124,"http:",""),"https:",""),"/","")</f>
        <v/>
      </c>
      <c r="Y124" s="4" t="str">
        <f t="array" ref="Y124">IF('Ingest Template'!A124="Standard",(IF(ISBLANK('Ingest Template'!O124),"", 'Ingest Template'!O124&amp;"|DAR")),(IF(ISBLANK('Ingest Template'!O124),"", 'Ingest Template'!O124&amp;"|Film Ops")))</f>
        <v/>
      </c>
      <c r="Z124" s="4"/>
      <c r="AA124" s="4" t="str">
        <f>'Ingest Template'!E124</f>
        <v/>
      </c>
      <c r="AB124" s="7"/>
      <c r="AC124" s="4" t="str">
        <f t="array" ref="AC124">IF('Ingest Template'!A124="Standard",(CONCATENATE(IF(ISBLANK('Ingest Template'!F124),"", 'Ingest Template'!F124&amp;"|DAR"),CHAR(10), IF(ISBLANK('Ingest Template'!G124),"", 'Ingest Template'!G124&amp;"|DAR"),CHAR(10), IF(ISBLANK('Ingest Template'!H124),"", 'Ingest Template'!H124&amp;"|DAR"))),(CONCATENATE(IF(ISBLANK('Ingest Template'!F124),"", 'Ingest Template'!F124&amp;"|Film Ops"),CHAR(10), IF(ISBLANK('Ingest Template'!G124),"", 'Ingest Template'!G124&amp;"|Film Ops"),CHAR(10), IF(ISBLANK('Ingest Template'!H124),"", 'Ingest Template'!H124&amp;"|Film Ops"))))</f>
        <v>
</v>
      </c>
      <c r="AD124" s="4"/>
      <c r="AE124" s="4"/>
      <c r="AF124" s="10"/>
      <c r="AG124" s="4"/>
      <c r="AH124" s="4"/>
    </row>
    <row r="125">
      <c r="A125" s="4"/>
      <c r="B125" s="4" t="str">
        <f>'Ingest Template'!B125&amp;IF('Ingest Template'!A125 = "Standard", " - DAR","")</f>
        <v/>
      </c>
      <c r="C125" s="5" t="s">
        <v>34</v>
      </c>
      <c r="D125" s="5" t="str">
        <f>CONCATENATE('Ingest Template'!C125,'Ingest Template'!D125)</f>
        <v/>
      </c>
      <c r="E125" s="4"/>
      <c r="F125" s="4"/>
      <c r="G125" s="4"/>
      <c r="H125" s="6"/>
      <c r="I125" s="6" t="str">
        <f>iF('Ingest Template'!A125="Standard","Pristine Brand","Unknown")</f>
        <v>Unknown</v>
      </c>
      <c r="J125" s="4" t="str">
        <f>iF('Ingest Template'!A125="Standard","LF // Beverages","Competitive View")</f>
        <v>Competitive View</v>
      </c>
      <c r="K125" s="7" t="s">
        <v>35</v>
      </c>
      <c r="L125" s="8"/>
      <c r="M125" s="4"/>
      <c r="N125" s="4"/>
      <c r="O125" s="4"/>
      <c r="P125" s="4"/>
      <c r="Q125" s="4"/>
      <c r="R125" s="7" t="s">
        <v>36</v>
      </c>
      <c r="S125" s="4" t="str">
        <f>'Ingest Template'!J125</f>
        <v/>
      </c>
      <c r="T125" s="4" t="str">
        <f>'Ingest Template'!I125</f>
        <v/>
      </c>
      <c r="U125" s="4" t="str">
        <f>LOWER(SUBSTITUTE(SUBSTITUTE(SUBSTITUTE(SUBSTITUTE(SUBSTITUTE('Ingest Template'!K125,"https:",""),"www.",""),"/",""),"?hl=en",""),"instagram.com",""))</f>
        <v/>
      </c>
      <c r="V125" s="9" t="str">
        <f>'Ingest Template'!L125</f>
        <v/>
      </c>
      <c r="W125" s="9" t="str">
        <f>'Ingest Template'!M125</f>
        <v/>
      </c>
      <c r="X125" s="4" t="str">
        <f>SUBSTITUTE(SUBSTITUTE(SUBSTITUTE('Ingest Template'!N125,"http:",""),"https:",""),"/","")</f>
        <v/>
      </c>
      <c r="Y125" s="4" t="str">
        <f t="array" ref="Y125">IF('Ingest Template'!A125="Standard",(IF(ISBLANK('Ingest Template'!O125),"", 'Ingest Template'!O125&amp;"|DAR")),(IF(ISBLANK('Ingest Template'!O125),"", 'Ingest Template'!O125&amp;"|Film Ops")))</f>
        <v/>
      </c>
      <c r="Z125" s="4"/>
      <c r="AA125" s="4" t="str">
        <f>'Ingest Template'!E125</f>
        <v/>
      </c>
      <c r="AB125" s="7"/>
      <c r="AC125" s="4" t="str">
        <f t="array" ref="AC125">IF('Ingest Template'!A125="Standard",(CONCATENATE(IF(ISBLANK('Ingest Template'!F125),"", 'Ingest Template'!F125&amp;"|DAR"),CHAR(10), IF(ISBLANK('Ingest Template'!G125),"", 'Ingest Template'!G125&amp;"|DAR"),CHAR(10), IF(ISBLANK('Ingest Template'!H125),"", 'Ingest Template'!H125&amp;"|DAR"))),(CONCATENATE(IF(ISBLANK('Ingest Template'!F125),"", 'Ingest Template'!F125&amp;"|Film Ops"),CHAR(10), IF(ISBLANK('Ingest Template'!G125),"", 'Ingest Template'!G125&amp;"|Film Ops"),CHAR(10), IF(ISBLANK('Ingest Template'!H125),"", 'Ingest Template'!H125&amp;"|Film Ops"))))</f>
        <v>
</v>
      </c>
      <c r="AD125" s="4"/>
      <c r="AE125" s="4"/>
      <c r="AF125" s="10"/>
      <c r="AG125" s="4"/>
      <c r="AH125" s="4"/>
    </row>
    <row r="126">
      <c r="A126" s="4"/>
      <c r="B126" s="4" t="str">
        <f>'Ingest Template'!B126&amp;IF('Ingest Template'!A126 = "Standard", " - DAR","")</f>
        <v/>
      </c>
      <c r="C126" s="5" t="s">
        <v>34</v>
      </c>
      <c r="D126" s="5" t="str">
        <f>CONCATENATE('Ingest Template'!C126,'Ingest Template'!D126)</f>
        <v/>
      </c>
      <c r="E126" s="4"/>
      <c r="F126" s="4"/>
      <c r="G126" s="4"/>
      <c r="H126" s="6"/>
      <c r="I126" s="6" t="str">
        <f>iF('Ingest Template'!A126="Standard","Pristine Brand","Unknown")</f>
        <v>Unknown</v>
      </c>
      <c r="J126" s="4" t="str">
        <f>iF('Ingest Template'!A126="Standard","LF // Beverages","Competitive View")</f>
        <v>Competitive View</v>
      </c>
      <c r="K126" s="7" t="s">
        <v>35</v>
      </c>
      <c r="L126" s="8"/>
      <c r="M126" s="4"/>
      <c r="N126" s="4"/>
      <c r="O126" s="4"/>
      <c r="P126" s="4"/>
      <c r="Q126" s="4"/>
      <c r="R126" s="7" t="s">
        <v>36</v>
      </c>
      <c r="S126" s="4" t="str">
        <f>'Ingest Template'!J126</f>
        <v/>
      </c>
      <c r="T126" s="4" t="str">
        <f>'Ingest Template'!I126</f>
        <v/>
      </c>
      <c r="U126" s="4" t="str">
        <f>LOWER(SUBSTITUTE(SUBSTITUTE(SUBSTITUTE(SUBSTITUTE(SUBSTITUTE('Ingest Template'!K126,"https:",""),"www.",""),"/",""),"?hl=en",""),"instagram.com",""))</f>
        <v/>
      </c>
      <c r="V126" s="9" t="str">
        <f>'Ingest Template'!L126</f>
        <v/>
      </c>
      <c r="W126" s="9" t="str">
        <f>'Ingest Template'!M126</f>
        <v/>
      </c>
      <c r="X126" s="4" t="str">
        <f>SUBSTITUTE(SUBSTITUTE(SUBSTITUTE('Ingest Template'!N126,"http:",""),"https:",""),"/","")</f>
        <v/>
      </c>
      <c r="Y126" s="4" t="str">
        <f t="array" ref="Y126">IF('Ingest Template'!A126="Standard",(IF(ISBLANK('Ingest Template'!O126),"", 'Ingest Template'!O126&amp;"|DAR")),(IF(ISBLANK('Ingest Template'!O126),"", 'Ingest Template'!O126&amp;"|Film Ops")))</f>
        <v/>
      </c>
      <c r="Z126" s="4"/>
      <c r="AA126" s="4" t="str">
        <f>'Ingest Template'!E126</f>
        <v/>
      </c>
      <c r="AB126" s="7"/>
      <c r="AC126" s="4" t="str">
        <f t="array" ref="AC126">IF('Ingest Template'!A126="Standard",(CONCATENATE(IF(ISBLANK('Ingest Template'!F126),"", 'Ingest Template'!F126&amp;"|DAR"),CHAR(10), IF(ISBLANK('Ingest Template'!G126),"", 'Ingest Template'!G126&amp;"|DAR"),CHAR(10), IF(ISBLANK('Ingest Template'!H126),"", 'Ingest Template'!H126&amp;"|DAR"))),(CONCATENATE(IF(ISBLANK('Ingest Template'!F126),"", 'Ingest Template'!F126&amp;"|Film Ops"),CHAR(10), IF(ISBLANK('Ingest Template'!G126),"", 'Ingest Template'!G126&amp;"|Film Ops"),CHAR(10), IF(ISBLANK('Ingest Template'!H126),"", 'Ingest Template'!H126&amp;"|Film Ops"))))</f>
        <v>
</v>
      </c>
      <c r="AD126" s="4"/>
      <c r="AE126" s="4"/>
      <c r="AF126" s="10"/>
      <c r="AG126" s="4"/>
      <c r="AH126" s="4"/>
    </row>
    <row r="127">
      <c r="A127" s="4"/>
      <c r="B127" s="4" t="str">
        <f>'Ingest Template'!B127&amp;IF('Ingest Template'!A127 = "Standard", " - DAR","")</f>
        <v/>
      </c>
      <c r="C127" s="5" t="s">
        <v>34</v>
      </c>
      <c r="D127" s="5" t="str">
        <f>CONCATENATE('Ingest Template'!C127,'Ingest Template'!D127)</f>
        <v/>
      </c>
      <c r="E127" s="4"/>
      <c r="F127" s="4"/>
      <c r="G127" s="4"/>
      <c r="H127" s="6"/>
      <c r="I127" s="6" t="str">
        <f>iF('Ingest Template'!A127="Standard","Pristine Brand","Unknown")</f>
        <v>Unknown</v>
      </c>
      <c r="J127" s="4" t="str">
        <f>iF('Ingest Template'!A127="Standard","LF // Beverages","Competitive View")</f>
        <v>Competitive View</v>
      </c>
      <c r="K127" s="7" t="s">
        <v>35</v>
      </c>
      <c r="L127" s="8"/>
      <c r="M127" s="4"/>
      <c r="N127" s="4"/>
      <c r="O127" s="4"/>
      <c r="P127" s="4"/>
      <c r="Q127" s="4"/>
      <c r="R127" s="7" t="s">
        <v>36</v>
      </c>
      <c r="S127" s="4" t="str">
        <f>'Ingest Template'!J127</f>
        <v/>
      </c>
      <c r="T127" s="4" t="str">
        <f>'Ingest Template'!I127</f>
        <v/>
      </c>
      <c r="U127" s="4" t="str">
        <f>LOWER(SUBSTITUTE(SUBSTITUTE(SUBSTITUTE(SUBSTITUTE(SUBSTITUTE('Ingest Template'!K127,"https:",""),"www.",""),"/",""),"?hl=en",""),"instagram.com",""))</f>
        <v/>
      </c>
      <c r="V127" s="9" t="str">
        <f>'Ingest Template'!L127</f>
        <v/>
      </c>
      <c r="W127" s="9" t="str">
        <f>'Ingest Template'!M127</f>
        <v/>
      </c>
      <c r="X127" s="4" t="str">
        <f>SUBSTITUTE(SUBSTITUTE(SUBSTITUTE('Ingest Template'!N127,"http:",""),"https:",""),"/","")</f>
        <v/>
      </c>
      <c r="Y127" s="4" t="str">
        <f t="array" ref="Y127">IF('Ingest Template'!A127="Standard",(IF(ISBLANK('Ingest Template'!O127),"", 'Ingest Template'!O127&amp;"|DAR")),(IF(ISBLANK('Ingest Template'!O127),"", 'Ingest Template'!O127&amp;"|Film Ops")))</f>
        <v/>
      </c>
      <c r="Z127" s="4"/>
      <c r="AA127" s="4" t="str">
        <f>'Ingest Template'!E127</f>
        <v/>
      </c>
      <c r="AB127" s="7"/>
      <c r="AC127" s="4" t="str">
        <f t="array" ref="AC127">IF('Ingest Template'!A127="Standard",(CONCATENATE(IF(ISBLANK('Ingest Template'!F127),"", 'Ingest Template'!F127&amp;"|DAR"),CHAR(10), IF(ISBLANK('Ingest Template'!G127),"", 'Ingest Template'!G127&amp;"|DAR"),CHAR(10), IF(ISBLANK('Ingest Template'!H127),"", 'Ingest Template'!H127&amp;"|DAR"))),(CONCATENATE(IF(ISBLANK('Ingest Template'!F127),"", 'Ingest Template'!F127&amp;"|Film Ops"),CHAR(10), IF(ISBLANK('Ingest Template'!G127),"", 'Ingest Template'!G127&amp;"|Film Ops"),CHAR(10), IF(ISBLANK('Ingest Template'!H127),"", 'Ingest Template'!H127&amp;"|Film Ops"))))</f>
        <v>
</v>
      </c>
      <c r="AD127" s="4"/>
      <c r="AE127" s="4"/>
      <c r="AF127" s="10"/>
      <c r="AG127" s="4"/>
      <c r="AH127" s="4"/>
    </row>
    <row r="128">
      <c r="A128" s="4"/>
      <c r="B128" s="4" t="str">
        <f>'Ingest Template'!B128&amp;IF('Ingest Template'!A128 = "Standard", " - DAR","")</f>
        <v/>
      </c>
      <c r="C128" s="5" t="s">
        <v>34</v>
      </c>
      <c r="D128" s="5" t="str">
        <f>CONCATENATE('Ingest Template'!C128,'Ingest Template'!D128)</f>
        <v/>
      </c>
      <c r="E128" s="4"/>
      <c r="F128" s="4"/>
      <c r="G128" s="4"/>
      <c r="H128" s="6"/>
      <c r="I128" s="6" t="str">
        <f>iF('Ingest Template'!A128="Standard","Pristine Brand","Unknown")</f>
        <v>Unknown</v>
      </c>
      <c r="J128" s="4" t="str">
        <f>iF('Ingest Template'!A128="Standard","LF // Beverages","Competitive View")</f>
        <v>Competitive View</v>
      </c>
      <c r="K128" s="7" t="s">
        <v>35</v>
      </c>
      <c r="L128" s="8"/>
      <c r="M128" s="4"/>
      <c r="N128" s="4"/>
      <c r="O128" s="4"/>
      <c r="P128" s="4"/>
      <c r="Q128" s="4"/>
      <c r="R128" s="7" t="s">
        <v>36</v>
      </c>
      <c r="S128" s="4" t="str">
        <f>'Ingest Template'!J128</f>
        <v/>
      </c>
      <c r="T128" s="4" t="str">
        <f>'Ingest Template'!I128</f>
        <v/>
      </c>
      <c r="U128" s="4" t="str">
        <f>LOWER(SUBSTITUTE(SUBSTITUTE(SUBSTITUTE(SUBSTITUTE(SUBSTITUTE('Ingest Template'!K128,"https:",""),"www.",""),"/",""),"?hl=en",""),"instagram.com",""))</f>
        <v/>
      </c>
      <c r="V128" s="9" t="str">
        <f>'Ingest Template'!L128</f>
        <v/>
      </c>
      <c r="W128" s="9" t="str">
        <f>'Ingest Template'!M128</f>
        <v/>
      </c>
      <c r="X128" s="4" t="str">
        <f>SUBSTITUTE(SUBSTITUTE(SUBSTITUTE('Ingest Template'!N128,"http:",""),"https:",""),"/","")</f>
        <v/>
      </c>
      <c r="Y128" s="4" t="str">
        <f t="array" ref="Y128">IF('Ingest Template'!A128="Standard",(IF(ISBLANK('Ingest Template'!O128),"", 'Ingest Template'!O128&amp;"|DAR")),(IF(ISBLANK('Ingest Template'!O128),"", 'Ingest Template'!O128&amp;"|Film Ops")))</f>
        <v/>
      </c>
      <c r="Z128" s="4"/>
      <c r="AA128" s="4" t="str">
        <f>'Ingest Template'!E128</f>
        <v/>
      </c>
      <c r="AB128" s="7"/>
      <c r="AC128" s="4" t="str">
        <f t="array" ref="AC128">IF('Ingest Template'!A128="Standard",(CONCATENATE(IF(ISBLANK('Ingest Template'!F128),"", 'Ingest Template'!F128&amp;"|DAR"),CHAR(10), IF(ISBLANK('Ingest Template'!G128),"", 'Ingest Template'!G128&amp;"|DAR"),CHAR(10), IF(ISBLANK('Ingest Template'!H128),"", 'Ingest Template'!H128&amp;"|DAR"))),(CONCATENATE(IF(ISBLANK('Ingest Template'!F128),"", 'Ingest Template'!F128&amp;"|Film Ops"),CHAR(10), IF(ISBLANK('Ingest Template'!G128),"", 'Ingest Template'!G128&amp;"|Film Ops"),CHAR(10), IF(ISBLANK('Ingest Template'!H128),"", 'Ingest Template'!H128&amp;"|Film Ops"))))</f>
        <v>
</v>
      </c>
      <c r="AD128" s="4"/>
      <c r="AE128" s="4"/>
      <c r="AF128" s="10"/>
      <c r="AG128" s="4"/>
      <c r="AH128" s="4"/>
    </row>
    <row r="129">
      <c r="A129" s="4"/>
      <c r="B129" s="4" t="str">
        <f>'Ingest Template'!B129&amp;IF('Ingest Template'!A129 = "Standard", " - DAR","")</f>
        <v/>
      </c>
      <c r="C129" s="5" t="s">
        <v>34</v>
      </c>
      <c r="D129" s="5" t="str">
        <f>CONCATENATE('Ingest Template'!C129,'Ingest Template'!D129)</f>
        <v/>
      </c>
      <c r="E129" s="4"/>
      <c r="F129" s="4"/>
      <c r="G129" s="4"/>
      <c r="H129" s="6"/>
      <c r="I129" s="6" t="str">
        <f>iF('Ingest Template'!A129="Standard","Pristine Brand","Unknown")</f>
        <v>Unknown</v>
      </c>
      <c r="J129" s="4" t="str">
        <f>iF('Ingest Template'!A129="Standard","LF // Beverages","Competitive View")</f>
        <v>Competitive View</v>
      </c>
      <c r="K129" s="7" t="s">
        <v>35</v>
      </c>
      <c r="L129" s="8"/>
      <c r="M129" s="4"/>
      <c r="N129" s="4"/>
      <c r="O129" s="4"/>
      <c r="P129" s="4"/>
      <c r="Q129" s="4"/>
      <c r="R129" s="7" t="s">
        <v>36</v>
      </c>
      <c r="S129" s="4" t="str">
        <f>'Ingest Template'!J129</f>
        <v/>
      </c>
      <c r="T129" s="4" t="str">
        <f>'Ingest Template'!I129</f>
        <v/>
      </c>
      <c r="U129" s="4" t="str">
        <f>LOWER(SUBSTITUTE(SUBSTITUTE(SUBSTITUTE(SUBSTITUTE(SUBSTITUTE('Ingest Template'!K129,"https:",""),"www.",""),"/",""),"?hl=en",""),"instagram.com",""))</f>
        <v/>
      </c>
      <c r="V129" s="9" t="str">
        <f>'Ingest Template'!L129</f>
        <v/>
      </c>
      <c r="W129" s="9" t="str">
        <f>'Ingest Template'!M129</f>
        <v/>
      </c>
      <c r="X129" s="4" t="str">
        <f>SUBSTITUTE(SUBSTITUTE(SUBSTITUTE('Ingest Template'!N129,"http:",""),"https:",""),"/","")</f>
        <v/>
      </c>
      <c r="Y129" s="4" t="str">
        <f t="array" ref="Y129">IF('Ingest Template'!A129="Standard",(IF(ISBLANK('Ingest Template'!O129),"", 'Ingest Template'!O129&amp;"|DAR")),(IF(ISBLANK('Ingest Template'!O129),"", 'Ingest Template'!O129&amp;"|Film Ops")))</f>
        <v/>
      </c>
      <c r="Z129" s="4"/>
      <c r="AA129" s="4" t="str">
        <f>'Ingest Template'!E129</f>
        <v/>
      </c>
      <c r="AB129" s="7"/>
      <c r="AC129" s="4" t="str">
        <f t="array" ref="AC129">IF('Ingest Template'!A129="Standard",(CONCATENATE(IF(ISBLANK('Ingest Template'!F129),"", 'Ingest Template'!F129&amp;"|DAR"),CHAR(10), IF(ISBLANK('Ingest Template'!G129),"", 'Ingest Template'!G129&amp;"|DAR"),CHAR(10), IF(ISBLANK('Ingest Template'!H129),"", 'Ingest Template'!H129&amp;"|DAR"))),(CONCATENATE(IF(ISBLANK('Ingest Template'!F129),"", 'Ingest Template'!F129&amp;"|Film Ops"),CHAR(10), IF(ISBLANK('Ingest Template'!G129),"", 'Ingest Template'!G129&amp;"|Film Ops"),CHAR(10), IF(ISBLANK('Ingest Template'!H129),"", 'Ingest Template'!H129&amp;"|Film Ops"))))</f>
        <v>
</v>
      </c>
      <c r="AD129" s="4"/>
      <c r="AE129" s="4"/>
      <c r="AF129" s="10"/>
      <c r="AG129" s="4"/>
      <c r="AH129" s="4"/>
    </row>
    <row r="130">
      <c r="A130" s="4"/>
      <c r="B130" s="4" t="str">
        <f>'Ingest Template'!B130&amp;IF('Ingest Template'!A130 = "Standard", " - DAR","")</f>
        <v/>
      </c>
      <c r="C130" s="5" t="s">
        <v>34</v>
      </c>
      <c r="D130" s="5" t="str">
        <f>CONCATENATE('Ingest Template'!C130,'Ingest Template'!D130)</f>
        <v/>
      </c>
      <c r="E130" s="4"/>
      <c r="F130" s="4"/>
      <c r="G130" s="4"/>
      <c r="H130" s="6"/>
      <c r="I130" s="6" t="str">
        <f>iF('Ingest Template'!A130="Standard","Pristine Brand","Unknown")</f>
        <v>Unknown</v>
      </c>
      <c r="J130" s="4" t="str">
        <f>iF('Ingest Template'!A130="Standard","LF // Beverages","Competitive View")</f>
        <v>Competitive View</v>
      </c>
      <c r="K130" s="7" t="s">
        <v>35</v>
      </c>
      <c r="L130" s="8"/>
      <c r="M130" s="4"/>
      <c r="N130" s="4"/>
      <c r="O130" s="4"/>
      <c r="P130" s="4"/>
      <c r="Q130" s="4"/>
      <c r="R130" s="7" t="s">
        <v>36</v>
      </c>
      <c r="S130" s="4" t="str">
        <f>'Ingest Template'!J130</f>
        <v/>
      </c>
      <c r="T130" s="4" t="str">
        <f>'Ingest Template'!I130</f>
        <v/>
      </c>
      <c r="U130" s="4" t="str">
        <f>LOWER(SUBSTITUTE(SUBSTITUTE(SUBSTITUTE(SUBSTITUTE(SUBSTITUTE('Ingest Template'!K130,"https:",""),"www.",""),"/",""),"?hl=en",""),"instagram.com",""))</f>
        <v/>
      </c>
      <c r="V130" s="9" t="str">
        <f>'Ingest Template'!L130</f>
        <v/>
      </c>
      <c r="W130" s="9" t="str">
        <f>'Ingest Template'!M130</f>
        <v/>
      </c>
      <c r="X130" s="4" t="str">
        <f>SUBSTITUTE(SUBSTITUTE(SUBSTITUTE('Ingest Template'!N130,"http:",""),"https:",""),"/","")</f>
        <v/>
      </c>
      <c r="Y130" s="4" t="str">
        <f t="array" ref="Y130">IF('Ingest Template'!A130="Standard",(IF(ISBLANK('Ingest Template'!O130),"", 'Ingest Template'!O130&amp;"|DAR")),(IF(ISBLANK('Ingest Template'!O130),"", 'Ingest Template'!O130&amp;"|Film Ops")))</f>
        <v/>
      </c>
      <c r="Z130" s="4"/>
      <c r="AA130" s="4" t="str">
        <f>'Ingest Template'!E130</f>
        <v/>
      </c>
      <c r="AB130" s="7"/>
      <c r="AC130" s="4" t="str">
        <f t="array" ref="AC130">IF('Ingest Template'!A130="Standard",(CONCATENATE(IF(ISBLANK('Ingest Template'!F130),"", 'Ingest Template'!F130&amp;"|DAR"),CHAR(10), IF(ISBLANK('Ingest Template'!G130),"", 'Ingest Template'!G130&amp;"|DAR"),CHAR(10), IF(ISBLANK('Ingest Template'!H130),"", 'Ingest Template'!H130&amp;"|DAR"))),(CONCATENATE(IF(ISBLANK('Ingest Template'!F130),"", 'Ingest Template'!F130&amp;"|Film Ops"),CHAR(10), IF(ISBLANK('Ingest Template'!G130),"", 'Ingest Template'!G130&amp;"|Film Ops"),CHAR(10), IF(ISBLANK('Ingest Template'!H130),"", 'Ingest Template'!H130&amp;"|Film Ops"))))</f>
        <v>
</v>
      </c>
      <c r="AD130" s="4"/>
      <c r="AE130" s="4"/>
      <c r="AF130" s="10"/>
      <c r="AG130" s="4"/>
      <c r="AH130" s="4"/>
    </row>
    <row r="131">
      <c r="A131" s="4"/>
      <c r="B131" s="4" t="str">
        <f>'Ingest Template'!B131&amp;IF('Ingest Template'!A131 = "Standard", " - DAR","")</f>
        <v/>
      </c>
      <c r="C131" s="5" t="s">
        <v>34</v>
      </c>
      <c r="D131" s="5" t="str">
        <f>CONCATENATE('Ingest Template'!C131,'Ingest Template'!D131)</f>
        <v/>
      </c>
      <c r="E131" s="4"/>
      <c r="F131" s="4"/>
      <c r="G131" s="4"/>
      <c r="H131" s="6"/>
      <c r="I131" s="6" t="str">
        <f>iF('Ingest Template'!A131="Standard","Pristine Brand","Unknown")</f>
        <v>Unknown</v>
      </c>
      <c r="J131" s="4" t="str">
        <f>iF('Ingest Template'!A131="Standard","LF // Beverages","Competitive View")</f>
        <v>Competitive View</v>
      </c>
      <c r="K131" s="7" t="s">
        <v>35</v>
      </c>
      <c r="L131" s="8"/>
      <c r="M131" s="4"/>
      <c r="N131" s="4"/>
      <c r="O131" s="4"/>
      <c r="P131" s="4"/>
      <c r="Q131" s="4"/>
      <c r="R131" s="7" t="s">
        <v>36</v>
      </c>
      <c r="S131" s="4" t="str">
        <f>'Ingest Template'!J131</f>
        <v/>
      </c>
      <c r="T131" s="4" t="str">
        <f>'Ingest Template'!I131</f>
        <v/>
      </c>
      <c r="U131" s="4" t="str">
        <f>LOWER(SUBSTITUTE(SUBSTITUTE(SUBSTITUTE(SUBSTITUTE(SUBSTITUTE('Ingest Template'!K131,"https:",""),"www.",""),"/",""),"?hl=en",""),"instagram.com",""))</f>
        <v/>
      </c>
      <c r="V131" s="9" t="str">
        <f>'Ingest Template'!L131</f>
        <v/>
      </c>
      <c r="W131" s="9" t="str">
        <f>'Ingest Template'!M131</f>
        <v/>
      </c>
      <c r="X131" s="4" t="str">
        <f>SUBSTITUTE(SUBSTITUTE(SUBSTITUTE('Ingest Template'!N131,"http:",""),"https:",""),"/","")</f>
        <v/>
      </c>
      <c r="Y131" s="4" t="str">
        <f t="array" ref="Y131">IF('Ingest Template'!A131="Standard",(IF(ISBLANK('Ingest Template'!O131),"", 'Ingest Template'!O131&amp;"|DAR")),(IF(ISBLANK('Ingest Template'!O131),"", 'Ingest Template'!O131&amp;"|Film Ops")))</f>
        <v/>
      </c>
      <c r="Z131" s="4"/>
      <c r="AA131" s="4" t="str">
        <f>'Ingest Template'!E131</f>
        <v/>
      </c>
      <c r="AB131" s="7"/>
      <c r="AC131" s="4" t="str">
        <f t="array" ref="AC131">IF('Ingest Template'!A131="Standard",(CONCATENATE(IF(ISBLANK('Ingest Template'!F131),"", 'Ingest Template'!F131&amp;"|DAR"),CHAR(10), IF(ISBLANK('Ingest Template'!G131),"", 'Ingest Template'!G131&amp;"|DAR"),CHAR(10), IF(ISBLANK('Ingest Template'!H131),"", 'Ingest Template'!H131&amp;"|DAR"))),(CONCATENATE(IF(ISBLANK('Ingest Template'!F131),"", 'Ingest Template'!F131&amp;"|Film Ops"),CHAR(10), IF(ISBLANK('Ingest Template'!G131),"", 'Ingest Template'!G131&amp;"|Film Ops"),CHAR(10), IF(ISBLANK('Ingest Template'!H131),"", 'Ingest Template'!H131&amp;"|Film Ops"))))</f>
        <v>
</v>
      </c>
      <c r="AD131" s="4"/>
      <c r="AE131" s="4"/>
      <c r="AF131" s="10"/>
      <c r="AG131" s="4"/>
      <c r="AH131" s="4"/>
    </row>
    <row r="132">
      <c r="A132" s="4"/>
      <c r="B132" s="4" t="str">
        <f>'Ingest Template'!B132&amp;IF('Ingest Template'!A132 = "Standard", " - DAR","")</f>
        <v/>
      </c>
      <c r="C132" s="5" t="s">
        <v>34</v>
      </c>
      <c r="D132" s="5" t="str">
        <f>CONCATENATE('Ingest Template'!C132,'Ingest Template'!D132)</f>
        <v/>
      </c>
      <c r="E132" s="4"/>
      <c r="F132" s="4"/>
      <c r="G132" s="4"/>
      <c r="H132" s="6"/>
      <c r="I132" s="6" t="str">
        <f>iF('Ingest Template'!A132="Standard","Pristine Brand","Unknown")</f>
        <v>Unknown</v>
      </c>
      <c r="J132" s="4" t="str">
        <f>iF('Ingest Template'!A132="Standard","LF // Beverages","Competitive View")</f>
        <v>Competitive View</v>
      </c>
      <c r="K132" s="7" t="s">
        <v>35</v>
      </c>
      <c r="L132" s="8"/>
      <c r="M132" s="4"/>
      <c r="N132" s="4"/>
      <c r="O132" s="4"/>
      <c r="P132" s="4"/>
      <c r="Q132" s="4"/>
      <c r="R132" s="7" t="s">
        <v>36</v>
      </c>
      <c r="S132" s="4" t="str">
        <f>'Ingest Template'!J132</f>
        <v/>
      </c>
      <c r="T132" s="4" t="str">
        <f>'Ingest Template'!I132</f>
        <v/>
      </c>
      <c r="U132" s="4" t="str">
        <f>LOWER(SUBSTITUTE(SUBSTITUTE(SUBSTITUTE(SUBSTITUTE(SUBSTITUTE('Ingest Template'!K132,"https:",""),"www.",""),"/",""),"?hl=en",""),"instagram.com",""))</f>
        <v/>
      </c>
      <c r="V132" s="9" t="str">
        <f>'Ingest Template'!L132</f>
        <v/>
      </c>
      <c r="W132" s="9" t="str">
        <f>'Ingest Template'!M132</f>
        <v/>
      </c>
      <c r="X132" s="4" t="str">
        <f>SUBSTITUTE(SUBSTITUTE(SUBSTITUTE('Ingest Template'!N132,"http:",""),"https:",""),"/","")</f>
        <v/>
      </c>
      <c r="Y132" s="4" t="str">
        <f t="array" ref="Y132">IF('Ingest Template'!A132="Standard",(IF(ISBLANK('Ingest Template'!O132),"", 'Ingest Template'!O132&amp;"|DAR")),(IF(ISBLANK('Ingest Template'!O132),"", 'Ingest Template'!O132&amp;"|Film Ops")))</f>
        <v/>
      </c>
      <c r="Z132" s="4"/>
      <c r="AA132" s="4" t="str">
        <f>'Ingest Template'!E132</f>
        <v/>
      </c>
      <c r="AB132" s="7"/>
      <c r="AC132" s="4" t="str">
        <f t="array" ref="AC132">IF('Ingest Template'!A132="Standard",(CONCATENATE(IF(ISBLANK('Ingest Template'!F132),"", 'Ingest Template'!F132&amp;"|DAR"),CHAR(10), IF(ISBLANK('Ingest Template'!G132),"", 'Ingest Template'!G132&amp;"|DAR"),CHAR(10), IF(ISBLANK('Ingest Template'!H132),"", 'Ingest Template'!H132&amp;"|DAR"))),(CONCATENATE(IF(ISBLANK('Ingest Template'!F132),"", 'Ingest Template'!F132&amp;"|Film Ops"),CHAR(10), IF(ISBLANK('Ingest Template'!G132),"", 'Ingest Template'!G132&amp;"|Film Ops"),CHAR(10), IF(ISBLANK('Ingest Template'!H132),"", 'Ingest Template'!H132&amp;"|Film Ops"))))</f>
        <v>
</v>
      </c>
      <c r="AD132" s="4"/>
      <c r="AE132" s="4"/>
      <c r="AF132" s="10"/>
      <c r="AG132" s="4"/>
      <c r="AH132" s="4"/>
    </row>
    <row r="133">
      <c r="A133" s="4"/>
      <c r="B133" s="4" t="str">
        <f>'Ingest Template'!B133&amp;IF('Ingest Template'!A133 = "Standard", " - DAR","")</f>
        <v/>
      </c>
      <c r="C133" s="5" t="s">
        <v>34</v>
      </c>
      <c r="D133" s="5" t="str">
        <f>CONCATENATE('Ingest Template'!C133,'Ingest Template'!D133)</f>
        <v/>
      </c>
      <c r="E133" s="4"/>
      <c r="F133" s="4"/>
      <c r="G133" s="4"/>
      <c r="H133" s="6"/>
      <c r="I133" s="6" t="str">
        <f>iF('Ingest Template'!A133="Standard","Pristine Brand","Unknown")</f>
        <v>Unknown</v>
      </c>
      <c r="J133" s="4" t="str">
        <f>iF('Ingest Template'!A133="Standard","LF // Beverages","Competitive View")</f>
        <v>Competitive View</v>
      </c>
      <c r="K133" s="7" t="s">
        <v>35</v>
      </c>
      <c r="L133" s="8"/>
      <c r="M133" s="4"/>
      <c r="N133" s="4"/>
      <c r="O133" s="4"/>
      <c r="P133" s="4"/>
      <c r="Q133" s="4"/>
      <c r="R133" s="7" t="s">
        <v>36</v>
      </c>
      <c r="S133" s="4" t="str">
        <f>'Ingest Template'!J133</f>
        <v/>
      </c>
      <c r="T133" s="4" t="str">
        <f>'Ingest Template'!I133</f>
        <v/>
      </c>
      <c r="U133" s="4" t="str">
        <f>LOWER(SUBSTITUTE(SUBSTITUTE(SUBSTITUTE(SUBSTITUTE(SUBSTITUTE('Ingest Template'!K133,"https:",""),"www.",""),"/",""),"?hl=en",""),"instagram.com",""))</f>
        <v/>
      </c>
      <c r="V133" s="9" t="str">
        <f>'Ingest Template'!L133</f>
        <v/>
      </c>
      <c r="W133" s="9" t="str">
        <f>'Ingest Template'!M133</f>
        <v/>
      </c>
      <c r="X133" s="4" t="str">
        <f>SUBSTITUTE(SUBSTITUTE(SUBSTITUTE('Ingest Template'!N133,"http:",""),"https:",""),"/","")</f>
        <v/>
      </c>
      <c r="Y133" s="4" t="str">
        <f t="array" ref="Y133">IF('Ingest Template'!A133="Standard",(IF(ISBLANK('Ingest Template'!O133),"", 'Ingest Template'!O133&amp;"|DAR")),(IF(ISBLANK('Ingest Template'!O133),"", 'Ingest Template'!O133&amp;"|Film Ops")))</f>
        <v/>
      </c>
      <c r="Z133" s="4"/>
      <c r="AA133" s="4" t="str">
        <f>'Ingest Template'!E133</f>
        <v/>
      </c>
      <c r="AB133" s="7"/>
      <c r="AC133" s="4" t="str">
        <f t="array" ref="AC133">IF('Ingest Template'!A133="Standard",(CONCATENATE(IF(ISBLANK('Ingest Template'!F133),"", 'Ingest Template'!F133&amp;"|DAR"),CHAR(10), IF(ISBLANK('Ingest Template'!G133),"", 'Ingest Template'!G133&amp;"|DAR"),CHAR(10), IF(ISBLANK('Ingest Template'!H133),"", 'Ingest Template'!H133&amp;"|DAR"))),(CONCATENATE(IF(ISBLANK('Ingest Template'!F133),"", 'Ingest Template'!F133&amp;"|Film Ops"),CHAR(10), IF(ISBLANK('Ingest Template'!G133),"", 'Ingest Template'!G133&amp;"|Film Ops"),CHAR(10), IF(ISBLANK('Ingest Template'!H133),"", 'Ingest Template'!H133&amp;"|Film Ops"))))</f>
        <v>
</v>
      </c>
      <c r="AD133" s="4"/>
      <c r="AE133" s="4"/>
      <c r="AF133" s="10"/>
      <c r="AG133" s="4"/>
      <c r="AH133" s="4"/>
    </row>
    <row r="134">
      <c r="A134" s="4"/>
      <c r="B134" s="4" t="str">
        <f>'Ingest Template'!B134&amp;IF('Ingest Template'!A134 = "Standard", " - DAR","")</f>
        <v/>
      </c>
      <c r="C134" s="5" t="s">
        <v>34</v>
      </c>
      <c r="D134" s="5" t="str">
        <f>CONCATENATE('Ingest Template'!C134,'Ingest Template'!D134)</f>
        <v/>
      </c>
      <c r="E134" s="4"/>
      <c r="F134" s="4"/>
      <c r="G134" s="4"/>
      <c r="H134" s="6"/>
      <c r="I134" s="6" t="str">
        <f>iF('Ingest Template'!A134="Standard","Pristine Brand","Unknown")</f>
        <v>Unknown</v>
      </c>
      <c r="J134" s="4" t="str">
        <f>iF('Ingest Template'!A134="Standard","LF // Beverages","Competitive View")</f>
        <v>Competitive View</v>
      </c>
      <c r="K134" s="7" t="s">
        <v>35</v>
      </c>
      <c r="L134" s="8"/>
      <c r="M134" s="4"/>
      <c r="N134" s="4"/>
      <c r="O134" s="4"/>
      <c r="P134" s="4"/>
      <c r="Q134" s="4"/>
      <c r="R134" s="7" t="s">
        <v>36</v>
      </c>
      <c r="S134" s="4" t="str">
        <f>'Ingest Template'!J134</f>
        <v/>
      </c>
      <c r="T134" s="4" t="str">
        <f>'Ingest Template'!I134</f>
        <v/>
      </c>
      <c r="U134" s="4" t="str">
        <f>LOWER(SUBSTITUTE(SUBSTITUTE(SUBSTITUTE(SUBSTITUTE(SUBSTITUTE('Ingest Template'!K134,"https:",""),"www.",""),"/",""),"?hl=en",""),"instagram.com",""))</f>
        <v/>
      </c>
      <c r="V134" s="9" t="str">
        <f>'Ingest Template'!L134</f>
        <v/>
      </c>
      <c r="W134" s="9" t="str">
        <f>'Ingest Template'!M134</f>
        <v/>
      </c>
      <c r="X134" s="4" t="str">
        <f>SUBSTITUTE(SUBSTITUTE(SUBSTITUTE('Ingest Template'!N134,"http:",""),"https:",""),"/","")</f>
        <v/>
      </c>
      <c r="Y134" s="4" t="str">
        <f t="array" ref="Y134">IF('Ingest Template'!A134="Standard",(IF(ISBLANK('Ingest Template'!O134),"", 'Ingest Template'!O134&amp;"|DAR")),(IF(ISBLANK('Ingest Template'!O134),"", 'Ingest Template'!O134&amp;"|Film Ops")))</f>
        <v/>
      </c>
      <c r="Z134" s="4"/>
      <c r="AA134" s="4" t="str">
        <f>'Ingest Template'!E134</f>
        <v/>
      </c>
      <c r="AB134" s="7"/>
      <c r="AC134" s="4" t="str">
        <f t="array" ref="AC134">IF('Ingest Template'!A134="Standard",(CONCATENATE(IF(ISBLANK('Ingest Template'!F134),"", 'Ingest Template'!F134&amp;"|DAR"),CHAR(10), IF(ISBLANK('Ingest Template'!G134),"", 'Ingest Template'!G134&amp;"|DAR"),CHAR(10), IF(ISBLANK('Ingest Template'!H134),"", 'Ingest Template'!H134&amp;"|DAR"))),(CONCATENATE(IF(ISBLANK('Ingest Template'!F134),"", 'Ingest Template'!F134&amp;"|Film Ops"),CHAR(10), IF(ISBLANK('Ingest Template'!G134),"", 'Ingest Template'!G134&amp;"|Film Ops"),CHAR(10), IF(ISBLANK('Ingest Template'!H134),"", 'Ingest Template'!H134&amp;"|Film Ops"))))</f>
        <v>
</v>
      </c>
      <c r="AD134" s="4"/>
      <c r="AE134" s="4"/>
      <c r="AF134" s="10"/>
      <c r="AG134" s="4"/>
      <c r="AH134" s="4"/>
    </row>
    <row r="135">
      <c r="A135" s="4"/>
      <c r="B135" s="4" t="str">
        <f>'Ingest Template'!B135&amp;IF('Ingest Template'!A135 = "Standard", " - DAR","")</f>
        <v/>
      </c>
      <c r="C135" s="5" t="s">
        <v>34</v>
      </c>
      <c r="D135" s="5" t="str">
        <f>CONCATENATE('Ingest Template'!C135,'Ingest Template'!D135)</f>
        <v/>
      </c>
      <c r="E135" s="4"/>
      <c r="F135" s="4"/>
      <c r="G135" s="4"/>
      <c r="H135" s="6"/>
      <c r="I135" s="6" t="str">
        <f>iF('Ingest Template'!A135="Standard","Pristine Brand","Unknown")</f>
        <v>Unknown</v>
      </c>
      <c r="J135" s="4" t="str">
        <f>iF('Ingest Template'!A135="Standard","LF // Beverages","Competitive View")</f>
        <v>Competitive View</v>
      </c>
      <c r="K135" s="7" t="s">
        <v>35</v>
      </c>
      <c r="L135" s="8"/>
      <c r="M135" s="4"/>
      <c r="N135" s="4"/>
      <c r="O135" s="4"/>
      <c r="P135" s="4"/>
      <c r="Q135" s="4"/>
      <c r="R135" s="7" t="s">
        <v>36</v>
      </c>
      <c r="S135" s="4" t="str">
        <f>'Ingest Template'!J135</f>
        <v/>
      </c>
      <c r="T135" s="4" t="str">
        <f>'Ingest Template'!I135</f>
        <v/>
      </c>
      <c r="U135" s="4" t="str">
        <f>LOWER(SUBSTITUTE(SUBSTITUTE(SUBSTITUTE(SUBSTITUTE(SUBSTITUTE('Ingest Template'!K135,"https:",""),"www.",""),"/",""),"?hl=en",""),"instagram.com",""))</f>
        <v/>
      </c>
      <c r="V135" s="9" t="str">
        <f>'Ingest Template'!L135</f>
        <v/>
      </c>
      <c r="W135" s="9" t="str">
        <f>'Ingest Template'!M135</f>
        <v/>
      </c>
      <c r="X135" s="4" t="str">
        <f>SUBSTITUTE(SUBSTITUTE(SUBSTITUTE('Ingest Template'!N135,"http:",""),"https:",""),"/","")</f>
        <v/>
      </c>
      <c r="Y135" s="4" t="str">
        <f t="array" ref="Y135">IF('Ingest Template'!A135="Standard",(IF(ISBLANK('Ingest Template'!O135),"", 'Ingest Template'!O135&amp;"|DAR")),(IF(ISBLANK('Ingest Template'!O135),"", 'Ingest Template'!O135&amp;"|Film Ops")))</f>
        <v/>
      </c>
      <c r="Z135" s="4"/>
      <c r="AA135" s="4" t="str">
        <f>'Ingest Template'!E135</f>
        <v/>
      </c>
      <c r="AB135" s="7"/>
      <c r="AC135" s="4" t="str">
        <f t="array" ref="AC135">IF('Ingest Template'!A135="Standard",(CONCATENATE(IF(ISBLANK('Ingest Template'!F135),"", 'Ingest Template'!F135&amp;"|DAR"),CHAR(10), IF(ISBLANK('Ingest Template'!G135),"", 'Ingest Template'!G135&amp;"|DAR"),CHAR(10), IF(ISBLANK('Ingest Template'!H135),"", 'Ingest Template'!H135&amp;"|DAR"))),(CONCATENATE(IF(ISBLANK('Ingest Template'!F135),"", 'Ingest Template'!F135&amp;"|Film Ops"),CHAR(10), IF(ISBLANK('Ingest Template'!G135),"", 'Ingest Template'!G135&amp;"|Film Ops"),CHAR(10), IF(ISBLANK('Ingest Template'!H135),"", 'Ingest Template'!H135&amp;"|Film Ops"))))</f>
        <v>
</v>
      </c>
      <c r="AD135" s="4"/>
      <c r="AE135" s="4"/>
      <c r="AF135" s="10"/>
      <c r="AG135" s="4"/>
      <c r="AH135" s="4"/>
    </row>
    <row r="136">
      <c r="A136" s="4"/>
      <c r="B136" s="4" t="str">
        <f>'Ingest Template'!B136&amp;IF('Ingest Template'!A136 = "Standard", " - DAR","")</f>
        <v/>
      </c>
      <c r="C136" s="5" t="s">
        <v>34</v>
      </c>
      <c r="D136" s="5" t="str">
        <f>CONCATENATE('Ingest Template'!C136,'Ingest Template'!D136)</f>
        <v/>
      </c>
      <c r="E136" s="4"/>
      <c r="F136" s="4"/>
      <c r="G136" s="4"/>
      <c r="H136" s="6"/>
      <c r="I136" s="6" t="str">
        <f>iF('Ingest Template'!A136="Standard","Pristine Brand","Unknown")</f>
        <v>Unknown</v>
      </c>
      <c r="J136" s="4" t="str">
        <f>iF('Ingest Template'!A136="Standard","LF // Beverages","Competitive View")</f>
        <v>Competitive View</v>
      </c>
      <c r="K136" s="7" t="s">
        <v>35</v>
      </c>
      <c r="L136" s="8"/>
      <c r="M136" s="4"/>
      <c r="N136" s="4"/>
      <c r="O136" s="4"/>
      <c r="P136" s="4"/>
      <c r="Q136" s="4"/>
      <c r="R136" s="7" t="s">
        <v>36</v>
      </c>
      <c r="S136" s="4" t="str">
        <f>'Ingest Template'!J136</f>
        <v/>
      </c>
      <c r="T136" s="4" t="str">
        <f>'Ingest Template'!I136</f>
        <v/>
      </c>
      <c r="U136" s="4" t="str">
        <f>LOWER(SUBSTITUTE(SUBSTITUTE(SUBSTITUTE(SUBSTITUTE(SUBSTITUTE('Ingest Template'!K136,"https:",""),"www.",""),"/",""),"?hl=en",""),"instagram.com",""))</f>
        <v/>
      </c>
      <c r="V136" s="9" t="str">
        <f>'Ingest Template'!L136</f>
        <v/>
      </c>
      <c r="W136" s="9" t="str">
        <f>'Ingest Template'!M136</f>
        <v/>
      </c>
      <c r="X136" s="4" t="str">
        <f>SUBSTITUTE(SUBSTITUTE(SUBSTITUTE('Ingest Template'!N136,"http:",""),"https:",""),"/","")</f>
        <v/>
      </c>
      <c r="Y136" s="4" t="str">
        <f t="array" ref="Y136">IF('Ingest Template'!A136="Standard",(IF(ISBLANK('Ingest Template'!O136),"", 'Ingest Template'!O136&amp;"|DAR")),(IF(ISBLANK('Ingest Template'!O136),"", 'Ingest Template'!O136&amp;"|Film Ops")))</f>
        <v/>
      </c>
      <c r="Z136" s="4"/>
      <c r="AA136" s="4" t="str">
        <f>'Ingest Template'!E136</f>
        <v/>
      </c>
      <c r="AB136" s="7"/>
      <c r="AC136" s="4" t="str">
        <f t="array" ref="AC136">IF('Ingest Template'!A136="Standard",(CONCATENATE(IF(ISBLANK('Ingest Template'!F136),"", 'Ingest Template'!F136&amp;"|DAR"),CHAR(10), IF(ISBLANK('Ingest Template'!G136),"", 'Ingest Template'!G136&amp;"|DAR"),CHAR(10), IF(ISBLANK('Ingest Template'!H136),"", 'Ingest Template'!H136&amp;"|DAR"))),(CONCATENATE(IF(ISBLANK('Ingest Template'!F136),"", 'Ingest Template'!F136&amp;"|Film Ops"),CHAR(10), IF(ISBLANK('Ingest Template'!G136),"", 'Ingest Template'!G136&amp;"|Film Ops"),CHAR(10), IF(ISBLANK('Ingest Template'!H136),"", 'Ingest Template'!H136&amp;"|Film Ops"))))</f>
        <v>
</v>
      </c>
      <c r="AD136" s="4"/>
      <c r="AE136" s="4"/>
      <c r="AF136" s="10"/>
      <c r="AG136" s="4"/>
      <c r="AH136" s="4"/>
    </row>
    <row r="137">
      <c r="A137" s="4"/>
      <c r="B137" s="4" t="str">
        <f>'Ingest Template'!B137&amp;IF('Ingest Template'!A137 = "Standard", " - DAR","")</f>
        <v/>
      </c>
      <c r="C137" s="5" t="s">
        <v>34</v>
      </c>
      <c r="D137" s="5" t="str">
        <f>CONCATENATE('Ingest Template'!C137,'Ingest Template'!D137)</f>
        <v/>
      </c>
      <c r="E137" s="4"/>
      <c r="F137" s="4"/>
      <c r="G137" s="4"/>
      <c r="H137" s="6"/>
      <c r="I137" s="6" t="str">
        <f>iF('Ingest Template'!A137="Standard","Pristine Brand","Unknown")</f>
        <v>Unknown</v>
      </c>
      <c r="J137" s="4" t="str">
        <f>iF('Ingest Template'!A137="Standard","LF // Beverages","Competitive View")</f>
        <v>Competitive View</v>
      </c>
      <c r="K137" s="7" t="s">
        <v>35</v>
      </c>
      <c r="L137" s="8"/>
      <c r="M137" s="4"/>
      <c r="N137" s="4"/>
      <c r="O137" s="4"/>
      <c r="P137" s="4"/>
      <c r="Q137" s="4"/>
      <c r="R137" s="7" t="s">
        <v>36</v>
      </c>
      <c r="S137" s="4" t="str">
        <f>'Ingest Template'!J137</f>
        <v/>
      </c>
      <c r="T137" s="4" t="str">
        <f>'Ingest Template'!I137</f>
        <v/>
      </c>
      <c r="U137" s="4" t="str">
        <f>LOWER(SUBSTITUTE(SUBSTITUTE(SUBSTITUTE(SUBSTITUTE(SUBSTITUTE('Ingest Template'!K137,"https:",""),"www.",""),"/",""),"?hl=en",""),"instagram.com",""))</f>
        <v/>
      </c>
      <c r="V137" s="9" t="str">
        <f>'Ingest Template'!L137</f>
        <v/>
      </c>
      <c r="W137" s="9" t="str">
        <f>'Ingest Template'!M137</f>
        <v/>
      </c>
      <c r="X137" s="4" t="str">
        <f>SUBSTITUTE(SUBSTITUTE(SUBSTITUTE('Ingest Template'!N137,"http:",""),"https:",""),"/","")</f>
        <v/>
      </c>
      <c r="Y137" s="4" t="str">
        <f t="array" ref="Y137">IF('Ingest Template'!A137="Standard",(IF(ISBLANK('Ingest Template'!O137),"", 'Ingest Template'!O137&amp;"|DAR")),(IF(ISBLANK('Ingest Template'!O137),"", 'Ingest Template'!O137&amp;"|Film Ops")))</f>
        <v/>
      </c>
      <c r="Z137" s="4"/>
      <c r="AA137" s="4" t="str">
        <f>'Ingest Template'!E137</f>
        <v/>
      </c>
      <c r="AB137" s="7"/>
      <c r="AC137" s="4" t="str">
        <f t="array" ref="AC137">IF('Ingest Template'!A137="Standard",(CONCATENATE(IF(ISBLANK('Ingest Template'!F137),"", 'Ingest Template'!F137&amp;"|DAR"),CHAR(10), IF(ISBLANK('Ingest Template'!G137),"", 'Ingest Template'!G137&amp;"|DAR"),CHAR(10), IF(ISBLANK('Ingest Template'!H137),"", 'Ingest Template'!H137&amp;"|DAR"))),(CONCATENATE(IF(ISBLANK('Ingest Template'!F137),"", 'Ingest Template'!F137&amp;"|Film Ops"),CHAR(10), IF(ISBLANK('Ingest Template'!G137),"", 'Ingest Template'!G137&amp;"|Film Ops"),CHAR(10), IF(ISBLANK('Ingest Template'!H137),"", 'Ingest Template'!H137&amp;"|Film Ops"))))</f>
        <v>
</v>
      </c>
      <c r="AD137" s="4"/>
      <c r="AE137" s="4"/>
      <c r="AF137" s="10"/>
      <c r="AG137" s="4"/>
      <c r="AH137" s="4"/>
    </row>
    <row r="138">
      <c r="A138" s="4"/>
      <c r="B138" s="4" t="str">
        <f>'Ingest Template'!B138&amp;IF('Ingest Template'!A138 = "Standard", " - DAR","")</f>
        <v/>
      </c>
      <c r="C138" s="5" t="s">
        <v>34</v>
      </c>
      <c r="D138" s="5" t="str">
        <f>CONCATENATE('Ingest Template'!C138,'Ingest Template'!D138)</f>
        <v/>
      </c>
      <c r="E138" s="4"/>
      <c r="F138" s="4"/>
      <c r="G138" s="4"/>
      <c r="H138" s="6"/>
      <c r="I138" s="6" t="str">
        <f>iF('Ingest Template'!A138="Standard","Pristine Brand","Unknown")</f>
        <v>Unknown</v>
      </c>
      <c r="J138" s="4" t="str">
        <f>iF('Ingest Template'!A138="Standard","LF // Beverages","Competitive View")</f>
        <v>Competitive View</v>
      </c>
      <c r="K138" s="7" t="s">
        <v>35</v>
      </c>
      <c r="L138" s="8"/>
      <c r="M138" s="4"/>
      <c r="N138" s="4"/>
      <c r="O138" s="4"/>
      <c r="P138" s="4"/>
      <c r="Q138" s="4"/>
      <c r="R138" s="7" t="s">
        <v>36</v>
      </c>
      <c r="S138" s="4" t="str">
        <f>'Ingest Template'!J138</f>
        <v/>
      </c>
      <c r="T138" s="4" t="str">
        <f>'Ingest Template'!I138</f>
        <v/>
      </c>
      <c r="U138" s="4" t="str">
        <f>LOWER(SUBSTITUTE(SUBSTITUTE(SUBSTITUTE(SUBSTITUTE(SUBSTITUTE('Ingest Template'!K138,"https:",""),"www.",""),"/",""),"?hl=en",""),"instagram.com",""))</f>
        <v/>
      </c>
      <c r="V138" s="9" t="str">
        <f>'Ingest Template'!L138</f>
        <v/>
      </c>
      <c r="W138" s="9" t="str">
        <f>'Ingest Template'!M138</f>
        <v/>
      </c>
      <c r="X138" s="4" t="str">
        <f>SUBSTITUTE(SUBSTITUTE(SUBSTITUTE('Ingest Template'!N138,"http:",""),"https:",""),"/","")</f>
        <v/>
      </c>
      <c r="Y138" s="4" t="str">
        <f t="array" ref="Y138">IF('Ingest Template'!A138="Standard",(IF(ISBLANK('Ingest Template'!O138),"", 'Ingest Template'!O138&amp;"|DAR")),(IF(ISBLANK('Ingest Template'!O138),"", 'Ingest Template'!O138&amp;"|Film Ops")))</f>
        <v/>
      </c>
      <c r="Z138" s="4"/>
      <c r="AA138" s="4" t="str">
        <f>'Ingest Template'!E138</f>
        <v/>
      </c>
      <c r="AB138" s="7"/>
      <c r="AC138" s="4" t="str">
        <f t="array" ref="AC138">IF('Ingest Template'!A138="Standard",(CONCATENATE(IF(ISBLANK('Ingest Template'!F138),"", 'Ingest Template'!F138&amp;"|DAR"),CHAR(10), IF(ISBLANK('Ingest Template'!G138),"", 'Ingest Template'!G138&amp;"|DAR"),CHAR(10), IF(ISBLANK('Ingest Template'!H138),"", 'Ingest Template'!H138&amp;"|DAR"))),(CONCATENATE(IF(ISBLANK('Ingest Template'!F138),"", 'Ingest Template'!F138&amp;"|Film Ops"),CHAR(10), IF(ISBLANK('Ingest Template'!G138),"", 'Ingest Template'!G138&amp;"|Film Ops"),CHAR(10), IF(ISBLANK('Ingest Template'!H138),"", 'Ingest Template'!H138&amp;"|Film Ops"))))</f>
        <v>
</v>
      </c>
      <c r="AD138" s="4"/>
      <c r="AE138" s="4"/>
      <c r="AF138" s="10"/>
      <c r="AG138" s="4"/>
      <c r="AH138" s="4"/>
    </row>
    <row r="139">
      <c r="A139" s="4"/>
      <c r="B139" s="4" t="str">
        <f>'Ingest Template'!B139&amp;IF('Ingest Template'!A139 = "Standard", " - DAR","")</f>
        <v/>
      </c>
      <c r="C139" s="5" t="s">
        <v>34</v>
      </c>
      <c r="D139" s="5" t="str">
        <f>CONCATENATE('Ingest Template'!C139,'Ingest Template'!D139)</f>
        <v/>
      </c>
      <c r="E139" s="4"/>
      <c r="F139" s="4"/>
      <c r="G139" s="4"/>
      <c r="H139" s="6"/>
      <c r="I139" s="6" t="str">
        <f>iF('Ingest Template'!A139="Standard","Pristine Brand","Unknown")</f>
        <v>Unknown</v>
      </c>
      <c r="J139" s="4" t="str">
        <f>iF('Ingest Template'!A139="Standard","LF // Beverages","Competitive View")</f>
        <v>Competitive View</v>
      </c>
      <c r="K139" s="7" t="s">
        <v>35</v>
      </c>
      <c r="L139" s="8"/>
      <c r="M139" s="4"/>
      <c r="N139" s="4"/>
      <c r="O139" s="4"/>
      <c r="P139" s="4"/>
      <c r="Q139" s="4"/>
      <c r="R139" s="7" t="s">
        <v>36</v>
      </c>
      <c r="S139" s="4" t="str">
        <f>'Ingest Template'!J139</f>
        <v/>
      </c>
      <c r="T139" s="4" t="str">
        <f>'Ingest Template'!I139</f>
        <v/>
      </c>
      <c r="U139" s="4" t="str">
        <f>LOWER(SUBSTITUTE(SUBSTITUTE(SUBSTITUTE(SUBSTITUTE(SUBSTITUTE('Ingest Template'!K139,"https:",""),"www.",""),"/",""),"?hl=en",""),"instagram.com",""))</f>
        <v/>
      </c>
      <c r="V139" s="9" t="str">
        <f>'Ingest Template'!L139</f>
        <v/>
      </c>
      <c r="W139" s="9" t="str">
        <f>'Ingest Template'!M139</f>
        <v/>
      </c>
      <c r="X139" s="4" t="str">
        <f>SUBSTITUTE(SUBSTITUTE(SUBSTITUTE('Ingest Template'!N139,"http:",""),"https:",""),"/","")</f>
        <v/>
      </c>
      <c r="Y139" s="4" t="str">
        <f t="array" ref="Y139">IF('Ingest Template'!A139="Standard",(IF(ISBLANK('Ingest Template'!O139),"", 'Ingest Template'!O139&amp;"|DAR")),(IF(ISBLANK('Ingest Template'!O139),"", 'Ingest Template'!O139&amp;"|Film Ops")))</f>
        <v/>
      </c>
      <c r="Z139" s="4"/>
      <c r="AA139" s="4" t="str">
        <f>'Ingest Template'!E139</f>
        <v/>
      </c>
      <c r="AB139" s="7"/>
      <c r="AC139" s="4" t="str">
        <f t="array" ref="AC139">IF('Ingest Template'!A139="Standard",(CONCATENATE(IF(ISBLANK('Ingest Template'!F139),"", 'Ingest Template'!F139&amp;"|DAR"),CHAR(10), IF(ISBLANK('Ingest Template'!G139),"", 'Ingest Template'!G139&amp;"|DAR"),CHAR(10), IF(ISBLANK('Ingest Template'!H139),"", 'Ingest Template'!H139&amp;"|DAR"))),(CONCATENATE(IF(ISBLANK('Ingest Template'!F139),"", 'Ingest Template'!F139&amp;"|Film Ops"),CHAR(10), IF(ISBLANK('Ingest Template'!G139),"", 'Ingest Template'!G139&amp;"|Film Ops"),CHAR(10), IF(ISBLANK('Ingest Template'!H139),"", 'Ingest Template'!H139&amp;"|Film Ops"))))</f>
        <v>
</v>
      </c>
      <c r="AD139" s="4"/>
      <c r="AE139" s="4"/>
      <c r="AF139" s="10"/>
      <c r="AG139" s="4"/>
      <c r="AH139" s="4"/>
    </row>
    <row r="140">
      <c r="A140" s="4"/>
      <c r="B140" s="4" t="str">
        <f>'Ingest Template'!B140&amp;IF('Ingest Template'!A140 = "Standard", " - DAR","")</f>
        <v/>
      </c>
      <c r="C140" s="5" t="s">
        <v>34</v>
      </c>
      <c r="D140" s="5" t="str">
        <f>CONCATENATE('Ingest Template'!C140,'Ingest Template'!D140)</f>
        <v/>
      </c>
      <c r="E140" s="4"/>
      <c r="F140" s="4"/>
      <c r="G140" s="4"/>
      <c r="H140" s="6"/>
      <c r="I140" s="6" t="str">
        <f>iF('Ingest Template'!A140="Standard","Pristine Brand","Unknown")</f>
        <v>Unknown</v>
      </c>
      <c r="J140" s="4" t="str">
        <f>iF('Ingest Template'!A140="Standard","LF // Beverages","Competitive View")</f>
        <v>Competitive View</v>
      </c>
      <c r="K140" s="7" t="s">
        <v>35</v>
      </c>
      <c r="L140" s="8"/>
      <c r="M140" s="4"/>
      <c r="N140" s="4"/>
      <c r="O140" s="4"/>
      <c r="P140" s="4"/>
      <c r="Q140" s="4"/>
      <c r="R140" s="7" t="s">
        <v>36</v>
      </c>
      <c r="S140" s="4" t="str">
        <f>'Ingest Template'!J140</f>
        <v/>
      </c>
      <c r="T140" s="4" t="str">
        <f>'Ingest Template'!I140</f>
        <v/>
      </c>
      <c r="U140" s="4" t="str">
        <f>LOWER(SUBSTITUTE(SUBSTITUTE(SUBSTITUTE(SUBSTITUTE(SUBSTITUTE('Ingest Template'!K140,"https:",""),"www.",""),"/",""),"?hl=en",""),"instagram.com",""))</f>
        <v/>
      </c>
      <c r="V140" s="9" t="str">
        <f>'Ingest Template'!L140</f>
        <v/>
      </c>
      <c r="W140" s="9" t="str">
        <f>'Ingest Template'!M140</f>
        <v/>
      </c>
      <c r="X140" s="4" t="str">
        <f>SUBSTITUTE(SUBSTITUTE(SUBSTITUTE('Ingest Template'!N140,"http:",""),"https:",""),"/","")</f>
        <v/>
      </c>
      <c r="Y140" s="4" t="str">
        <f t="array" ref="Y140">IF('Ingest Template'!A140="Standard",(IF(ISBLANK('Ingest Template'!O140),"", 'Ingest Template'!O140&amp;"|DAR")),(IF(ISBLANK('Ingest Template'!O140),"", 'Ingest Template'!O140&amp;"|Film Ops")))</f>
        <v/>
      </c>
      <c r="Z140" s="4"/>
      <c r="AA140" s="4" t="str">
        <f>'Ingest Template'!E140</f>
        <v/>
      </c>
      <c r="AB140" s="7"/>
      <c r="AC140" s="4" t="str">
        <f t="array" ref="AC140">IF('Ingest Template'!A140="Standard",(CONCATENATE(IF(ISBLANK('Ingest Template'!F140),"", 'Ingest Template'!F140&amp;"|DAR"),CHAR(10), IF(ISBLANK('Ingest Template'!G140),"", 'Ingest Template'!G140&amp;"|DAR"),CHAR(10), IF(ISBLANK('Ingest Template'!H140),"", 'Ingest Template'!H140&amp;"|DAR"))),(CONCATENATE(IF(ISBLANK('Ingest Template'!F140),"", 'Ingest Template'!F140&amp;"|Film Ops"),CHAR(10), IF(ISBLANK('Ingest Template'!G140),"", 'Ingest Template'!G140&amp;"|Film Ops"),CHAR(10), IF(ISBLANK('Ingest Template'!H140),"", 'Ingest Template'!H140&amp;"|Film Ops"))))</f>
        <v>
</v>
      </c>
      <c r="AD140" s="4"/>
      <c r="AE140" s="4"/>
      <c r="AF140" s="10"/>
      <c r="AG140" s="4"/>
      <c r="AH140" s="4"/>
    </row>
    <row r="141">
      <c r="A141" s="4"/>
      <c r="B141" s="4" t="str">
        <f>'Ingest Template'!B141&amp;IF('Ingest Template'!A141 = "Standard", " - DAR","")</f>
        <v/>
      </c>
      <c r="C141" s="5" t="s">
        <v>34</v>
      </c>
      <c r="D141" s="5" t="str">
        <f>CONCATENATE('Ingest Template'!C141,'Ingest Template'!D141)</f>
        <v/>
      </c>
      <c r="E141" s="4"/>
      <c r="F141" s="4"/>
      <c r="G141" s="4"/>
      <c r="H141" s="6"/>
      <c r="I141" s="6" t="str">
        <f>iF('Ingest Template'!A141="Standard","Pristine Brand","Unknown")</f>
        <v>Unknown</v>
      </c>
      <c r="J141" s="4" t="str">
        <f>iF('Ingest Template'!A141="Standard","LF // Beverages","Competitive View")</f>
        <v>Competitive View</v>
      </c>
      <c r="K141" s="7" t="s">
        <v>35</v>
      </c>
      <c r="L141" s="8"/>
      <c r="M141" s="4"/>
      <c r="N141" s="4"/>
      <c r="O141" s="4"/>
      <c r="P141" s="4"/>
      <c r="Q141" s="4"/>
      <c r="R141" s="7" t="s">
        <v>36</v>
      </c>
      <c r="S141" s="4" t="str">
        <f>'Ingest Template'!J141</f>
        <v/>
      </c>
      <c r="T141" s="4" t="str">
        <f>'Ingest Template'!I141</f>
        <v/>
      </c>
      <c r="U141" s="4" t="str">
        <f>LOWER(SUBSTITUTE(SUBSTITUTE(SUBSTITUTE(SUBSTITUTE(SUBSTITUTE('Ingest Template'!K141,"https:",""),"www.",""),"/",""),"?hl=en",""),"instagram.com",""))</f>
        <v/>
      </c>
      <c r="V141" s="9" t="str">
        <f>'Ingest Template'!L141</f>
        <v/>
      </c>
      <c r="W141" s="9" t="str">
        <f>'Ingest Template'!M141</f>
        <v/>
      </c>
      <c r="X141" s="4" t="str">
        <f>SUBSTITUTE(SUBSTITUTE(SUBSTITUTE('Ingest Template'!N141,"http:",""),"https:",""),"/","")</f>
        <v/>
      </c>
      <c r="Y141" s="4" t="str">
        <f t="array" ref="Y141">IF('Ingest Template'!A141="Standard",(IF(ISBLANK('Ingest Template'!O141),"", 'Ingest Template'!O141&amp;"|DAR")),(IF(ISBLANK('Ingest Template'!O141),"", 'Ingest Template'!O141&amp;"|Film Ops")))</f>
        <v/>
      </c>
      <c r="Z141" s="4"/>
      <c r="AA141" s="4" t="str">
        <f>'Ingest Template'!E141</f>
        <v/>
      </c>
      <c r="AB141" s="7"/>
      <c r="AC141" s="4" t="str">
        <f t="array" ref="AC141">IF('Ingest Template'!A141="Standard",(CONCATENATE(IF(ISBLANK('Ingest Template'!F141),"", 'Ingest Template'!F141&amp;"|DAR"),CHAR(10), IF(ISBLANK('Ingest Template'!G141),"", 'Ingest Template'!G141&amp;"|DAR"),CHAR(10), IF(ISBLANK('Ingest Template'!H141),"", 'Ingest Template'!H141&amp;"|DAR"))),(CONCATENATE(IF(ISBLANK('Ingest Template'!F141),"", 'Ingest Template'!F141&amp;"|Film Ops"),CHAR(10), IF(ISBLANK('Ingest Template'!G141),"", 'Ingest Template'!G141&amp;"|Film Ops"),CHAR(10), IF(ISBLANK('Ingest Template'!H141),"", 'Ingest Template'!H141&amp;"|Film Ops"))))</f>
        <v>
</v>
      </c>
      <c r="AD141" s="4"/>
      <c r="AE141" s="4"/>
      <c r="AF141" s="10"/>
      <c r="AG141" s="4"/>
      <c r="AH141" s="4"/>
    </row>
    <row r="142">
      <c r="A142" s="4"/>
      <c r="B142" s="4" t="str">
        <f>'Ingest Template'!B142&amp;IF('Ingest Template'!A142 = "Standard", " - DAR","")</f>
        <v/>
      </c>
      <c r="C142" s="5" t="s">
        <v>34</v>
      </c>
      <c r="D142" s="5" t="str">
        <f>CONCATENATE('Ingest Template'!C142,'Ingest Template'!D142)</f>
        <v/>
      </c>
      <c r="E142" s="4"/>
      <c r="F142" s="4"/>
      <c r="G142" s="4"/>
      <c r="H142" s="6"/>
      <c r="I142" s="6" t="str">
        <f>iF('Ingest Template'!A142="Standard","Pristine Brand","Unknown")</f>
        <v>Unknown</v>
      </c>
      <c r="J142" s="4" t="str">
        <f>iF('Ingest Template'!A142="Standard","LF // Beverages","Competitive View")</f>
        <v>Competitive View</v>
      </c>
      <c r="K142" s="7" t="s">
        <v>35</v>
      </c>
      <c r="L142" s="8"/>
      <c r="M142" s="4"/>
      <c r="N142" s="4"/>
      <c r="O142" s="4"/>
      <c r="P142" s="4"/>
      <c r="Q142" s="4"/>
      <c r="R142" s="7" t="s">
        <v>36</v>
      </c>
      <c r="S142" s="4" t="str">
        <f>'Ingest Template'!J142</f>
        <v/>
      </c>
      <c r="T142" s="4" t="str">
        <f>'Ingest Template'!I142</f>
        <v/>
      </c>
      <c r="U142" s="4" t="str">
        <f>LOWER(SUBSTITUTE(SUBSTITUTE(SUBSTITUTE(SUBSTITUTE(SUBSTITUTE('Ingest Template'!K142,"https:",""),"www.",""),"/",""),"?hl=en",""),"instagram.com",""))</f>
        <v/>
      </c>
      <c r="V142" s="9" t="str">
        <f>'Ingest Template'!L142</f>
        <v/>
      </c>
      <c r="W142" s="9" t="str">
        <f>'Ingest Template'!M142</f>
        <v/>
      </c>
      <c r="X142" s="4" t="str">
        <f>SUBSTITUTE(SUBSTITUTE(SUBSTITUTE('Ingest Template'!N142,"http:",""),"https:",""),"/","")</f>
        <v/>
      </c>
      <c r="Y142" s="4" t="str">
        <f t="array" ref="Y142">IF('Ingest Template'!A142="Standard",(IF(ISBLANK('Ingest Template'!O142),"", 'Ingest Template'!O142&amp;"|DAR")),(IF(ISBLANK('Ingest Template'!O142),"", 'Ingest Template'!O142&amp;"|Film Ops")))</f>
        <v/>
      </c>
      <c r="Z142" s="4"/>
      <c r="AA142" s="4" t="str">
        <f>'Ingest Template'!E142</f>
        <v/>
      </c>
      <c r="AB142" s="7"/>
      <c r="AC142" s="4" t="str">
        <f t="array" ref="AC142">IF('Ingest Template'!A142="Standard",(CONCATENATE(IF(ISBLANK('Ingest Template'!F142),"", 'Ingest Template'!F142&amp;"|DAR"),CHAR(10), IF(ISBLANK('Ingest Template'!G142),"", 'Ingest Template'!G142&amp;"|DAR"),CHAR(10), IF(ISBLANK('Ingest Template'!H142),"", 'Ingest Template'!H142&amp;"|DAR"))),(CONCATENATE(IF(ISBLANK('Ingest Template'!F142),"", 'Ingest Template'!F142&amp;"|Film Ops"),CHAR(10), IF(ISBLANK('Ingest Template'!G142),"", 'Ingest Template'!G142&amp;"|Film Ops"),CHAR(10), IF(ISBLANK('Ingest Template'!H142),"", 'Ingest Template'!H142&amp;"|Film Ops"))))</f>
        <v>
</v>
      </c>
      <c r="AD142" s="4"/>
      <c r="AE142" s="4"/>
      <c r="AF142" s="10"/>
      <c r="AG142" s="4"/>
      <c r="AH142" s="4"/>
    </row>
    <row r="143">
      <c r="A143" s="4"/>
      <c r="B143" s="4" t="str">
        <f>'Ingest Template'!B143&amp;IF('Ingest Template'!A143 = "Standard", " - DAR","")</f>
        <v/>
      </c>
      <c r="C143" s="5" t="s">
        <v>34</v>
      </c>
      <c r="D143" s="5" t="str">
        <f>CONCATENATE('Ingest Template'!C143,'Ingest Template'!D143)</f>
        <v/>
      </c>
      <c r="E143" s="4"/>
      <c r="F143" s="4"/>
      <c r="G143" s="4"/>
      <c r="H143" s="6"/>
      <c r="I143" s="6" t="str">
        <f>iF('Ingest Template'!A143="Standard","Pristine Brand","Unknown")</f>
        <v>Unknown</v>
      </c>
      <c r="J143" s="4" t="str">
        <f>iF('Ingest Template'!A143="Standard","LF // Beverages","Competitive View")</f>
        <v>Competitive View</v>
      </c>
      <c r="K143" s="7" t="s">
        <v>35</v>
      </c>
      <c r="L143" s="8"/>
      <c r="M143" s="4"/>
      <c r="N143" s="4"/>
      <c r="O143" s="4"/>
      <c r="P143" s="4"/>
      <c r="Q143" s="4"/>
      <c r="R143" s="7" t="s">
        <v>36</v>
      </c>
      <c r="S143" s="4" t="str">
        <f>'Ingest Template'!J143</f>
        <v/>
      </c>
      <c r="T143" s="4" t="str">
        <f>'Ingest Template'!I143</f>
        <v/>
      </c>
      <c r="U143" s="4" t="str">
        <f>LOWER(SUBSTITUTE(SUBSTITUTE(SUBSTITUTE(SUBSTITUTE(SUBSTITUTE('Ingest Template'!K143,"https:",""),"www.",""),"/",""),"?hl=en",""),"instagram.com",""))</f>
        <v/>
      </c>
      <c r="V143" s="9" t="str">
        <f>'Ingest Template'!L143</f>
        <v/>
      </c>
      <c r="W143" s="9" t="str">
        <f>'Ingest Template'!M143</f>
        <v/>
      </c>
      <c r="X143" s="4" t="str">
        <f>SUBSTITUTE(SUBSTITUTE(SUBSTITUTE('Ingest Template'!N143,"http:",""),"https:",""),"/","")</f>
        <v/>
      </c>
      <c r="Y143" s="4" t="str">
        <f t="array" ref="Y143">IF('Ingest Template'!A143="Standard",(IF(ISBLANK('Ingest Template'!O143),"", 'Ingest Template'!O143&amp;"|DAR")),(IF(ISBLANK('Ingest Template'!O143),"", 'Ingest Template'!O143&amp;"|Film Ops")))</f>
        <v/>
      </c>
      <c r="Z143" s="4"/>
      <c r="AA143" s="4" t="str">
        <f>'Ingest Template'!E143</f>
        <v/>
      </c>
      <c r="AB143" s="7"/>
      <c r="AC143" s="4" t="str">
        <f t="array" ref="AC143">IF('Ingest Template'!A143="Standard",(CONCATENATE(IF(ISBLANK('Ingest Template'!F143),"", 'Ingest Template'!F143&amp;"|DAR"),CHAR(10), IF(ISBLANK('Ingest Template'!G143),"", 'Ingest Template'!G143&amp;"|DAR"),CHAR(10), IF(ISBLANK('Ingest Template'!H143),"", 'Ingest Template'!H143&amp;"|DAR"))),(CONCATENATE(IF(ISBLANK('Ingest Template'!F143),"", 'Ingest Template'!F143&amp;"|Film Ops"),CHAR(10), IF(ISBLANK('Ingest Template'!G143),"", 'Ingest Template'!G143&amp;"|Film Ops"),CHAR(10), IF(ISBLANK('Ingest Template'!H143),"", 'Ingest Template'!H143&amp;"|Film Ops"))))</f>
        <v>
</v>
      </c>
      <c r="AD143" s="4"/>
      <c r="AE143" s="4"/>
      <c r="AF143" s="10"/>
      <c r="AG143" s="4"/>
      <c r="AH143" s="4"/>
    </row>
    <row r="144">
      <c r="A144" s="4"/>
      <c r="B144" s="4" t="str">
        <f>'Ingest Template'!B144&amp;IF('Ingest Template'!A144 = "Standard", " - DAR","")</f>
        <v/>
      </c>
      <c r="C144" s="5" t="s">
        <v>34</v>
      </c>
      <c r="D144" s="5" t="str">
        <f>CONCATENATE('Ingest Template'!C144,'Ingest Template'!D144)</f>
        <v/>
      </c>
      <c r="E144" s="4"/>
      <c r="F144" s="4"/>
      <c r="G144" s="4"/>
      <c r="H144" s="6"/>
      <c r="I144" s="6" t="str">
        <f>iF('Ingest Template'!A144="Standard","Pristine Brand","Unknown")</f>
        <v>Unknown</v>
      </c>
      <c r="J144" s="4" t="str">
        <f>iF('Ingest Template'!A144="Standard","LF // Beverages","Competitive View")</f>
        <v>Competitive View</v>
      </c>
      <c r="K144" s="7" t="s">
        <v>35</v>
      </c>
      <c r="L144" s="8"/>
      <c r="M144" s="4"/>
      <c r="N144" s="4"/>
      <c r="O144" s="4"/>
      <c r="P144" s="4"/>
      <c r="Q144" s="4"/>
      <c r="R144" s="7" t="s">
        <v>36</v>
      </c>
      <c r="S144" s="4" t="str">
        <f>'Ingest Template'!J144</f>
        <v/>
      </c>
      <c r="T144" s="4" t="str">
        <f>'Ingest Template'!I144</f>
        <v/>
      </c>
      <c r="U144" s="4" t="str">
        <f>LOWER(SUBSTITUTE(SUBSTITUTE(SUBSTITUTE(SUBSTITUTE(SUBSTITUTE('Ingest Template'!K144,"https:",""),"www.",""),"/",""),"?hl=en",""),"instagram.com",""))</f>
        <v/>
      </c>
      <c r="V144" s="9" t="str">
        <f>'Ingest Template'!L144</f>
        <v/>
      </c>
      <c r="W144" s="9" t="str">
        <f>'Ingest Template'!M144</f>
        <v/>
      </c>
      <c r="X144" s="4" t="str">
        <f>SUBSTITUTE(SUBSTITUTE(SUBSTITUTE('Ingest Template'!N144,"http:",""),"https:",""),"/","")</f>
        <v/>
      </c>
      <c r="Y144" s="4" t="str">
        <f t="array" ref="Y144">IF('Ingest Template'!A144="Standard",(IF(ISBLANK('Ingest Template'!O144),"", 'Ingest Template'!O144&amp;"|DAR")),(IF(ISBLANK('Ingest Template'!O144),"", 'Ingest Template'!O144&amp;"|Film Ops")))</f>
        <v/>
      </c>
      <c r="Z144" s="4"/>
      <c r="AA144" s="4" t="str">
        <f>'Ingest Template'!E144</f>
        <v/>
      </c>
      <c r="AB144" s="7"/>
      <c r="AC144" s="4" t="str">
        <f t="array" ref="AC144">IF('Ingest Template'!A144="Standard",(CONCATENATE(IF(ISBLANK('Ingest Template'!F144),"", 'Ingest Template'!F144&amp;"|DAR"),CHAR(10), IF(ISBLANK('Ingest Template'!G144),"", 'Ingest Template'!G144&amp;"|DAR"),CHAR(10), IF(ISBLANK('Ingest Template'!H144),"", 'Ingest Template'!H144&amp;"|DAR"))),(CONCATENATE(IF(ISBLANK('Ingest Template'!F144),"", 'Ingest Template'!F144&amp;"|Film Ops"),CHAR(10), IF(ISBLANK('Ingest Template'!G144),"", 'Ingest Template'!G144&amp;"|Film Ops"),CHAR(10), IF(ISBLANK('Ingest Template'!H144),"", 'Ingest Template'!H144&amp;"|Film Ops"))))</f>
        <v>
</v>
      </c>
      <c r="AD144" s="4"/>
      <c r="AE144" s="4"/>
      <c r="AF144" s="10"/>
      <c r="AG144" s="4"/>
      <c r="AH144" s="4"/>
    </row>
    <row r="145">
      <c r="A145" s="4"/>
      <c r="B145" s="4" t="str">
        <f>'Ingest Template'!B145&amp;IF('Ingest Template'!A145 = "Standard", " - DAR","")</f>
        <v/>
      </c>
      <c r="C145" s="5" t="s">
        <v>34</v>
      </c>
      <c r="D145" s="5" t="str">
        <f>CONCATENATE('Ingest Template'!C145,'Ingest Template'!D145)</f>
        <v/>
      </c>
      <c r="E145" s="4"/>
      <c r="F145" s="4"/>
      <c r="G145" s="4"/>
      <c r="H145" s="6"/>
      <c r="I145" s="6" t="str">
        <f>iF('Ingest Template'!A145="Standard","Pristine Brand","Unknown")</f>
        <v>Unknown</v>
      </c>
      <c r="J145" s="4" t="str">
        <f>iF('Ingest Template'!A145="Standard","LF // Beverages","Competitive View")</f>
        <v>Competitive View</v>
      </c>
      <c r="K145" s="7" t="s">
        <v>35</v>
      </c>
      <c r="L145" s="8"/>
      <c r="M145" s="4"/>
      <c r="N145" s="4"/>
      <c r="O145" s="4"/>
      <c r="P145" s="4"/>
      <c r="Q145" s="4"/>
      <c r="R145" s="7" t="s">
        <v>36</v>
      </c>
      <c r="S145" s="4" t="str">
        <f>'Ingest Template'!J145</f>
        <v/>
      </c>
      <c r="T145" s="4" t="str">
        <f>'Ingest Template'!I145</f>
        <v/>
      </c>
      <c r="U145" s="4" t="str">
        <f>LOWER(SUBSTITUTE(SUBSTITUTE(SUBSTITUTE(SUBSTITUTE(SUBSTITUTE('Ingest Template'!K145,"https:",""),"www.",""),"/",""),"?hl=en",""),"instagram.com",""))</f>
        <v/>
      </c>
      <c r="V145" s="9" t="str">
        <f>'Ingest Template'!L145</f>
        <v/>
      </c>
      <c r="W145" s="9" t="str">
        <f>'Ingest Template'!M145</f>
        <v/>
      </c>
      <c r="X145" s="4" t="str">
        <f>SUBSTITUTE(SUBSTITUTE(SUBSTITUTE('Ingest Template'!N145,"http:",""),"https:",""),"/","")</f>
        <v/>
      </c>
      <c r="Y145" s="4" t="str">
        <f t="array" ref="Y145">IF('Ingest Template'!A145="Standard",(IF(ISBLANK('Ingest Template'!O145),"", 'Ingest Template'!O145&amp;"|DAR")),(IF(ISBLANK('Ingest Template'!O145),"", 'Ingest Template'!O145&amp;"|Film Ops")))</f>
        <v/>
      </c>
      <c r="Z145" s="4"/>
      <c r="AA145" s="4" t="str">
        <f>'Ingest Template'!E145</f>
        <v/>
      </c>
      <c r="AB145" s="7"/>
      <c r="AC145" s="4" t="str">
        <f t="array" ref="AC145">IF('Ingest Template'!A145="Standard",(CONCATENATE(IF(ISBLANK('Ingest Template'!F145),"", 'Ingest Template'!F145&amp;"|DAR"),CHAR(10), IF(ISBLANK('Ingest Template'!G145),"", 'Ingest Template'!G145&amp;"|DAR"),CHAR(10), IF(ISBLANK('Ingest Template'!H145),"", 'Ingest Template'!H145&amp;"|DAR"))),(CONCATENATE(IF(ISBLANK('Ingest Template'!F145),"", 'Ingest Template'!F145&amp;"|Film Ops"),CHAR(10), IF(ISBLANK('Ingest Template'!G145),"", 'Ingest Template'!G145&amp;"|Film Ops"),CHAR(10), IF(ISBLANK('Ingest Template'!H145),"", 'Ingest Template'!H145&amp;"|Film Ops"))))</f>
        <v>
</v>
      </c>
      <c r="AD145" s="4"/>
      <c r="AE145" s="4"/>
      <c r="AF145" s="10"/>
      <c r="AG145" s="4"/>
      <c r="AH145" s="4"/>
    </row>
    <row r="146">
      <c r="A146" s="4"/>
      <c r="B146" s="4" t="str">
        <f>'Ingest Template'!B146&amp;IF('Ingest Template'!A146 = "Standard", " - DAR","")</f>
        <v/>
      </c>
      <c r="C146" s="5" t="s">
        <v>34</v>
      </c>
      <c r="D146" s="5" t="str">
        <f>CONCATENATE('Ingest Template'!C146,'Ingest Template'!D146)</f>
        <v/>
      </c>
      <c r="E146" s="4"/>
      <c r="F146" s="4"/>
      <c r="G146" s="4"/>
      <c r="H146" s="6"/>
      <c r="I146" s="6" t="str">
        <f>iF('Ingest Template'!A146="Standard","Pristine Brand","Unknown")</f>
        <v>Unknown</v>
      </c>
      <c r="J146" s="4" t="str">
        <f>iF('Ingest Template'!A146="Standard","LF // Beverages","Competitive View")</f>
        <v>Competitive View</v>
      </c>
      <c r="K146" s="7" t="s">
        <v>35</v>
      </c>
      <c r="L146" s="8"/>
      <c r="M146" s="4"/>
      <c r="N146" s="4"/>
      <c r="O146" s="4"/>
      <c r="P146" s="4"/>
      <c r="Q146" s="4"/>
      <c r="R146" s="7" t="s">
        <v>36</v>
      </c>
      <c r="S146" s="4" t="str">
        <f>'Ingest Template'!J146</f>
        <v/>
      </c>
      <c r="T146" s="4" t="str">
        <f>'Ingest Template'!I146</f>
        <v/>
      </c>
      <c r="U146" s="4" t="str">
        <f>LOWER(SUBSTITUTE(SUBSTITUTE(SUBSTITUTE(SUBSTITUTE(SUBSTITUTE('Ingest Template'!K146,"https:",""),"www.",""),"/",""),"?hl=en",""),"instagram.com",""))</f>
        <v/>
      </c>
      <c r="V146" s="9" t="str">
        <f>'Ingest Template'!L146</f>
        <v/>
      </c>
      <c r="W146" s="9" t="str">
        <f>'Ingest Template'!M146</f>
        <v/>
      </c>
      <c r="X146" s="4" t="str">
        <f>SUBSTITUTE(SUBSTITUTE(SUBSTITUTE('Ingest Template'!N146,"http:",""),"https:",""),"/","")</f>
        <v/>
      </c>
      <c r="Y146" s="4" t="str">
        <f t="array" ref="Y146">IF('Ingest Template'!A146="Standard",(IF(ISBLANK('Ingest Template'!O146),"", 'Ingest Template'!O146&amp;"|DAR")),(IF(ISBLANK('Ingest Template'!O146),"", 'Ingest Template'!O146&amp;"|Film Ops")))</f>
        <v/>
      </c>
      <c r="Z146" s="4"/>
      <c r="AA146" s="4" t="str">
        <f>'Ingest Template'!E146</f>
        <v/>
      </c>
      <c r="AB146" s="7"/>
      <c r="AC146" s="4" t="str">
        <f t="array" ref="AC146">IF('Ingest Template'!A146="Standard",(CONCATENATE(IF(ISBLANK('Ingest Template'!F146),"", 'Ingest Template'!F146&amp;"|DAR"),CHAR(10), IF(ISBLANK('Ingest Template'!G146),"", 'Ingest Template'!G146&amp;"|DAR"),CHAR(10), IF(ISBLANK('Ingest Template'!H146),"", 'Ingest Template'!H146&amp;"|DAR"))),(CONCATENATE(IF(ISBLANK('Ingest Template'!F146),"", 'Ingest Template'!F146&amp;"|Film Ops"),CHAR(10), IF(ISBLANK('Ingest Template'!G146),"", 'Ingest Template'!G146&amp;"|Film Ops"),CHAR(10), IF(ISBLANK('Ingest Template'!H146),"", 'Ingest Template'!H146&amp;"|Film Ops"))))</f>
        <v>
</v>
      </c>
      <c r="AD146" s="4"/>
      <c r="AE146" s="4"/>
      <c r="AF146" s="10"/>
      <c r="AG146" s="4"/>
      <c r="AH146" s="4"/>
    </row>
    <row r="147">
      <c r="A147" s="4"/>
      <c r="B147" s="4" t="str">
        <f>'Ingest Template'!B147&amp;IF('Ingest Template'!A147 = "Standard", " - DAR","")</f>
        <v/>
      </c>
      <c r="C147" s="5" t="s">
        <v>34</v>
      </c>
      <c r="D147" s="5" t="str">
        <f>CONCATENATE('Ingest Template'!C147,'Ingest Template'!D147)</f>
        <v/>
      </c>
      <c r="E147" s="4"/>
      <c r="F147" s="4"/>
      <c r="G147" s="4"/>
      <c r="H147" s="6"/>
      <c r="I147" s="6" t="str">
        <f>iF('Ingest Template'!A147="Standard","Pristine Brand","Unknown")</f>
        <v>Unknown</v>
      </c>
      <c r="J147" s="4" t="str">
        <f>iF('Ingest Template'!A147="Standard","LF // Beverages","Competitive View")</f>
        <v>Competitive View</v>
      </c>
      <c r="K147" s="7" t="s">
        <v>35</v>
      </c>
      <c r="L147" s="8"/>
      <c r="M147" s="4"/>
      <c r="N147" s="4"/>
      <c r="O147" s="4"/>
      <c r="P147" s="4"/>
      <c r="Q147" s="4"/>
      <c r="R147" s="7" t="s">
        <v>36</v>
      </c>
      <c r="S147" s="4" t="str">
        <f>'Ingest Template'!J147</f>
        <v/>
      </c>
      <c r="T147" s="4" t="str">
        <f>'Ingest Template'!I147</f>
        <v/>
      </c>
      <c r="U147" s="4" t="str">
        <f>LOWER(SUBSTITUTE(SUBSTITUTE(SUBSTITUTE(SUBSTITUTE(SUBSTITUTE('Ingest Template'!K147,"https:",""),"www.",""),"/",""),"?hl=en",""),"instagram.com",""))</f>
        <v/>
      </c>
      <c r="V147" s="9" t="str">
        <f>'Ingest Template'!L147</f>
        <v/>
      </c>
      <c r="W147" s="9" t="str">
        <f>'Ingest Template'!M147</f>
        <v/>
      </c>
      <c r="X147" s="4" t="str">
        <f>SUBSTITUTE(SUBSTITUTE(SUBSTITUTE('Ingest Template'!N147,"http:",""),"https:",""),"/","")</f>
        <v/>
      </c>
      <c r="Y147" s="4" t="str">
        <f t="array" ref="Y147">IF('Ingest Template'!A147="Standard",(IF(ISBLANK('Ingest Template'!O147),"", 'Ingest Template'!O147&amp;"|DAR")),(IF(ISBLANK('Ingest Template'!O147),"", 'Ingest Template'!O147&amp;"|Film Ops")))</f>
        <v/>
      </c>
      <c r="Z147" s="4"/>
      <c r="AA147" s="4" t="str">
        <f>'Ingest Template'!E147</f>
        <v/>
      </c>
      <c r="AB147" s="7"/>
      <c r="AC147" s="4" t="str">
        <f t="array" ref="AC147">IF('Ingest Template'!A147="Standard",(CONCATENATE(IF(ISBLANK('Ingest Template'!F147),"", 'Ingest Template'!F147&amp;"|DAR"),CHAR(10), IF(ISBLANK('Ingest Template'!G147),"", 'Ingest Template'!G147&amp;"|DAR"),CHAR(10), IF(ISBLANK('Ingest Template'!H147),"", 'Ingest Template'!H147&amp;"|DAR"))),(CONCATENATE(IF(ISBLANK('Ingest Template'!F147),"", 'Ingest Template'!F147&amp;"|Film Ops"),CHAR(10), IF(ISBLANK('Ingest Template'!G147),"", 'Ingest Template'!G147&amp;"|Film Ops"),CHAR(10), IF(ISBLANK('Ingest Template'!H147),"", 'Ingest Template'!H147&amp;"|Film Ops"))))</f>
        <v>
</v>
      </c>
      <c r="AD147" s="4"/>
      <c r="AE147" s="4"/>
      <c r="AF147" s="10"/>
      <c r="AG147" s="4"/>
      <c r="AH147" s="4"/>
    </row>
    <row r="148">
      <c r="A148" s="4"/>
      <c r="B148" s="4" t="str">
        <f>'Ingest Template'!B148&amp;IF('Ingest Template'!A148 = "Standard", " - DAR","")</f>
        <v/>
      </c>
      <c r="C148" s="5" t="s">
        <v>34</v>
      </c>
      <c r="D148" s="5" t="str">
        <f>CONCATENATE('Ingest Template'!C148,'Ingest Template'!D148)</f>
        <v/>
      </c>
      <c r="E148" s="4"/>
      <c r="F148" s="4"/>
      <c r="G148" s="4"/>
      <c r="H148" s="6"/>
      <c r="I148" s="6" t="str">
        <f>iF('Ingest Template'!A148="Standard","Pristine Brand","Unknown")</f>
        <v>Unknown</v>
      </c>
      <c r="J148" s="4" t="str">
        <f>iF('Ingest Template'!A148="Standard","LF // Beverages","Competitive View")</f>
        <v>Competitive View</v>
      </c>
      <c r="K148" s="7" t="s">
        <v>35</v>
      </c>
      <c r="L148" s="8"/>
      <c r="M148" s="4"/>
      <c r="N148" s="4"/>
      <c r="O148" s="4"/>
      <c r="P148" s="4"/>
      <c r="Q148" s="4"/>
      <c r="R148" s="7" t="s">
        <v>36</v>
      </c>
      <c r="S148" s="4" t="str">
        <f>'Ingest Template'!J148</f>
        <v/>
      </c>
      <c r="T148" s="4" t="str">
        <f>'Ingest Template'!I148</f>
        <v/>
      </c>
      <c r="U148" s="4" t="str">
        <f>LOWER(SUBSTITUTE(SUBSTITUTE(SUBSTITUTE(SUBSTITUTE(SUBSTITUTE('Ingest Template'!K148,"https:",""),"www.",""),"/",""),"?hl=en",""),"instagram.com",""))</f>
        <v/>
      </c>
      <c r="V148" s="9" t="str">
        <f>'Ingest Template'!L148</f>
        <v/>
      </c>
      <c r="W148" s="9" t="str">
        <f>'Ingest Template'!M148</f>
        <v/>
      </c>
      <c r="X148" s="4" t="str">
        <f>SUBSTITUTE(SUBSTITUTE(SUBSTITUTE('Ingest Template'!N148,"http:",""),"https:",""),"/","")</f>
        <v/>
      </c>
      <c r="Y148" s="4" t="str">
        <f t="array" ref="Y148">IF('Ingest Template'!A148="Standard",(IF(ISBLANK('Ingest Template'!O148),"", 'Ingest Template'!O148&amp;"|DAR")),(IF(ISBLANK('Ingest Template'!O148),"", 'Ingest Template'!O148&amp;"|Film Ops")))</f>
        <v/>
      </c>
      <c r="Z148" s="4"/>
      <c r="AA148" s="4" t="str">
        <f>'Ingest Template'!E148</f>
        <v/>
      </c>
      <c r="AB148" s="7"/>
      <c r="AC148" s="4" t="str">
        <f t="array" ref="AC148">IF('Ingest Template'!A148="Standard",(CONCATENATE(IF(ISBLANK('Ingest Template'!F148),"", 'Ingest Template'!F148&amp;"|DAR"),CHAR(10), IF(ISBLANK('Ingest Template'!G148),"", 'Ingest Template'!G148&amp;"|DAR"),CHAR(10), IF(ISBLANK('Ingest Template'!H148),"", 'Ingest Template'!H148&amp;"|DAR"))),(CONCATENATE(IF(ISBLANK('Ingest Template'!F148),"", 'Ingest Template'!F148&amp;"|Film Ops"),CHAR(10), IF(ISBLANK('Ingest Template'!G148),"", 'Ingest Template'!G148&amp;"|Film Ops"),CHAR(10), IF(ISBLANK('Ingest Template'!H148),"", 'Ingest Template'!H148&amp;"|Film Ops"))))</f>
        <v>
</v>
      </c>
      <c r="AD148" s="4"/>
      <c r="AE148" s="4"/>
      <c r="AF148" s="10"/>
      <c r="AG148" s="4"/>
      <c r="AH148" s="4"/>
    </row>
    <row r="149">
      <c r="A149" s="4"/>
      <c r="B149" s="4" t="str">
        <f>'Ingest Template'!B149&amp;IF('Ingest Template'!A149 = "Standard", " - DAR","")</f>
        <v/>
      </c>
      <c r="C149" s="5" t="s">
        <v>34</v>
      </c>
      <c r="D149" s="5" t="str">
        <f>CONCATENATE('Ingest Template'!C149,'Ingest Template'!D149)</f>
        <v/>
      </c>
      <c r="E149" s="4"/>
      <c r="F149" s="4"/>
      <c r="G149" s="4"/>
      <c r="H149" s="6"/>
      <c r="I149" s="6" t="str">
        <f>iF('Ingest Template'!A149="Standard","Pristine Brand","Unknown")</f>
        <v>Unknown</v>
      </c>
      <c r="J149" s="4" t="str">
        <f>iF('Ingest Template'!A149="Standard","LF // Beverages","Competitive View")</f>
        <v>Competitive View</v>
      </c>
      <c r="K149" s="7" t="s">
        <v>35</v>
      </c>
      <c r="L149" s="8"/>
      <c r="M149" s="4"/>
      <c r="N149" s="4"/>
      <c r="O149" s="4"/>
      <c r="P149" s="4"/>
      <c r="Q149" s="4"/>
      <c r="R149" s="7" t="s">
        <v>36</v>
      </c>
      <c r="S149" s="4" t="str">
        <f>'Ingest Template'!J149</f>
        <v/>
      </c>
      <c r="T149" s="4" t="str">
        <f>'Ingest Template'!I149</f>
        <v/>
      </c>
      <c r="U149" s="4" t="str">
        <f>LOWER(SUBSTITUTE(SUBSTITUTE(SUBSTITUTE(SUBSTITUTE(SUBSTITUTE('Ingest Template'!K149,"https:",""),"www.",""),"/",""),"?hl=en",""),"instagram.com",""))</f>
        <v/>
      </c>
      <c r="V149" s="9" t="str">
        <f>'Ingest Template'!L149</f>
        <v/>
      </c>
      <c r="W149" s="9" t="str">
        <f>'Ingest Template'!M149</f>
        <v/>
      </c>
      <c r="X149" s="4" t="str">
        <f>SUBSTITUTE(SUBSTITUTE(SUBSTITUTE('Ingest Template'!N149,"http:",""),"https:",""),"/","")</f>
        <v/>
      </c>
      <c r="Y149" s="4" t="str">
        <f t="array" ref="Y149">IF('Ingest Template'!A149="Standard",(IF(ISBLANK('Ingest Template'!O149),"", 'Ingest Template'!O149&amp;"|DAR")),(IF(ISBLANK('Ingest Template'!O149),"", 'Ingest Template'!O149&amp;"|Film Ops")))</f>
        <v/>
      </c>
      <c r="Z149" s="4"/>
      <c r="AA149" s="4" t="str">
        <f>'Ingest Template'!E149</f>
        <v/>
      </c>
      <c r="AB149" s="7"/>
      <c r="AC149" s="4" t="str">
        <f t="array" ref="AC149">IF('Ingest Template'!A149="Standard",(CONCATENATE(IF(ISBLANK('Ingest Template'!F149),"", 'Ingest Template'!F149&amp;"|DAR"),CHAR(10), IF(ISBLANK('Ingest Template'!G149),"", 'Ingest Template'!G149&amp;"|DAR"),CHAR(10), IF(ISBLANK('Ingest Template'!H149),"", 'Ingest Template'!H149&amp;"|DAR"))),(CONCATENATE(IF(ISBLANK('Ingest Template'!F149),"", 'Ingest Template'!F149&amp;"|Film Ops"),CHAR(10), IF(ISBLANK('Ingest Template'!G149),"", 'Ingest Template'!G149&amp;"|Film Ops"),CHAR(10), IF(ISBLANK('Ingest Template'!H149),"", 'Ingest Template'!H149&amp;"|Film Ops"))))</f>
        <v>
</v>
      </c>
      <c r="AD149" s="4"/>
      <c r="AE149" s="4"/>
      <c r="AF149" s="10"/>
      <c r="AG149" s="4"/>
      <c r="AH149" s="4"/>
    </row>
    <row r="150">
      <c r="A150" s="4"/>
      <c r="B150" s="4" t="str">
        <f>'Ingest Template'!B150&amp;IF('Ingest Template'!A150 = "Standard", " - DAR","")</f>
        <v/>
      </c>
      <c r="C150" s="5" t="s">
        <v>34</v>
      </c>
      <c r="D150" s="5" t="str">
        <f>CONCATENATE('Ingest Template'!C150,'Ingest Template'!D150)</f>
        <v/>
      </c>
      <c r="E150" s="4"/>
      <c r="F150" s="4"/>
      <c r="G150" s="4"/>
      <c r="H150" s="6"/>
      <c r="I150" s="6" t="str">
        <f>iF('Ingest Template'!A150="Standard","Pristine Brand","Unknown")</f>
        <v>Unknown</v>
      </c>
      <c r="J150" s="4" t="str">
        <f>iF('Ingest Template'!A150="Standard","LF // Beverages","Competitive View")</f>
        <v>Competitive View</v>
      </c>
      <c r="K150" s="7" t="s">
        <v>35</v>
      </c>
      <c r="L150" s="8"/>
      <c r="M150" s="4"/>
      <c r="N150" s="4"/>
      <c r="O150" s="4"/>
      <c r="P150" s="4"/>
      <c r="Q150" s="4"/>
      <c r="R150" s="7" t="s">
        <v>36</v>
      </c>
      <c r="S150" s="4" t="str">
        <f>'Ingest Template'!J150</f>
        <v/>
      </c>
      <c r="T150" s="4" t="str">
        <f>'Ingest Template'!I150</f>
        <v/>
      </c>
      <c r="U150" s="4" t="str">
        <f>LOWER(SUBSTITUTE(SUBSTITUTE(SUBSTITUTE(SUBSTITUTE(SUBSTITUTE('Ingest Template'!K150,"https:",""),"www.",""),"/",""),"?hl=en",""),"instagram.com",""))</f>
        <v/>
      </c>
      <c r="V150" s="9" t="str">
        <f>'Ingest Template'!L150</f>
        <v/>
      </c>
      <c r="W150" s="9" t="str">
        <f>'Ingest Template'!M150</f>
        <v/>
      </c>
      <c r="X150" s="4" t="str">
        <f>SUBSTITUTE(SUBSTITUTE(SUBSTITUTE('Ingest Template'!N150,"http:",""),"https:",""),"/","")</f>
        <v/>
      </c>
      <c r="Y150" s="4" t="str">
        <f t="array" ref="Y150">IF('Ingest Template'!A150="Standard",(IF(ISBLANK('Ingest Template'!O150),"", 'Ingest Template'!O150&amp;"|DAR")),(IF(ISBLANK('Ingest Template'!O150),"", 'Ingest Template'!O150&amp;"|Film Ops")))</f>
        <v/>
      </c>
      <c r="Z150" s="4"/>
      <c r="AA150" s="4" t="str">
        <f>'Ingest Template'!E150</f>
        <v/>
      </c>
      <c r="AB150" s="7"/>
      <c r="AC150" s="4" t="str">
        <f t="array" ref="AC150">IF('Ingest Template'!A150="Standard",(CONCATENATE(IF(ISBLANK('Ingest Template'!F150),"", 'Ingest Template'!F150&amp;"|DAR"),CHAR(10), IF(ISBLANK('Ingest Template'!G150),"", 'Ingest Template'!G150&amp;"|DAR"),CHAR(10), IF(ISBLANK('Ingest Template'!H150),"", 'Ingest Template'!H150&amp;"|DAR"))),(CONCATENATE(IF(ISBLANK('Ingest Template'!F150),"", 'Ingest Template'!F150&amp;"|Film Ops"),CHAR(10), IF(ISBLANK('Ingest Template'!G150),"", 'Ingest Template'!G150&amp;"|Film Ops"),CHAR(10), IF(ISBLANK('Ingest Template'!H150),"", 'Ingest Template'!H150&amp;"|Film Ops"))))</f>
        <v>
</v>
      </c>
      <c r="AD150" s="4"/>
      <c r="AE150" s="4"/>
      <c r="AF150" s="10"/>
      <c r="AG150" s="4"/>
      <c r="AH150" s="4"/>
    </row>
    <row r="151">
      <c r="A151" s="4"/>
      <c r="B151" s="4" t="str">
        <f>'Ingest Template'!B151&amp;IF('Ingest Template'!A151 = "Standard", " - DAR","")</f>
        <v/>
      </c>
      <c r="C151" s="5" t="s">
        <v>34</v>
      </c>
      <c r="D151" s="5" t="str">
        <f>CONCATENATE('Ingest Template'!C151,'Ingest Template'!D151)</f>
        <v/>
      </c>
      <c r="E151" s="4"/>
      <c r="F151" s="4"/>
      <c r="G151" s="4"/>
      <c r="H151" s="6"/>
      <c r="I151" s="6" t="str">
        <f>iF('Ingest Template'!A151="Standard","Pristine Brand","Unknown")</f>
        <v>Unknown</v>
      </c>
      <c r="J151" s="4" t="str">
        <f>iF('Ingest Template'!A151="Standard","LF // Beverages","Competitive View")</f>
        <v>Competitive View</v>
      </c>
      <c r="K151" s="7" t="s">
        <v>35</v>
      </c>
      <c r="L151" s="8"/>
      <c r="M151" s="4"/>
      <c r="N151" s="4"/>
      <c r="O151" s="4"/>
      <c r="P151" s="4"/>
      <c r="Q151" s="4"/>
      <c r="R151" s="7" t="s">
        <v>36</v>
      </c>
      <c r="S151" s="4" t="str">
        <f>'Ingest Template'!J151</f>
        <v/>
      </c>
      <c r="T151" s="4" t="str">
        <f>'Ingest Template'!I151</f>
        <v/>
      </c>
      <c r="U151" s="4" t="str">
        <f>LOWER(SUBSTITUTE(SUBSTITUTE(SUBSTITUTE(SUBSTITUTE(SUBSTITUTE('Ingest Template'!K151,"https:",""),"www.",""),"/",""),"?hl=en",""),"instagram.com",""))</f>
        <v/>
      </c>
      <c r="V151" s="9" t="str">
        <f>'Ingest Template'!L151</f>
        <v/>
      </c>
      <c r="W151" s="9" t="str">
        <f>'Ingest Template'!M151</f>
        <v/>
      </c>
      <c r="X151" s="4" t="str">
        <f>SUBSTITUTE(SUBSTITUTE(SUBSTITUTE('Ingest Template'!N151,"http:",""),"https:",""),"/","")</f>
        <v/>
      </c>
      <c r="Y151" s="4" t="str">
        <f t="array" ref="Y151">IF('Ingest Template'!A151="Standard",(IF(ISBLANK('Ingest Template'!O151),"", 'Ingest Template'!O151&amp;"|DAR")),(IF(ISBLANK('Ingest Template'!O151),"", 'Ingest Template'!O151&amp;"|Film Ops")))</f>
        <v/>
      </c>
      <c r="Z151" s="4"/>
      <c r="AA151" s="4" t="str">
        <f>'Ingest Template'!E151</f>
        <v/>
      </c>
      <c r="AB151" s="7"/>
      <c r="AC151" s="4" t="str">
        <f t="array" ref="AC151">IF('Ingest Template'!A151="Standard",(CONCATENATE(IF(ISBLANK('Ingest Template'!F151),"", 'Ingest Template'!F151&amp;"|DAR"),CHAR(10), IF(ISBLANK('Ingest Template'!G151),"", 'Ingest Template'!G151&amp;"|DAR"),CHAR(10), IF(ISBLANK('Ingest Template'!H151),"", 'Ingest Template'!H151&amp;"|DAR"))),(CONCATENATE(IF(ISBLANK('Ingest Template'!F151),"", 'Ingest Template'!F151&amp;"|Film Ops"),CHAR(10), IF(ISBLANK('Ingest Template'!G151),"", 'Ingest Template'!G151&amp;"|Film Ops"),CHAR(10), IF(ISBLANK('Ingest Template'!H151),"", 'Ingest Template'!H151&amp;"|Film Ops"))))</f>
        <v>
</v>
      </c>
      <c r="AD151" s="4"/>
      <c r="AE151" s="4"/>
      <c r="AF151" s="10"/>
      <c r="AG151" s="4"/>
      <c r="AH151" s="4"/>
    </row>
    <row r="152">
      <c r="A152" s="4"/>
      <c r="B152" s="4" t="str">
        <f>'Ingest Template'!B152&amp;IF('Ingest Template'!A152 = "Standard", " - DAR","")</f>
        <v/>
      </c>
      <c r="C152" s="5" t="s">
        <v>34</v>
      </c>
      <c r="D152" s="5" t="str">
        <f>CONCATENATE('Ingest Template'!C152,'Ingest Template'!D152)</f>
        <v/>
      </c>
      <c r="E152" s="4"/>
      <c r="F152" s="4"/>
      <c r="G152" s="4"/>
      <c r="H152" s="6"/>
      <c r="I152" s="6" t="str">
        <f>iF('Ingest Template'!A152="Standard","Pristine Brand","Unknown")</f>
        <v>Unknown</v>
      </c>
      <c r="J152" s="4" t="str">
        <f>iF('Ingest Template'!A152="Standard","LF // Beverages","Competitive View")</f>
        <v>Competitive View</v>
      </c>
      <c r="K152" s="7" t="s">
        <v>35</v>
      </c>
      <c r="L152" s="8"/>
      <c r="M152" s="4"/>
      <c r="N152" s="4"/>
      <c r="O152" s="4"/>
      <c r="P152" s="4"/>
      <c r="Q152" s="4"/>
      <c r="R152" s="7" t="s">
        <v>36</v>
      </c>
      <c r="S152" s="4" t="str">
        <f>'Ingest Template'!J152</f>
        <v/>
      </c>
      <c r="T152" s="4" t="str">
        <f>'Ingest Template'!I152</f>
        <v/>
      </c>
      <c r="U152" s="4" t="str">
        <f>LOWER(SUBSTITUTE(SUBSTITUTE(SUBSTITUTE(SUBSTITUTE(SUBSTITUTE('Ingest Template'!K152,"https:",""),"www.",""),"/",""),"?hl=en",""),"instagram.com",""))</f>
        <v/>
      </c>
      <c r="V152" s="9" t="str">
        <f>'Ingest Template'!L152</f>
        <v/>
      </c>
      <c r="W152" s="9" t="str">
        <f>'Ingest Template'!M152</f>
        <v/>
      </c>
      <c r="X152" s="4" t="str">
        <f>SUBSTITUTE(SUBSTITUTE(SUBSTITUTE('Ingest Template'!N152,"http:",""),"https:",""),"/","")</f>
        <v/>
      </c>
      <c r="Y152" s="4" t="str">
        <f t="array" ref="Y152">IF('Ingest Template'!A152="Standard",(IF(ISBLANK('Ingest Template'!O152),"", 'Ingest Template'!O152&amp;"|DAR")),(IF(ISBLANK('Ingest Template'!O152),"", 'Ingest Template'!O152&amp;"|Film Ops")))</f>
        <v/>
      </c>
      <c r="Z152" s="4"/>
      <c r="AA152" s="4" t="str">
        <f>'Ingest Template'!E152</f>
        <v/>
      </c>
      <c r="AB152" s="7"/>
      <c r="AC152" s="4" t="str">
        <f t="array" ref="AC152">IF('Ingest Template'!A152="Standard",(CONCATENATE(IF(ISBLANK('Ingest Template'!F152),"", 'Ingest Template'!F152&amp;"|DAR"),CHAR(10), IF(ISBLANK('Ingest Template'!G152),"", 'Ingest Template'!G152&amp;"|DAR"),CHAR(10), IF(ISBLANK('Ingest Template'!H152),"", 'Ingest Template'!H152&amp;"|DAR"))),(CONCATENATE(IF(ISBLANK('Ingest Template'!F152),"", 'Ingest Template'!F152&amp;"|Film Ops"),CHAR(10), IF(ISBLANK('Ingest Template'!G152),"", 'Ingest Template'!G152&amp;"|Film Ops"),CHAR(10), IF(ISBLANK('Ingest Template'!H152),"", 'Ingest Template'!H152&amp;"|Film Ops"))))</f>
        <v>
</v>
      </c>
      <c r="AD152" s="4"/>
      <c r="AE152" s="4"/>
      <c r="AF152" s="10"/>
      <c r="AG152" s="4"/>
      <c r="AH152" s="4"/>
    </row>
    <row r="153">
      <c r="A153" s="4"/>
      <c r="B153" s="4" t="str">
        <f>'Ingest Template'!B153&amp;IF('Ingest Template'!A153 = "Standard", " - DAR","")</f>
        <v/>
      </c>
      <c r="C153" s="5" t="s">
        <v>34</v>
      </c>
      <c r="D153" s="5" t="str">
        <f>CONCATENATE('Ingest Template'!C153,'Ingest Template'!D153)</f>
        <v/>
      </c>
      <c r="E153" s="4"/>
      <c r="F153" s="4"/>
      <c r="G153" s="4"/>
      <c r="H153" s="6"/>
      <c r="I153" s="6" t="str">
        <f>iF('Ingest Template'!A153="Standard","Pristine Brand","Unknown")</f>
        <v>Unknown</v>
      </c>
      <c r="J153" s="4" t="str">
        <f>iF('Ingest Template'!A153="Standard","LF // Beverages","Competitive View")</f>
        <v>Competitive View</v>
      </c>
      <c r="K153" s="7" t="s">
        <v>35</v>
      </c>
      <c r="L153" s="8"/>
      <c r="M153" s="4"/>
      <c r="N153" s="4"/>
      <c r="O153" s="4"/>
      <c r="P153" s="4"/>
      <c r="Q153" s="4"/>
      <c r="R153" s="7" t="s">
        <v>36</v>
      </c>
      <c r="S153" s="4" t="str">
        <f>'Ingest Template'!J153</f>
        <v/>
      </c>
      <c r="T153" s="4" t="str">
        <f>'Ingest Template'!I153</f>
        <v/>
      </c>
      <c r="U153" s="4" t="str">
        <f>LOWER(SUBSTITUTE(SUBSTITUTE(SUBSTITUTE(SUBSTITUTE(SUBSTITUTE('Ingest Template'!K153,"https:",""),"www.",""),"/",""),"?hl=en",""),"instagram.com",""))</f>
        <v/>
      </c>
      <c r="V153" s="9" t="str">
        <f>'Ingest Template'!L153</f>
        <v/>
      </c>
      <c r="W153" s="9" t="str">
        <f>'Ingest Template'!M153</f>
        <v/>
      </c>
      <c r="X153" s="4" t="str">
        <f>SUBSTITUTE(SUBSTITUTE(SUBSTITUTE('Ingest Template'!N153,"http:",""),"https:",""),"/","")</f>
        <v/>
      </c>
      <c r="Y153" s="4" t="str">
        <f t="array" ref="Y153">IF('Ingest Template'!A153="Standard",(IF(ISBLANK('Ingest Template'!O153),"", 'Ingest Template'!O153&amp;"|DAR")),(IF(ISBLANK('Ingest Template'!O153),"", 'Ingest Template'!O153&amp;"|Film Ops")))</f>
        <v/>
      </c>
      <c r="Z153" s="4"/>
      <c r="AA153" s="4" t="str">
        <f>'Ingest Template'!E153</f>
        <v/>
      </c>
      <c r="AB153" s="7"/>
      <c r="AC153" s="4" t="str">
        <f t="array" ref="AC153">IF('Ingest Template'!A153="Standard",(CONCATENATE(IF(ISBLANK('Ingest Template'!F153),"", 'Ingest Template'!F153&amp;"|DAR"),CHAR(10), IF(ISBLANK('Ingest Template'!G153),"", 'Ingest Template'!G153&amp;"|DAR"),CHAR(10), IF(ISBLANK('Ingest Template'!H153),"", 'Ingest Template'!H153&amp;"|DAR"))),(CONCATENATE(IF(ISBLANK('Ingest Template'!F153),"", 'Ingest Template'!F153&amp;"|Film Ops"),CHAR(10), IF(ISBLANK('Ingest Template'!G153),"", 'Ingest Template'!G153&amp;"|Film Ops"),CHAR(10), IF(ISBLANK('Ingest Template'!H153),"", 'Ingest Template'!H153&amp;"|Film Ops"))))</f>
        <v>
</v>
      </c>
      <c r="AD153" s="4"/>
      <c r="AE153" s="4"/>
      <c r="AF153" s="10"/>
      <c r="AG153" s="4"/>
      <c r="AH153" s="4"/>
    </row>
    <row r="154">
      <c r="A154" s="4"/>
      <c r="B154" s="4" t="str">
        <f>'Ingest Template'!B154&amp;IF('Ingest Template'!A154 = "Standard", " - DAR","")</f>
        <v/>
      </c>
      <c r="C154" s="5" t="s">
        <v>34</v>
      </c>
      <c r="D154" s="5" t="str">
        <f>CONCATENATE('Ingest Template'!C154,'Ingest Template'!D154)</f>
        <v/>
      </c>
      <c r="E154" s="4"/>
      <c r="F154" s="4"/>
      <c r="G154" s="4"/>
      <c r="H154" s="6"/>
      <c r="I154" s="6" t="str">
        <f>iF('Ingest Template'!A154="Standard","Pristine Brand","Unknown")</f>
        <v>Unknown</v>
      </c>
      <c r="J154" s="4" t="str">
        <f>iF('Ingest Template'!A154="Standard","LF // Beverages","Competitive View")</f>
        <v>Competitive View</v>
      </c>
      <c r="K154" s="7" t="s">
        <v>35</v>
      </c>
      <c r="L154" s="8"/>
      <c r="M154" s="4"/>
      <c r="N154" s="4"/>
      <c r="O154" s="4"/>
      <c r="P154" s="4"/>
      <c r="Q154" s="4"/>
      <c r="R154" s="7" t="s">
        <v>36</v>
      </c>
      <c r="S154" s="4" t="str">
        <f>'Ingest Template'!J154</f>
        <v/>
      </c>
      <c r="T154" s="4" t="str">
        <f>'Ingest Template'!I154</f>
        <v/>
      </c>
      <c r="U154" s="4" t="str">
        <f>LOWER(SUBSTITUTE(SUBSTITUTE(SUBSTITUTE(SUBSTITUTE(SUBSTITUTE('Ingest Template'!K154,"https:",""),"www.",""),"/",""),"?hl=en",""),"instagram.com",""))</f>
        <v/>
      </c>
      <c r="V154" s="9" t="str">
        <f>'Ingest Template'!L154</f>
        <v/>
      </c>
      <c r="W154" s="9" t="str">
        <f>'Ingest Template'!M154</f>
        <v/>
      </c>
      <c r="X154" s="4" t="str">
        <f>SUBSTITUTE(SUBSTITUTE(SUBSTITUTE('Ingest Template'!N154,"http:",""),"https:",""),"/","")</f>
        <v/>
      </c>
      <c r="Y154" s="4" t="str">
        <f t="array" ref="Y154">IF('Ingest Template'!A154="Standard",(IF(ISBLANK('Ingest Template'!O154),"", 'Ingest Template'!O154&amp;"|DAR")),(IF(ISBLANK('Ingest Template'!O154),"", 'Ingest Template'!O154&amp;"|Film Ops")))</f>
        <v/>
      </c>
      <c r="Z154" s="4"/>
      <c r="AA154" s="4" t="str">
        <f>'Ingest Template'!E154</f>
        <v/>
      </c>
      <c r="AB154" s="7"/>
      <c r="AC154" s="4" t="str">
        <f t="array" ref="AC154">IF('Ingest Template'!A154="Standard",(CONCATENATE(IF(ISBLANK('Ingest Template'!F154),"", 'Ingest Template'!F154&amp;"|DAR"),CHAR(10), IF(ISBLANK('Ingest Template'!G154),"", 'Ingest Template'!G154&amp;"|DAR"),CHAR(10), IF(ISBLANK('Ingest Template'!H154),"", 'Ingest Template'!H154&amp;"|DAR"))),(CONCATENATE(IF(ISBLANK('Ingest Template'!F154),"", 'Ingest Template'!F154&amp;"|Film Ops"),CHAR(10), IF(ISBLANK('Ingest Template'!G154),"", 'Ingest Template'!G154&amp;"|Film Ops"),CHAR(10), IF(ISBLANK('Ingest Template'!H154),"", 'Ingest Template'!H154&amp;"|Film Ops"))))</f>
        <v>
</v>
      </c>
      <c r="AD154" s="4"/>
      <c r="AE154" s="4"/>
      <c r="AF154" s="10"/>
      <c r="AG154" s="4"/>
      <c r="AH154" s="4"/>
    </row>
    <row r="155">
      <c r="A155" s="4"/>
      <c r="B155" s="4" t="str">
        <f>'Ingest Template'!B155&amp;IF('Ingest Template'!A155 = "Standard", " - DAR","")</f>
        <v/>
      </c>
      <c r="C155" s="5" t="s">
        <v>34</v>
      </c>
      <c r="D155" s="5" t="str">
        <f>CONCATENATE('Ingest Template'!C155,'Ingest Template'!D155)</f>
        <v/>
      </c>
      <c r="E155" s="4"/>
      <c r="F155" s="4"/>
      <c r="G155" s="4"/>
      <c r="H155" s="6"/>
      <c r="I155" s="6" t="str">
        <f>iF('Ingest Template'!A155="Standard","Pristine Brand","Unknown")</f>
        <v>Unknown</v>
      </c>
      <c r="J155" s="4" t="str">
        <f>iF('Ingest Template'!A155="Standard","LF // Beverages","Competitive View")</f>
        <v>Competitive View</v>
      </c>
      <c r="K155" s="7" t="s">
        <v>35</v>
      </c>
      <c r="L155" s="8"/>
      <c r="M155" s="4"/>
      <c r="N155" s="4"/>
      <c r="O155" s="4"/>
      <c r="P155" s="4"/>
      <c r="Q155" s="4"/>
      <c r="R155" s="7" t="s">
        <v>36</v>
      </c>
      <c r="S155" s="4" t="str">
        <f>'Ingest Template'!J155</f>
        <v/>
      </c>
      <c r="T155" s="4" t="str">
        <f>'Ingest Template'!I155</f>
        <v/>
      </c>
      <c r="U155" s="4" t="str">
        <f>LOWER(SUBSTITUTE(SUBSTITUTE(SUBSTITUTE(SUBSTITUTE(SUBSTITUTE('Ingest Template'!K155,"https:",""),"www.",""),"/",""),"?hl=en",""),"instagram.com",""))</f>
        <v/>
      </c>
      <c r="V155" s="9" t="str">
        <f>'Ingest Template'!L155</f>
        <v/>
      </c>
      <c r="W155" s="9" t="str">
        <f>'Ingest Template'!M155</f>
        <v/>
      </c>
      <c r="X155" s="4" t="str">
        <f>SUBSTITUTE(SUBSTITUTE(SUBSTITUTE('Ingest Template'!N155,"http:",""),"https:",""),"/","")</f>
        <v/>
      </c>
      <c r="Y155" s="4" t="str">
        <f t="array" ref="Y155">IF('Ingest Template'!A155="Standard",(IF(ISBLANK('Ingest Template'!O155),"", 'Ingest Template'!O155&amp;"|DAR")),(IF(ISBLANK('Ingest Template'!O155),"", 'Ingest Template'!O155&amp;"|Film Ops")))</f>
        <v/>
      </c>
      <c r="Z155" s="4"/>
      <c r="AA155" s="4" t="str">
        <f>'Ingest Template'!E155</f>
        <v/>
      </c>
      <c r="AB155" s="7"/>
      <c r="AC155" s="4" t="str">
        <f t="array" ref="AC155">IF('Ingest Template'!A155="Standard",(CONCATENATE(IF(ISBLANK('Ingest Template'!F155),"", 'Ingest Template'!F155&amp;"|DAR"),CHAR(10), IF(ISBLANK('Ingest Template'!G155),"", 'Ingest Template'!G155&amp;"|DAR"),CHAR(10), IF(ISBLANK('Ingest Template'!H155),"", 'Ingest Template'!H155&amp;"|DAR"))),(CONCATENATE(IF(ISBLANK('Ingest Template'!F155),"", 'Ingest Template'!F155&amp;"|Film Ops"),CHAR(10), IF(ISBLANK('Ingest Template'!G155),"", 'Ingest Template'!G155&amp;"|Film Ops"),CHAR(10), IF(ISBLANK('Ingest Template'!H155),"", 'Ingest Template'!H155&amp;"|Film Ops"))))</f>
        <v>
</v>
      </c>
      <c r="AD155" s="4"/>
      <c r="AE155" s="4"/>
      <c r="AF155" s="10"/>
      <c r="AG155" s="4"/>
      <c r="AH155" s="4"/>
    </row>
    <row r="156">
      <c r="A156" s="4"/>
      <c r="B156" s="4" t="str">
        <f>'Ingest Template'!B156&amp;IF('Ingest Template'!A156 = "Standard", " - DAR","")</f>
        <v/>
      </c>
      <c r="C156" s="5" t="s">
        <v>34</v>
      </c>
      <c r="D156" s="5" t="str">
        <f>CONCATENATE('Ingest Template'!C156,'Ingest Template'!D156)</f>
        <v/>
      </c>
      <c r="E156" s="4"/>
      <c r="F156" s="4"/>
      <c r="G156" s="4"/>
      <c r="H156" s="6"/>
      <c r="I156" s="6" t="str">
        <f>iF('Ingest Template'!A156="Standard","Pristine Brand","Unknown")</f>
        <v>Unknown</v>
      </c>
      <c r="J156" s="4" t="str">
        <f>iF('Ingest Template'!A156="Standard","LF // Beverages","Competitive View")</f>
        <v>Competitive View</v>
      </c>
      <c r="K156" s="7" t="s">
        <v>35</v>
      </c>
      <c r="L156" s="8"/>
      <c r="M156" s="4"/>
      <c r="N156" s="4"/>
      <c r="O156" s="4"/>
      <c r="P156" s="4"/>
      <c r="Q156" s="4"/>
      <c r="R156" s="7" t="s">
        <v>36</v>
      </c>
      <c r="S156" s="4" t="str">
        <f>'Ingest Template'!J156</f>
        <v/>
      </c>
      <c r="T156" s="4" t="str">
        <f>'Ingest Template'!I156</f>
        <v/>
      </c>
      <c r="U156" s="4" t="str">
        <f>LOWER(SUBSTITUTE(SUBSTITUTE(SUBSTITUTE(SUBSTITUTE(SUBSTITUTE('Ingest Template'!K156,"https:",""),"www.",""),"/",""),"?hl=en",""),"instagram.com",""))</f>
        <v/>
      </c>
      <c r="V156" s="9" t="str">
        <f>'Ingest Template'!L156</f>
        <v/>
      </c>
      <c r="W156" s="9" t="str">
        <f>'Ingest Template'!M156</f>
        <v/>
      </c>
      <c r="X156" s="4" t="str">
        <f>SUBSTITUTE(SUBSTITUTE(SUBSTITUTE('Ingest Template'!N156,"http:",""),"https:",""),"/","")</f>
        <v/>
      </c>
      <c r="Y156" s="4" t="str">
        <f t="array" ref="Y156">IF('Ingest Template'!A156="Standard",(IF(ISBLANK('Ingest Template'!O156),"", 'Ingest Template'!O156&amp;"|DAR")),(IF(ISBLANK('Ingest Template'!O156),"", 'Ingest Template'!O156&amp;"|Film Ops")))</f>
        <v/>
      </c>
      <c r="Z156" s="4"/>
      <c r="AA156" s="4" t="str">
        <f>'Ingest Template'!E156</f>
        <v/>
      </c>
      <c r="AB156" s="7"/>
      <c r="AC156" s="4" t="str">
        <f t="array" ref="AC156">IF('Ingest Template'!A156="Standard",(CONCATENATE(IF(ISBLANK('Ingest Template'!F156),"", 'Ingest Template'!F156&amp;"|DAR"),CHAR(10), IF(ISBLANK('Ingest Template'!G156),"", 'Ingest Template'!G156&amp;"|DAR"),CHAR(10), IF(ISBLANK('Ingest Template'!H156),"", 'Ingest Template'!H156&amp;"|DAR"))),(CONCATENATE(IF(ISBLANK('Ingest Template'!F156),"", 'Ingest Template'!F156&amp;"|Film Ops"),CHAR(10), IF(ISBLANK('Ingest Template'!G156),"", 'Ingest Template'!G156&amp;"|Film Ops"),CHAR(10), IF(ISBLANK('Ingest Template'!H156),"", 'Ingest Template'!H156&amp;"|Film Ops"))))</f>
        <v>
</v>
      </c>
      <c r="AD156" s="4"/>
      <c r="AE156" s="4"/>
      <c r="AF156" s="10"/>
      <c r="AG156" s="4"/>
      <c r="AH156" s="4"/>
    </row>
    <row r="157">
      <c r="A157" s="4"/>
      <c r="B157" s="4" t="str">
        <f>'Ingest Template'!B157&amp;IF('Ingest Template'!A157 = "Standard", " - DAR","")</f>
        <v/>
      </c>
      <c r="C157" s="5" t="s">
        <v>34</v>
      </c>
      <c r="D157" s="5" t="str">
        <f>CONCATENATE('Ingest Template'!C157,'Ingest Template'!D157)</f>
        <v/>
      </c>
      <c r="E157" s="4"/>
      <c r="F157" s="4"/>
      <c r="G157" s="4"/>
      <c r="H157" s="6"/>
      <c r="I157" s="6" t="str">
        <f>iF('Ingest Template'!A157="Standard","Pristine Brand","Unknown")</f>
        <v>Unknown</v>
      </c>
      <c r="J157" s="4" t="str">
        <f>iF('Ingest Template'!A157="Standard","LF // Beverages","Competitive View")</f>
        <v>Competitive View</v>
      </c>
      <c r="K157" s="7" t="s">
        <v>35</v>
      </c>
      <c r="L157" s="8"/>
      <c r="M157" s="4"/>
      <c r="N157" s="4"/>
      <c r="O157" s="4"/>
      <c r="P157" s="4"/>
      <c r="Q157" s="4"/>
      <c r="R157" s="7" t="s">
        <v>36</v>
      </c>
      <c r="S157" s="4" t="str">
        <f>'Ingest Template'!J157</f>
        <v/>
      </c>
      <c r="T157" s="4" t="str">
        <f>'Ingest Template'!I157</f>
        <v/>
      </c>
      <c r="U157" s="4" t="str">
        <f>LOWER(SUBSTITUTE(SUBSTITUTE(SUBSTITUTE(SUBSTITUTE(SUBSTITUTE('Ingest Template'!K157,"https:",""),"www.",""),"/",""),"?hl=en",""),"instagram.com",""))</f>
        <v/>
      </c>
      <c r="V157" s="9" t="str">
        <f>'Ingest Template'!L157</f>
        <v/>
      </c>
      <c r="W157" s="9" t="str">
        <f>'Ingest Template'!M157</f>
        <v/>
      </c>
      <c r="X157" s="4" t="str">
        <f>SUBSTITUTE(SUBSTITUTE(SUBSTITUTE('Ingest Template'!N157,"http:",""),"https:",""),"/","")</f>
        <v/>
      </c>
      <c r="Y157" s="4" t="str">
        <f t="array" ref="Y157">IF('Ingest Template'!A157="Standard",(IF(ISBLANK('Ingest Template'!O157),"", 'Ingest Template'!O157&amp;"|DAR")),(IF(ISBLANK('Ingest Template'!O157),"", 'Ingest Template'!O157&amp;"|Film Ops")))</f>
        <v/>
      </c>
      <c r="Z157" s="4"/>
      <c r="AA157" s="4" t="str">
        <f>'Ingest Template'!E157</f>
        <v/>
      </c>
      <c r="AB157" s="7"/>
      <c r="AC157" s="4" t="str">
        <f t="array" ref="AC157">IF('Ingest Template'!A157="Standard",(CONCATENATE(IF(ISBLANK('Ingest Template'!F157),"", 'Ingest Template'!F157&amp;"|DAR"),CHAR(10), IF(ISBLANK('Ingest Template'!G157),"", 'Ingest Template'!G157&amp;"|DAR"),CHAR(10), IF(ISBLANK('Ingest Template'!H157),"", 'Ingest Template'!H157&amp;"|DAR"))),(CONCATENATE(IF(ISBLANK('Ingest Template'!F157),"", 'Ingest Template'!F157&amp;"|Film Ops"),CHAR(10), IF(ISBLANK('Ingest Template'!G157),"", 'Ingest Template'!G157&amp;"|Film Ops"),CHAR(10), IF(ISBLANK('Ingest Template'!H157),"", 'Ingest Template'!H157&amp;"|Film Ops"))))</f>
        <v>
</v>
      </c>
      <c r="AD157" s="4"/>
      <c r="AE157" s="4"/>
      <c r="AF157" s="10"/>
      <c r="AG157" s="4"/>
      <c r="AH157" s="4"/>
    </row>
    <row r="158">
      <c r="A158" s="4"/>
      <c r="B158" s="4" t="str">
        <f>'Ingest Template'!B158&amp;IF('Ingest Template'!A158 = "Standard", " - DAR","")</f>
        <v/>
      </c>
      <c r="C158" s="5" t="s">
        <v>34</v>
      </c>
      <c r="D158" s="5" t="str">
        <f>CONCATENATE('Ingest Template'!C158,'Ingest Template'!D158)</f>
        <v/>
      </c>
      <c r="E158" s="4"/>
      <c r="F158" s="4"/>
      <c r="G158" s="4"/>
      <c r="H158" s="6"/>
      <c r="I158" s="6" t="str">
        <f>iF('Ingest Template'!A158="Standard","Pristine Brand","Unknown")</f>
        <v>Unknown</v>
      </c>
      <c r="J158" s="4" t="str">
        <f>iF('Ingest Template'!A158="Standard","LF // Beverages","Competitive View")</f>
        <v>Competitive View</v>
      </c>
      <c r="K158" s="7" t="s">
        <v>35</v>
      </c>
      <c r="L158" s="8"/>
      <c r="M158" s="4"/>
      <c r="N158" s="4"/>
      <c r="O158" s="4"/>
      <c r="P158" s="4"/>
      <c r="Q158" s="4"/>
      <c r="R158" s="7" t="s">
        <v>36</v>
      </c>
      <c r="S158" s="4" t="str">
        <f>'Ingest Template'!J158</f>
        <v/>
      </c>
      <c r="T158" s="4" t="str">
        <f>'Ingest Template'!I158</f>
        <v/>
      </c>
      <c r="U158" s="4" t="str">
        <f>LOWER(SUBSTITUTE(SUBSTITUTE(SUBSTITUTE(SUBSTITUTE(SUBSTITUTE('Ingest Template'!K158,"https:",""),"www.",""),"/",""),"?hl=en",""),"instagram.com",""))</f>
        <v/>
      </c>
      <c r="V158" s="9" t="str">
        <f>'Ingest Template'!L158</f>
        <v/>
      </c>
      <c r="W158" s="9" t="str">
        <f>'Ingest Template'!M158</f>
        <v/>
      </c>
      <c r="X158" s="4" t="str">
        <f>SUBSTITUTE(SUBSTITUTE(SUBSTITUTE('Ingest Template'!N158,"http:",""),"https:",""),"/","")</f>
        <v/>
      </c>
      <c r="Y158" s="4" t="str">
        <f t="array" ref="Y158">IF('Ingest Template'!A158="Standard",(IF(ISBLANK('Ingest Template'!O158),"", 'Ingest Template'!O158&amp;"|DAR")),(IF(ISBLANK('Ingest Template'!O158),"", 'Ingest Template'!O158&amp;"|Film Ops")))</f>
        <v/>
      </c>
      <c r="Z158" s="4"/>
      <c r="AA158" s="4" t="str">
        <f>'Ingest Template'!E158</f>
        <v/>
      </c>
      <c r="AB158" s="7"/>
      <c r="AC158" s="4" t="str">
        <f t="array" ref="AC158">IF('Ingest Template'!A158="Standard",(CONCATENATE(IF(ISBLANK('Ingest Template'!F158),"", 'Ingest Template'!F158&amp;"|DAR"),CHAR(10), IF(ISBLANK('Ingest Template'!G158),"", 'Ingest Template'!G158&amp;"|DAR"),CHAR(10), IF(ISBLANK('Ingest Template'!H158),"", 'Ingest Template'!H158&amp;"|DAR"))),(CONCATENATE(IF(ISBLANK('Ingest Template'!F158),"", 'Ingest Template'!F158&amp;"|Film Ops"),CHAR(10), IF(ISBLANK('Ingest Template'!G158),"", 'Ingest Template'!G158&amp;"|Film Ops"),CHAR(10), IF(ISBLANK('Ingest Template'!H158),"", 'Ingest Template'!H158&amp;"|Film Ops"))))</f>
        <v>
</v>
      </c>
      <c r="AD158" s="4"/>
      <c r="AE158" s="4"/>
      <c r="AF158" s="10"/>
      <c r="AG158" s="4"/>
      <c r="AH158" s="4"/>
    </row>
    <row r="159">
      <c r="A159" s="4"/>
      <c r="B159" s="4" t="str">
        <f>'Ingest Template'!B159&amp;IF('Ingest Template'!A159 = "Standard", " - DAR","")</f>
        <v/>
      </c>
      <c r="C159" s="5" t="s">
        <v>34</v>
      </c>
      <c r="D159" s="5" t="str">
        <f>CONCATENATE('Ingest Template'!C159,'Ingest Template'!D159)</f>
        <v/>
      </c>
      <c r="E159" s="4"/>
      <c r="F159" s="4"/>
      <c r="G159" s="4"/>
      <c r="H159" s="6"/>
      <c r="I159" s="6" t="str">
        <f>iF('Ingest Template'!A159="Standard","Pristine Brand","Unknown")</f>
        <v>Unknown</v>
      </c>
      <c r="J159" s="4" t="str">
        <f>iF('Ingest Template'!A159="Standard","LF // Beverages","Competitive View")</f>
        <v>Competitive View</v>
      </c>
      <c r="K159" s="7" t="s">
        <v>35</v>
      </c>
      <c r="L159" s="8"/>
      <c r="M159" s="4"/>
      <c r="N159" s="4"/>
      <c r="O159" s="4"/>
      <c r="P159" s="4"/>
      <c r="Q159" s="4"/>
      <c r="R159" s="7" t="s">
        <v>36</v>
      </c>
      <c r="S159" s="4" t="str">
        <f>'Ingest Template'!J159</f>
        <v/>
      </c>
      <c r="T159" s="4" t="str">
        <f>'Ingest Template'!I159</f>
        <v/>
      </c>
      <c r="U159" s="4" t="str">
        <f>LOWER(SUBSTITUTE(SUBSTITUTE(SUBSTITUTE(SUBSTITUTE(SUBSTITUTE('Ingest Template'!K159,"https:",""),"www.",""),"/",""),"?hl=en",""),"instagram.com",""))</f>
        <v/>
      </c>
      <c r="V159" s="9" t="str">
        <f>'Ingest Template'!L159</f>
        <v/>
      </c>
      <c r="W159" s="9" t="str">
        <f>'Ingest Template'!M159</f>
        <v/>
      </c>
      <c r="X159" s="4" t="str">
        <f>SUBSTITUTE(SUBSTITUTE(SUBSTITUTE('Ingest Template'!N159,"http:",""),"https:",""),"/","")</f>
        <v/>
      </c>
      <c r="Y159" s="4" t="str">
        <f t="array" ref="Y159">IF('Ingest Template'!A159="Standard",(IF(ISBLANK('Ingest Template'!O159),"", 'Ingest Template'!O159&amp;"|DAR")),(IF(ISBLANK('Ingest Template'!O159),"", 'Ingest Template'!O159&amp;"|Film Ops")))</f>
        <v/>
      </c>
      <c r="Z159" s="4"/>
      <c r="AA159" s="4" t="str">
        <f>'Ingest Template'!E159</f>
        <v/>
      </c>
      <c r="AB159" s="7"/>
      <c r="AC159" s="4" t="str">
        <f t="array" ref="AC159">IF('Ingest Template'!A159="Standard",(CONCATENATE(IF(ISBLANK('Ingest Template'!F159),"", 'Ingest Template'!F159&amp;"|DAR"),CHAR(10), IF(ISBLANK('Ingest Template'!G159),"", 'Ingest Template'!G159&amp;"|DAR"),CHAR(10), IF(ISBLANK('Ingest Template'!H159),"", 'Ingest Template'!H159&amp;"|DAR"))),(CONCATENATE(IF(ISBLANK('Ingest Template'!F159),"", 'Ingest Template'!F159&amp;"|Film Ops"),CHAR(10), IF(ISBLANK('Ingest Template'!G159),"", 'Ingest Template'!G159&amp;"|Film Ops"),CHAR(10), IF(ISBLANK('Ingest Template'!H159),"", 'Ingest Template'!H159&amp;"|Film Ops"))))</f>
        <v>
</v>
      </c>
      <c r="AD159" s="4"/>
      <c r="AE159" s="4"/>
      <c r="AF159" s="10"/>
      <c r="AG159" s="4"/>
      <c r="AH159" s="4"/>
    </row>
    <row r="160">
      <c r="A160" s="4"/>
      <c r="B160" s="4" t="str">
        <f>'Ingest Template'!B160&amp;IF('Ingest Template'!A160 = "Standard", " - DAR","")</f>
        <v/>
      </c>
      <c r="C160" s="5" t="s">
        <v>34</v>
      </c>
      <c r="D160" s="5" t="str">
        <f>CONCATENATE('Ingest Template'!C160,'Ingest Template'!D160)</f>
        <v/>
      </c>
      <c r="E160" s="4"/>
      <c r="F160" s="4"/>
      <c r="G160" s="4"/>
      <c r="H160" s="6"/>
      <c r="I160" s="6" t="str">
        <f>iF('Ingest Template'!A160="Standard","Pristine Brand","Unknown")</f>
        <v>Unknown</v>
      </c>
      <c r="J160" s="4" t="str">
        <f>iF('Ingest Template'!A160="Standard","LF // Beverages","Competitive View")</f>
        <v>Competitive View</v>
      </c>
      <c r="K160" s="7" t="s">
        <v>35</v>
      </c>
      <c r="L160" s="8"/>
      <c r="M160" s="4"/>
      <c r="N160" s="4"/>
      <c r="O160" s="4"/>
      <c r="P160" s="4"/>
      <c r="Q160" s="4"/>
      <c r="R160" s="7" t="s">
        <v>36</v>
      </c>
      <c r="S160" s="4" t="str">
        <f>'Ingest Template'!J160</f>
        <v/>
      </c>
      <c r="T160" s="4" t="str">
        <f>'Ingest Template'!I160</f>
        <v/>
      </c>
      <c r="U160" s="4" t="str">
        <f>LOWER(SUBSTITUTE(SUBSTITUTE(SUBSTITUTE(SUBSTITUTE(SUBSTITUTE('Ingest Template'!K160,"https:",""),"www.",""),"/",""),"?hl=en",""),"instagram.com",""))</f>
        <v/>
      </c>
      <c r="V160" s="9" t="str">
        <f>'Ingest Template'!L160</f>
        <v/>
      </c>
      <c r="W160" s="9" t="str">
        <f>'Ingest Template'!M160</f>
        <v/>
      </c>
      <c r="X160" s="4" t="str">
        <f>SUBSTITUTE(SUBSTITUTE(SUBSTITUTE('Ingest Template'!N160,"http:",""),"https:",""),"/","")</f>
        <v/>
      </c>
      <c r="Y160" s="4" t="str">
        <f t="array" ref="Y160">IF('Ingest Template'!A160="Standard",(IF(ISBLANK('Ingest Template'!O160),"", 'Ingest Template'!O160&amp;"|DAR")),(IF(ISBLANK('Ingest Template'!O160),"", 'Ingest Template'!O160&amp;"|Film Ops")))</f>
        <v/>
      </c>
      <c r="Z160" s="4"/>
      <c r="AA160" s="4" t="str">
        <f>'Ingest Template'!E160</f>
        <v/>
      </c>
      <c r="AB160" s="7"/>
      <c r="AC160" s="4" t="str">
        <f t="array" ref="AC160">IF('Ingest Template'!A160="Standard",(CONCATENATE(IF(ISBLANK('Ingest Template'!F160),"", 'Ingest Template'!F160&amp;"|DAR"),CHAR(10), IF(ISBLANK('Ingest Template'!G160),"", 'Ingest Template'!G160&amp;"|DAR"),CHAR(10), IF(ISBLANK('Ingest Template'!H160),"", 'Ingest Template'!H160&amp;"|DAR"))),(CONCATENATE(IF(ISBLANK('Ingest Template'!F160),"", 'Ingest Template'!F160&amp;"|Film Ops"),CHAR(10), IF(ISBLANK('Ingest Template'!G160),"", 'Ingest Template'!G160&amp;"|Film Ops"),CHAR(10), IF(ISBLANK('Ingest Template'!H160),"", 'Ingest Template'!H160&amp;"|Film Ops"))))</f>
        <v>
</v>
      </c>
      <c r="AD160" s="4"/>
      <c r="AE160" s="4"/>
      <c r="AF160" s="10"/>
      <c r="AG160" s="4"/>
      <c r="AH160" s="4"/>
    </row>
    <row r="161">
      <c r="A161" s="4"/>
      <c r="B161" s="4" t="str">
        <f>'Ingest Template'!B161&amp;IF('Ingest Template'!A161 = "Standard", " - DAR","")</f>
        <v/>
      </c>
      <c r="C161" s="5" t="s">
        <v>34</v>
      </c>
      <c r="D161" s="5" t="str">
        <f>CONCATENATE('Ingest Template'!C161,'Ingest Template'!D161)</f>
        <v/>
      </c>
      <c r="E161" s="4"/>
      <c r="F161" s="4"/>
      <c r="G161" s="4"/>
      <c r="H161" s="6"/>
      <c r="I161" s="6" t="str">
        <f>iF('Ingest Template'!A161="Standard","Pristine Brand","Unknown")</f>
        <v>Unknown</v>
      </c>
      <c r="J161" s="4" t="str">
        <f>iF('Ingest Template'!A161="Standard","LF // Beverages","Competitive View")</f>
        <v>Competitive View</v>
      </c>
      <c r="K161" s="7" t="s">
        <v>35</v>
      </c>
      <c r="L161" s="8"/>
      <c r="M161" s="4"/>
      <c r="N161" s="4"/>
      <c r="O161" s="4"/>
      <c r="P161" s="4"/>
      <c r="Q161" s="4"/>
      <c r="R161" s="7" t="s">
        <v>36</v>
      </c>
      <c r="S161" s="4" t="str">
        <f>'Ingest Template'!J161</f>
        <v/>
      </c>
      <c r="T161" s="4" t="str">
        <f>'Ingest Template'!I161</f>
        <v/>
      </c>
      <c r="U161" s="4" t="str">
        <f>LOWER(SUBSTITUTE(SUBSTITUTE(SUBSTITUTE(SUBSTITUTE(SUBSTITUTE('Ingest Template'!K161,"https:",""),"www.",""),"/",""),"?hl=en",""),"instagram.com",""))</f>
        <v/>
      </c>
      <c r="V161" s="9" t="str">
        <f>'Ingest Template'!L161</f>
        <v/>
      </c>
      <c r="W161" s="9" t="str">
        <f>'Ingest Template'!M161</f>
        <v/>
      </c>
      <c r="X161" s="4" t="str">
        <f>SUBSTITUTE(SUBSTITUTE(SUBSTITUTE('Ingest Template'!N161,"http:",""),"https:",""),"/","")</f>
        <v/>
      </c>
      <c r="Y161" s="4" t="str">
        <f t="array" ref="Y161">IF('Ingest Template'!A161="Standard",(IF(ISBLANK('Ingest Template'!O161),"", 'Ingest Template'!O161&amp;"|DAR")),(IF(ISBLANK('Ingest Template'!O161),"", 'Ingest Template'!O161&amp;"|Film Ops")))</f>
        <v/>
      </c>
      <c r="Z161" s="4"/>
      <c r="AA161" s="4" t="str">
        <f>'Ingest Template'!E161</f>
        <v/>
      </c>
      <c r="AB161" s="7"/>
      <c r="AC161" s="4" t="str">
        <f t="array" ref="AC161">IF('Ingest Template'!A161="Standard",(CONCATENATE(IF(ISBLANK('Ingest Template'!F161),"", 'Ingest Template'!F161&amp;"|DAR"),CHAR(10), IF(ISBLANK('Ingest Template'!G161),"", 'Ingest Template'!G161&amp;"|DAR"),CHAR(10), IF(ISBLANK('Ingest Template'!H161),"", 'Ingest Template'!H161&amp;"|DAR"))),(CONCATENATE(IF(ISBLANK('Ingest Template'!F161),"", 'Ingest Template'!F161&amp;"|Film Ops"),CHAR(10), IF(ISBLANK('Ingest Template'!G161),"", 'Ingest Template'!G161&amp;"|Film Ops"),CHAR(10), IF(ISBLANK('Ingest Template'!H161),"", 'Ingest Template'!H161&amp;"|Film Ops"))))</f>
        <v>
</v>
      </c>
      <c r="AD161" s="4"/>
      <c r="AE161" s="4"/>
      <c r="AF161" s="10"/>
      <c r="AG161" s="4"/>
      <c r="AH161" s="4"/>
    </row>
    <row r="162">
      <c r="A162" s="4"/>
      <c r="B162" s="4" t="str">
        <f>'Ingest Template'!B162&amp;IF('Ingest Template'!A162 = "Standard", " - DAR","")</f>
        <v/>
      </c>
      <c r="C162" s="5" t="s">
        <v>34</v>
      </c>
      <c r="D162" s="5" t="str">
        <f>CONCATENATE('Ingest Template'!C162,'Ingest Template'!D162)</f>
        <v/>
      </c>
      <c r="E162" s="4"/>
      <c r="F162" s="4"/>
      <c r="G162" s="4"/>
      <c r="H162" s="6"/>
      <c r="I162" s="6" t="str">
        <f>iF('Ingest Template'!A162="Standard","Pristine Brand","Unknown")</f>
        <v>Unknown</v>
      </c>
      <c r="J162" s="4" t="str">
        <f>iF('Ingest Template'!A162="Standard","LF // Beverages","Competitive View")</f>
        <v>Competitive View</v>
      </c>
      <c r="K162" s="7" t="s">
        <v>35</v>
      </c>
      <c r="L162" s="8"/>
      <c r="M162" s="4"/>
      <c r="N162" s="4"/>
      <c r="O162" s="4"/>
      <c r="P162" s="4"/>
      <c r="Q162" s="4"/>
      <c r="R162" s="7" t="s">
        <v>36</v>
      </c>
      <c r="S162" s="4" t="str">
        <f>'Ingest Template'!J162</f>
        <v/>
      </c>
      <c r="T162" s="4" t="str">
        <f>'Ingest Template'!I162</f>
        <v/>
      </c>
      <c r="U162" s="4" t="str">
        <f>LOWER(SUBSTITUTE(SUBSTITUTE(SUBSTITUTE(SUBSTITUTE(SUBSTITUTE('Ingest Template'!K162,"https:",""),"www.",""),"/",""),"?hl=en",""),"instagram.com",""))</f>
        <v/>
      </c>
      <c r="V162" s="9" t="str">
        <f>'Ingest Template'!L162</f>
        <v/>
      </c>
      <c r="W162" s="9" t="str">
        <f>'Ingest Template'!M162</f>
        <v/>
      </c>
      <c r="X162" s="4" t="str">
        <f>SUBSTITUTE(SUBSTITUTE(SUBSTITUTE('Ingest Template'!N162,"http:",""),"https:",""),"/","")</f>
        <v/>
      </c>
      <c r="Y162" s="4" t="str">
        <f t="array" ref="Y162">IF('Ingest Template'!A162="Standard",(IF(ISBLANK('Ingest Template'!O162),"", 'Ingest Template'!O162&amp;"|DAR")),(IF(ISBLANK('Ingest Template'!O162),"", 'Ingest Template'!O162&amp;"|Film Ops")))</f>
        <v/>
      </c>
      <c r="Z162" s="4"/>
      <c r="AA162" s="4" t="str">
        <f>'Ingest Template'!E162</f>
        <v/>
      </c>
      <c r="AB162" s="7"/>
      <c r="AC162" s="4" t="str">
        <f t="array" ref="AC162">IF('Ingest Template'!A162="Standard",(CONCATENATE(IF(ISBLANK('Ingest Template'!F162),"", 'Ingest Template'!F162&amp;"|DAR"),CHAR(10), IF(ISBLANK('Ingest Template'!G162),"", 'Ingest Template'!G162&amp;"|DAR"),CHAR(10), IF(ISBLANK('Ingest Template'!H162),"", 'Ingest Template'!H162&amp;"|DAR"))),(CONCATENATE(IF(ISBLANK('Ingest Template'!F162),"", 'Ingest Template'!F162&amp;"|Film Ops"),CHAR(10), IF(ISBLANK('Ingest Template'!G162),"", 'Ingest Template'!G162&amp;"|Film Ops"),CHAR(10), IF(ISBLANK('Ingest Template'!H162),"", 'Ingest Template'!H162&amp;"|Film Ops"))))</f>
        <v>
</v>
      </c>
      <c r="AD162" s="4"/>
      <c r="AE162" s="4"/>
      <c r="AF162" s="10"/>
      <c r="AG162" s="4"/>
      <c r="AH162" s="4"/>
    </row>
    <row r="163">
      <c r="A163" s="4"/>
      <c r="B163" s="4" t="str">
        <f>'Ingest Template'!B163&amp;IF('Ingest Template'!A163 = "Standard", " - DAR","")</f>
        <v/>
      </c>
      <c r="C163" s="5" t="s">
        <v>34</v>
      </c>
      <c r="D163" s="5" t="str">
        <f>CONCATENATE('Ingest Template'!C163,'Ingest Template'!D163)</f>
        <v/>
      </c>
      <c r="E163" s="4"/>
      <c r="F163" s="4"/>
      <c r="G163" s="4"/>
      <c r="H163" s="6"/>
      <c r="I163" s="6" t="str">
        <f>iF('Ingest Template'!A163="Standard","Pristine Brand","Unknown")</f>
        <v>Unknown</v>
      </c>
      <c r="J163" s="4" t="str">
        <f>iF('Ingest Template'!A163="Standard","LF // Beverages","Competitive View")</f>
        <v>Competitive View</v>
      </c>
      <c r="K163" s="7" t="s">
        <v>35</v>
      </c>
      <c r="L163" s="8"/>
      <c r="M163" s="4"/>
      <c r="N163" s="4"/>
      <c r="O163" s="4"/>
      <c r="P163" s="4"/>
      <c r="Q163" s="4"/>
      <c r="R163" s="7" t="s">
        <v>36</v>
      </c>
      <c r="S163" s="4" t="str">
        <f>'Ingest Template'!J163</f>
        <v/>
      </c>
      <c r="T163" s="4" t="str">
        <f>'Ingest Template'!I163</f>
        <v/>
      </c>
      <c r="U163" s="4" t="str">
        <f>LOWER(SUBSTITUTE(SUBSTITUTE(SUBSTITUTE(SUBSTITUTE(SUBSTITUTE('Ingest Template'!K163,"https:",""),"www.",""),"/",""),"?hl=en",""),"instagram.com",""))</f>
        <v/>
      </c>
      <c r="V163" s="9" t="str">
        <f>'Ingest Template'!L163</f>
        <v/>
      </c>
      <c r="W163" s="9" t="str">
        <f>'Ingest Template'!M163</f>
        <v/>
      </c>
      <c r="X163" s="4" t="str">
        <f>SUBSTITUTE(SUBSTITUTE(SUBSTITUTE('Ingest Template'!N163,"http:",""),"https:",""),"/","")</f>
        <v/>
      </c>
      <c r="Y163" s="4" t="str">
        <f t="array" ref="Y163">IF('Ingest Template'!A163="Standard",(IF(ISBLANK('Ingest Template'!O163),"", 'Ingest Template'!O163&amp;"|DAR")),(IF(ISBLANK('Ingest Template'!O163),"", 'Ingest Template'!O163&amp;"|Film Ops")))</f>
        <v/>
      </c>
      <c r="Z163" s="4"/>
      <c r="AA163" s="4" t="str">
        <f>'Ingest Template'!E163</f>
        <v/>
      </c>
      <c r="AB163" s="7"/>
      <c r="AC163" s="4" t="str">
        <f t="array" ref="AC163">IF('Ingest Template'!A163="Standard",(CONCATENATE(IF(ISBLANK('Ingest Template'!F163),"", 'Ingest Template'!F163&amp;"|DAR"),CHAR(10), IF(ISBLANK('Ingest Template'!G163),"", 'Ingest Template'!G163&amp;"|DAR"),CHAR(10), IF(ISBLANK('Ingest Template'!H163),"", 'Ingest Template'!H163&amp;"|DAR"))),(CONCATENATE(IF(ISBLANK('Ingest Template'!F163),"", 'Ingest Template'!F163&amp;"|Film Ops"),CHAR(10), IF(ISBLANK('Ingest Template'!G163),"", 'Ingest Template'!G163&amp;"|Film Ops"),CHAR(10), IF(ISBLANK('Ingest Template'!H163),"", 'Ingest Template'!H163&amp;"|Film Ops"))))</f>
        <v>
</v>
      </c>
      <c r="AD163" s="4"/>
      <c r="AE163" s="4"/>
      <c r="AF163" s="10"/>
      <c r="AG163" s="4"/>
      <c r="AH163" s="4"/>
    </row>
    <row r="164">
      <c r="A164" s="4"/>
      <c r="B164" s="4" t="str">
        <f>'Ingest Template'!B164&amp;IF('Ingest Template'!A164 = "Standard", " - DAR","")</f>
        <v/>
      </c>
      <c r="C164" s="5" t="s">
        <v>34</v>
      </c>
      <c r="D164" s="5" t="str">
        <f>CONCATENATE('Ingest Template'!C164,'Ingest Template'!D164)</f>
        <v/>
      </c>
      <c r="E164" s="4"/>
      <c r="F164" s="4"/>
      <c r="G164" s="4"/>
      <c r="H164" s="6"/>
      <c r="I164" s="6" t="str">
        <f>iF('Ingest Template'!A164="Standard","Pristine Brand","Unknown")</f>
        <v>Unknown</v>
      </c>
      <c r="J164" s="4" t="str">
        <f>iF('Ingest Template'!A164="Standard","LF // Beverages","Competitive View")</f>
        <v>Competitive View</v>
      </c>
      <c r="K164" s="7" t="s">
        <v>35</v>
      </c>
      <c r="L164" s="8"/>
      <c r="M164" s="4"/>
      <c r="N164" s="4"/>
      <c r="O164" s="4"/>
      <c r="P164" s="4"/>
      <c r="Q164" s="4"/>
      <c r="R164" s="7" t="s">
        <v>36</v>
      </c>
      <c r="S164" s="4" t="str">
        <f>'Ingest Template'!J164</f>
        <v/>
      </c>
      <c r="T164" s="4" t="str">
        <f>'Ingest Template'!I164</f>
        <v/>
      </c>
      <c r="U164" s="4" t="str">
        <f>LOWER(SUBSTITUTE(SUBSTITUTE(SUBSTITUTE(SUBSTITUTE(SUBSTITUTE('Ingest Template'!K164,"https:",""),"www.",""),"/",""),"?hl=en",""),"instagram.com",""))</f>
        <v/>
      </c>
      <c r="V164" s="9" t="str">
        <f>'Ingest Template'!L164</f>
        <v/>
      </c>
      <c r="W164" s="9" t="str">
        <f>'Ingest Template'!M164</f>
        <v/>
      </c>
      <c r="X164" s="4" t="str">
        <f>SUBSTITUTE(SUBSTITUTE(SUBSTITUTE('Ingest Template'!N164,"http:",""),"https:",""),"/","")</f>
        <v/>
      </c>
      <c r="Y164" s="4" t="str">
        <f t="array" ref="Y164">IF('Ingest Template'!A164="Standard",(IF(ISBLANK('Ingest Template'!O164),"", 'Ingest Template'!O164&amp;"|DAR")),(IF(ISBLANK('Ingest Template'!O164),"", 'Ingest Template'!O164&amp;"|Film Ops")))</f>
        <v/>
      </c>
      <c r="Z164" s="4"/>
      <c r="AA164" s="4" t="str">
        <f>'Ingest Template'!E164</f>
        <v/>
      </c>
      <c r="AB164" s="7"/>
      <c r="AC164" s="4" t="str">
        <f t="array" ref="AC164">IF('Ingest Template'!A164="Standard",(CONCATENATE(IF(ISBLANK('Ingest Template'!F164),"", 'Ingest Template'!F164&amp;"|DAR"),CHAR(10), IF(ISBLANK('Ingest Template'!G164),"", 'Ingest Template'!G164&amp;"|DAR"),CHAR(10), IF(ISBLANK('Ingest Template'!H164),"", 'Ingest Template'!H164&amp;"|DAR"))),(CONCATENATE(IF(ISBLANK('Ingest Template'!F164),"", 'Ingest Template'!F164&amp;"|Film Ops"),CHAR(10), IF(ISBLANK('Ingest Template'!G164),"", 'Ingest Template'!G164&amp;"|Film Ops"),CHAR(10), IF(ISBLANK('Ingest Template'!H164),"", 'Ingest Template'!H164&amp;"|Film Ops"))))</f>
        <v>
</v>
      </c>
      <c r="AD164" s="4"/>
      <c r="AE164" s="4"/>
      <c r="AF164" s="10"/>
      <c r="AG164" s="4"/>
      <c r="AH164" s="4"/>
    </row>
    <row r="165">
      <c r="A165" s="4"/>
      <c r="B165" s="4" t="str">
        <f>'Ingest Template'!B165&amp;IF('Ingest Template'!A165 = "Standard", " - DAR","")</f>
        <v/>
      </c>
      <c r="C165" s="5" t="s">
        <v>34</v>
      </c>
      <c r="D165" s="5" t="str">
        <f>CONCATENATE('Ingest Template'!C165,'Ingest Template'!D165)</f>
        <v/>
      </c>
      <c r="E165" s="4"/>
      <c r="F165" s="4"/>
      <c r="G165" s="4"/>
      <c r="H165" s="6"/>
      <c r="I165" s="6" t="str">
        <f>iF('Ingest Template'!A165="Standard","Pristine Brand","Unknown")</f>
        <v>Unknown</v>
      </c>
      <c r="J165" s="4" t="str">
        <f>iF('Ingest Template'!A165="Standard","LF // Beverages","Competitive View")</f>
        <v>Competitive View</v>
      </c>
      <c r="K165" s="7" t="s">
        <v>35</v>
      </c>
      <c r="L165" s="8"/>
      <c r="M165" s="4"/>
      <c r="N165" s="4"/>
      <c r="O165" s="4"/>
      <c r="P165" s="4"/>
      <c r="Q165" s="4"/>
      <c r="R165" s="7" t="s">
        <v>36</v>
      </c>
      <c r="S165" s="4" t="str">
        <f>'Ingest Template'!J165</f>
        <v/>
      </c>
      <c r="T165" s="4" t="str">
        <f>'Ingest Template'!I165</f>
        <v/>
      </c>
      <c r="U165" s="4" t="str">
        <f>LOWER(SUBSTITUTE(SUBSTITUTE(SUBSTITUTE(SUBSTITUTE(SUBSTITUTE('Ingest Template'!K165,"https:",""),"www.",""),"/",""),"?hl=en",""),"instagram.com",""))</f>
        <v/>
      </c>
      <c r="V165" s="9" t="str">
        <f>'Ingest Template'!L165</f>
        <v/>
      </c>
      <c r="W165" s="9" t="str">
        <f>'Ingest Template'!M165</f>
        <v/>
      </c>
      <c r="X165" s="4" t="str">
        <f>SUBSTITUTE(SUBSTITUTE(SUBSTITUTE('Ingest Template'!N165,"http:",""),"https:",""),"/","")</f>
        <v/>
      </c>
      <c r="Y165" s="4" t="str">
        <f t="array" ref="Y165">IF('Ingest Template'!A165="Standard",(IF(ISBLANK('Ingest Template'!O165),"", 'Ingest Template'!O165&amp;"|DAR")),(IF(ISBLANK('Ingest Template'!O165),"", 'Ingest Template'!O165&amp;"|Film Ops")))</f>
        <v/>
      </c>
      <c r="Z165" s="4"/>
      <c r="AA165" s="4" t="str">
        <f>'Ingest Template'!E165</f>
        <v/>
      </c>
      <c r="AB165" s="7"/>
      <c r="AC165" s="4" t="str">
        <f t="array" ref="AC165">IF('Ingest Template'!A165="Standard",(CONCATENATE(IF(ISBLANK('Ingest Template'!F165),"", 'Ingest Template'!F165&amp;"|DAR"),CHAR(10), IF(ISBLANK('Ingest Template'!G165),"", 'Ingest Template'!G165&amp;"|DAR"),CHAR(10), IF(ISBLANK('Ingest Template'!H165),"", 'Ingest Template'!H165&amp;"|DAR"))),(CONCATENATE(IF(ISBLANK('Ingest Template'!F165),"", 'Ingest Template'!F165&amp;"|Film Ops"),CHAR(10), IF(ISBLANK('Ingest Template'!G165),"", 'Ingest Template'!G165&amp;"|Film Ops"),CHAR(10), IF(ISBLANK('Ingest Template'!H165),"", 'Ingest Template'!H165&amp;"|Film Ops"))))</f>
        <v>
</v>
      </c>
      <c r="AD165" s="4"/>
      <c r="AE165" s="4"/>
      <c r="AF165" s="10"/>
      <c r="AG165" s="4"/>
      <c r="AH165" s="4"/>
    </row>
    <row r="166">
      <c r="A166" s="4"/>
      <c r="B166" s="4" t="str">
        <f>'Ingest Template'!B166&amp;IF('Ingest Template'!A166 = "Standard", " - DAR","")</f>
        <v/>
      </c>
      <c r="C166" s="5" t="s">
        <v>34</v>
      </c>
      <c r="D166" s="5" t="str">
        <f>CONCATENATE('Ingest Template'!C166,'Ingest Template'!D166)</f>
        <v/>
      </c>
      <c r="E166" s="4"/>
      <c r="F166" s="4"/>
      <c r="G166" s="4"/>
      <c r="H166" s="6"/>
      <c r="I166" s="6" t="str">
        <f>iF('Ingest Template'!A166="Standard","Pristine Brand","Unknown")</f>
        <v>Unknown</v>
      </c>
      <c r="J166" s="4" t="str">
        <f>iF('Ingest Template'!A166="Standard","LF // Beverages","Competitive View")</f>
        <v>Competitive View</v>
      </c>
      <c r="K166" s="7" t="s">
        <v>35</v>
      </c>
      <c r="L166" s="8"/>
      <c r="M166" s="4"/>
      <c r="N166" s="4"/>
      <c r="O166" s="4"/>
      <c r="P166" s="4"/>
      <c r="Q166" s="4"/>
      <c r="R166" s="7" t="s">
        <v>36</v>
      </c>
      <c r="S166" s="4" t="str">
        <f>'Ingest Template'!J166</f>
        <v/>
      </c>
      <c r="T166" s="4" t="str">
        <f>'Ingest Template'!I166</f>
        <v/>
      </c>
      <c r="U166" s="4" t="str">
        <f>LOWER(SUBSTITUTE(SUBSTITUTE(SUBSTITUTE(SUBSTITUTE(SUBSTITUTE('Ingest Template'!K166,"https:",""),"www.",""),"/",""),"?hl=en",""),"instagram.com",""))</f>
        <v/>
      </c>
      <c r="V166" s="9" t="str">
        <f>'Ingest Template'!L166</f>
        <v/>
      </c>
      <c r="W166" s="9" t="str">
        <f>'Ingest Template'!M166</f>
        <v/>
      </c>
      <c r="X166" s="4" t="str">
        <f>SUBSTITUTE(SUBSTITUTE(SUBSTITUTE('Ingest Template'!N166,"http:",""),"https:",""),"/","")</f>
        <v/>
      </c>
      <c r="Y166" s="4" t="str">
        <f t="array" ref="Y166">IF('Ingest Template'!A166="Standard",(IF(ISBLANK('Ingest Template'!O166),"", 'Ingest Template'!O166&amp;"|DAR")),(IF(ISBLANK('Ingest Template'!O166),"", 'Ingest Template'!O166&amp;"|Film Ops")))</f>
        <v/>
      </c>
      <c r="Z166" s="4"/>
      <c r="AA166" s="4" t="str">
        <f>'Ingest Template'!E166</f>
        <v/>
      </c>
      <c r="AB166" s="7"/>
      <c r="AC166" s="4" t="str">
        <f t="array" ref="AC166">IF('Ingest Template'!A166="Standard",(CONCATENATE(IF(ISBLANK('Ingest Template'!F166),"", 'Ingest Template'!F166&amp;"|DAR"),CHAR(10), IF(ISBLANK('Ingest Template'!G166),"", 'Ingest Template'!G166&amp;"|DAR"),CHAR(10), IF(ISBLANK('Ingest Template'!H166),"", 'Ingest Template'!H166&amp;"|DAR"))),(CONCATENATE(IF(ISBLANK('Ingest Template'!F166),"", 'Ingest Template'!F166&amp;"|Film Ops"),CHAR(10), IF(ISBLANK('Ingest Template'!G166),"", 'Ingest Template'!G166&amp;"|Film Ops"),CHAR(10), IF(ISBLANK('Ingest Template'!H166),"", 'Ingest Template'!H166&amp;"|Film Ops"))))</f>
        <v>
</v>
      </c>
      <c r="AD166" s="4"/>
      <c r="AE166" s="4"/>
      <c r="AF166" s="10"/>
      <c r="AG166" s="4"/>
      <c r="AH166" s="4"/>
    </row>
    <row r="167">
      <c r="A167" s="4"/>
      <c r="B167" s="4" t="str">
        <f>'Ingest Template'!B167&amp;IF('Ingest Template'!A167 = "Standard", " - DAR","")</f>
        <v/>
      </c>
      <c r="C167" s="5" t="s">
        <v>34</v>
      </c>
      <c r="D167" s="5" t="str">
        <f>CONCATENATE('Ingest Template'!C167,'Ingest Template'!D167)</f>
        <v/>
      </c>
      <c r="E167" s="4"/>
      <c r="F167" s="4"/>
      <c r="G167" s="4"/>
      <c r="H167" s="6"/>
      <c r="I167" s="6" t="str">
        <f>iF('Ingest Template'!A167="Standard","Pristine Brand","Unknown")</f>
        <v>Unknown</v>
      </c>
      <c r="J167" s="4" t="str">
        <f>iF('Ingest Template'!A167="Standard","LF // Beverages","Competitive View")</f>
        <v>Competitive View</v>
      </c>
      <c r="K167" s="7" t="s">
        <v>35</v>
      </c>
      <c r="L167" s="8"/>
      <c r="M167" s="4"/>
      <c r="N167" s="4"/>
      <c r="O167" s="4"/>
      <c r="P167" s="4"/>
      <c r="Q167" s="4"/>
      <c r="R167" s="7" t="s">
        <v>36</v>
      </c>
      <c r="S167" s="4" t="str">
        <f>'Ingest Template'!J167</f>
        <v/>
      </c>
      <c r="T167" s="4" t="str">
        <f>'Ingest Template'!I167</f>
        <v/>
      </c>
      <c r="U167" s="4" t="str">
        <f>LOWER(SUBSTITUTE(SUBSTITUTE(SUBSTITUTE(SUBSTITUTE(SUBSTITUTE('Ingest Template'!K167,"https:",""),"www.",""),"/",""),"?hl=en",""),"instagram.com",""))</f>
        <v/>
      </c>
      <c r="V167" s="9" t="str">
        <f>'Ingest Template'!L167</f>
        <v/>
      </c>
      <c r="W167" s="9" t="str">
        <f>'Ingest Template'!M167</f>
        <v/>
      </c>
      <c r="X167" s="4" t="str">
        <f>SUBSTITUTE(SUBSTITUTE(SUBSTITUTE('Ingest Template'!N167,"http:",""),"https:",""),"/","")</f>
        <v/>
      </c>
      <c r="Y167" s="4" t="str">
        <f t="array" ref="Y167">IF('Ingest Template'!A167="Standard",(IF(ISBLANK('Ingest Template'!O167),"", 'Ingest Template'!O167&amp;"|DAR")),(IF(ISBLANK('Ingest Template'!O167),"", 'Ingest Template'!O167&amp;"|Film Ops")))</f>
        <v/>
      </c>
      <c r="Z167" s="4"/>
      <c r="AA167" s="4" t="str">
        <f>'Ingest Template'!E167</f>
        <v/>
      </c>
      <c r="AB167" s="7"/>
      <c r="AC167" s="4" t="str">
        <f t="array" ref="AC167">IF('Ingest Template'!A167="Standard",(CONCATENATE(IF(ISBLANK('Ingest Template'!F167),"", 'Ingest Template'!F167&amp;"|DAR"),CHAR(10), IF(ISBLANK('Ingest Template'!G167),"", 'Ingest Template'!G167&amp;"|DAR"),CHAR(10), IF(ISBLANK('Ingest Template'!H167),"", 'Ingest Template'!H167&amp;"|DAR"))),(CONCATENATE(IF(ISBLANK('Ingest Template'!F167),"", 'Ingest Template'!F167&amp;"|Film Ops"),CHAR(10), IF(ISBLANK('Ingest Template'!G167),"", 'Ingest Template'!G167&amp;"|Film Ops"),CHAR(10), IF(ISBLANK('Ingest Template'!H167),"", 'Ingest Template'!H167&amp;"|Film Ops"))))</f>
        <v>
</v>
      </c>
      <c r="AD167" s="4"/>
      <c r="AE167" s="4"/>
      <c r="AF167" s="10"/>
      <c r="AG167" s="4"/>
      <c r="AH167" s="4"/>
    </row>
    <row r="168">
      <c r="A168" s="4"/>
      <c r="B168" s="4" t="str">
        <f>'Ingest Template'!B168&amp;IF('Ingest Template'!A168 = "Standard", " - DAR","")</f>
        <v/>
      </c>
      <c r="C168" s="5" t="s">
        <v>34</v>
      </c>
      <c r="D168" s="5" t="str">
        <f>CONCATENATE('Ingest Template'!C168,'Ingest Template'!D168)</f>
        <v/>
      </c>
      <c r="E168" s="4"/>
      <c r="F168" s="4"/>
      <c r="G168" s="4"/>
      <c r="H168" s="6"/>
      <c r="I168" s="6" t="str">
        <f>iF('Ingest Template'!A168="Standard","Pristine Brand","Unknown")</f>
        <v>Unknown</v>
      </c>
      <c r="J168" s="4" t="str">
        <f>iF('Ingest Template'!A168="Standard","LF // Beverages","Competitive View")</f>
        <v>Competitive View</v>
      </c>
      <c r="K168" s="7" t="s">
        <v>35</v>
      </c>
      <c r="L168" s="8"/>
      <c r="M168" s="4"/>
      <c r="N168" s="4"/>
      <c r="O168" s="4"/>
      <c r="P168" s="4"/>
      <c r="Q168" s="4"/>
      <c r="R168" s="7" t="s">
        <v>36</v>
      </c>
      <c r="S168" s="4" t="str">
        <f>'Ingest Template'!J168</f>
        <v/>
      </c>
      <c r="T168" s="4" t="str">
        <f>'Ingest Template'!I168</f>
        <v/>
      </c>
      <c r="U168" s="4" t="str">
        <f>LOWER(SUBSTITUTE(SUBSTITUTE(SUBSTITUTE(SUBSTITUTE(SUBSTITUTE('Ingest Template'!K168,"https:",""),"www.",""),"/",""),"?hl=en",""),"instagram.com",""))</f>
        <v/>
      </c>
      <c r="V168" s="9" t="str">
        <f>'Ingest Template'!L168</f>
        <v/>
      </c>
      <c r="W168" s="9" t="str">
        <f>'Ingest Template'!M168</f>
        <v/>
      </c>
      <c r="X168" s="4" t="str">
        <f>SUBSTITUTE(SUBSTITUTE(SUBSTITUTE('Ingest Template'!N168,"http:",""),"https:",""),"/","")</f>
        <v/>
      </c>
      <c r="Y168" s="4" t="str">
        <f t="array" ref="Y168">IF('Ingest Template'!A168="Standard",(IF(ISBLANK('Ingest Template'!O168),"", 'Ingest Template'!O168&amp;"|DAR")),(IF(ISBLANK('Ingest Template'!O168),"", 'Ingest Template'!O168&amp;"|Film Ops")))</f>
        <v/>
      </c>
      <c r="Z168" s="4"/>
      <c r="AA168" s="4" t="str">
        <f>'Ingest Template'!E168</f>
        <v/>
      </c>
      <c r="AB168" s="7"/>
      <c r="AC168" s="4" t="str">
        <f t="array" ref="AC168">IF('Ingest Template'!A168="Standard",(CONCATENATE(IF(ISBLANK('Ingest Template'!F168),"", 'Ingest Template'!F168&amp;"|DAR"),CHAR(10), IF(ISBLANK('Ingest Template'!G168),"", 'Ingest Template'!G168&amp;"|DAR"),CHAR(10), IF(ISBLANK('Ingest Template'!H168),"", 'Ingest Template'!H168&amp;"|DAR"))),(CONCATENATE(IF(ISBLANK('Ingest Template'!F168),"", 'Ingest Template'!F168&amp;"|Film Ops"),CHAR(10), IF(ISBLANK('Ingest Template'!G168),"", 'Ingest Template'!G168&amp;"|Film Ops"),CHAR(10), IF(ISBLANK('Ingest Template'!H168),"", 'Ingest Template'!H168&amp;"|Film Ops"))))</f>
        <v>
</v>
      </c>
      <c r="AD168" s="4"/>
      <c r="AE168" s="4"/>
      <c r="AF168" s="10"/>
      <c r="AG168" s="4"/>
      <c r="AH168" s="4"/>
    </row>
    <row r="169">
      <c r="A169" s="4"/>
      <c r="B169" s="4" t="str">
        <f>'Ingest Template'!B169&amp;IF('Ingest Template'!A169 = "Standard", " - DAR","")</f>
        <v/>
      </c>
      <c r="C169" s="5" t="s">
        <v>34</v>
      </c>
      <c r="D169" s="5" t="str">
        <f>CONCATENATE('Ingest Template'!C169,'Ingest Template'!D169)</f>
        <v/>
      </c>
      <c r="E169" s="4"/>
      <c r="F169" s="4"/>
      <c r="G169" s="4"/>
      <c r="H169" s="6"/>
      <c r="I169" s="6" t="str">
        <f>iF('Ingest Template'!A169="Standard","Pristine Brand","Unknown")</f>
        <v>Unknown</v>
      </c>
      <c r="J169" s="4" t="str">
        <f>iF('Ingest Template'!A169="Standard","LF // Beverages","Competitive View")</f>
        <v>Competitive View</v>
      </c>
      <c r="K169" s="7" t="s">
        <v>35</v>
      </c>
      <c r="L169" s="8"/>
      <c r="M169" s="4"/>
      <c r="N169" s="4"/>
      <c r="O169" s="4"/>
      <c r="P169" s="4"/>
      <c r="Q169" s="4"/>
      <c r="R169" s="7" t="s">
        <v>36</v>
      </c>
      <c r="S169" s="4" t="str">
        <f>'Ingest Template'!J169</f>
        <v/>
      </c>
      <c r="T169" s="4" t="str">
        <f>'Ingest Template'!I169</f>
        <v/>
      </c>
      <c r="U169" s="4" t="str">
        <f>LOWER(SUBSTITUTE(SUBSTITUTE(SUBSTITUTE(SUBSTITUTE(SUBSTITUTE('Ingest Template'!K169,"https:",""),"www.",""),"/",""),"?hl=en",""),"instagram.com",""))</f>
        <v/>
      </c>
      <c r="V169" s="9" t="str">
        <f>'Ingest Template'!L169</f>
        <v/>
      </c>
      <c r="W169" s="9" t="str">
        <f>'Ingest Template'!M169</f>
        <v/>
      </c>
      <c r="X169" s="4" t="str">
        <f>SUBSTITUTE(SUBSTITUTE(SUBSTITUTE('Ingest Template'!N169,"http:",""),"https:",""),"/","")</f>
        <v/>
      </c>
      <c r="Y169" s="4" t="str">
        <f t="array" ref="Y169">IF('Ingest Template'!A169="Standard",(IF(ISBLANK('Ingest Template'!O169),"", 'Ingest Template'!O169&amp;"|DAR")),(IF(ISBLANK('Ingest Template'!O169),"", 'Ingest Template'!O169&amp;"|Film Ops")))</f>
        <v/>
      </c>
      <c r="Z169" s="4"/>
      <c r="AA169" s="4" t="str">
        <f>'Ingest Template'!E169</f>
        <v/>
      </c>
      <c r="AB169" s="7"/>
      <c r="AC169" s="4" t="str">
        <f t="array" ref="AC169">IF('Ingest Template'!A169="Standard",(CONCATENATE(IF(ISBLANK('Ingest Template'!F169),"", 'Ingest Template'!F169&amp;"|DAR"),CHAR(10), IF(ISBLANK('Ingest Template'!G169),"", 'Ingest Template'!G169&amp;"|DAR"),CHAR(10), IF(ISBLANK('Ingest Template'!H169),"", 'Ingest Template'!H169&amp;"|DAR"))),(CONCATENATE(IF(ISBLANK('Ingest Template'!F169),"", 'Ingest Template'!F169&amp;"|Film Ops"),CHAR(10), IF(ISBLANK('Ingest Template'!G169),"", 'Ingest Template'!G169&amp;"|Film Ops"),CHAR(10), IF(ISBLANK('Ingest Template'!H169),"", 'Ingest Template'!H169&amp;"|Film Ops"))))</f>
        <v>
</v>
      </c>
      <c r="AD169" s="4"/>
      <c r="AE169" s="4"/>
      <c r="AF169" s="10"/>
      <c r="AG169" s="4"/>
      <c r="AH169" s="4"/>
    </row>
    <row r="170">
      <c r="A170" s="4"/>
      <c r="B170" s="4" t="str">
        <f>'Ingest Template'!B170&amp;IF('Ingest Template'!A170 = "Standard", " - DAR","")</f>
        <v/>
      </c>
      <c r="C170" s="5" t="s">
        <v>34</v>
      </c>
      <c r="D170" s="5" t="str">
        <f>CONCATENATE('Ingest Template'!C170,'Ingest Template'!D170)</f>
        <v/>
      </c>
      <c r="E170" s="4"/>
      <c r="F170" s="4"/>
      <c r="G170" s="4"/>
      <c r="H170" s="6"/>
      <c r="I170" s="6" t="str">
        <f>iF('Ingest Template'!A170="Standard","Pristine Brand","Unknown")</f>
        <v>Unknown</v>
      </c>
      <c r="J170" s="4" t="str">
        <f>iF('Ingest Template'!A170="Standard","LF // Beverages","Competitive View")</f>
        <v>Competitive View</v>
      </c>
      <c r="K170" s="7" t="s">
        <v>35</v>
      </c>
      <c r="L170" s="8"/>
      <c r="M170" s="4"/>
      <c r="N170" s="4"/>
      <c r="O170" s="4"/>
      <c r="P170" s="4"/>
      <c r="Q170" s="4"/>
      <c r="R170" s="7" t="s">
        <v>36</v>
      </c>
      <c r="S170" s="4" t="str">
        <f>'Ingest Template'!J170</f>
        <v/>
      </c>
      <c r="T170" s="4" t="str">
        <f>'Ingest Template'!I170</f>
        <v/>
      </c>
      <c r="U170" s="4" t="str">
        <f>LOWER(SUBSTITUTE(SUBSTITUTE(SUBSTITUTE(SUBSTITUTE(SUBSTITUTE('Ingest Template'!K170,"https:",""),"www.",""),"/",""),"?hl=en",""),"instagram.com",""))</f>
        <v/>
      </c>
      <c r="V170" s="9" t="str">
        <f>'Ingest Template'!L170</f>
        <v/>
      </c>
      <c r="W170" s="9" t="str">
        <f>'Ingest Template'!M170</f>
        <v/>
      </c>
      <c r="X170" s="4" t="str">
        <f>SUBSTITUTE(SUBSTITUTE(SUBSTITUTE('Ingest Template'!N170,"http:",""),"https:",""),"/","")</f>
        <v/>
      </c>
      <c r="Y170" s="4" t="str">
        <f t="array" ref="Y170">IF('Ingest Template'!A170="Standard",(IF(ISBLANK('Ingest Template'!O170),"", 'Ingest Template'!O170&amp;"|DAR")),(IF(ISBLANK('Ingest Template'!O170),"", 'Ingest Template'!O170&amp;"|Film Ops")))</f>
        <v/>
      </c>
      <c r="Z170" s="4"/>
      <c r="AA170" s="4" t="str">
        <f>'Ingest Template'!E170</f>
        <v/>
      </c>
      <c r="AB170" s="7"/>
      <c r="AC170" s="4" t="str">
        <f t="array" ref="AC170">IF('Ingest Template'!A170="Standard",(CONCATENATE(IF(ISBLANK('Ingest Template'!F170),"", 'Ingest Template'!F170&amp;"|DAR"),CHAR(10), IF(ISBLANK('Ingest Template'!G170),"", 'Ingest Template'!G170&amp;"|DAR"),CHAR(10), IF(ISBLANK('Ingest Template'!H170),"", 'Ingest Template'!H170&amp;"|DAR"))),(CONCATENATE(IF(ISBLANK('Ingest Template'!F170),"", 'Ingest Template'!F170&amp;"|Film Ops"),CHAR(10), IF(ISBLANK('Ingest Template'!G170),"", 'Ingest Template'!G170&amp;"|Film Ops"),CHAR(10), IF(ISBLANK('Ingest Template'!H170),"", 'Ingest Template'!H170&amp;"|Film Ops"))))</f>
        <v>
</v>
      </c>
      <c r="AD170" s="4"/>
      <c r="AE170" s="4"/>
      <c r="AF170" s="10"/>
      <c r="AG170" s="4"/>
      <c r="AH170" s="4"/>
    </row>
    <row r="171">
      <c r="A171" s="4"/>
      <c r="B171" s="4" t="str">
        <f>'Ingest Template'!B171&amp;IF('Ingest Template'!A171 = "Standard", " - DAR","")</f>
        <v/>
      </c>
      <c r="C171" s="5" t="s">
        <v>34</v>
      </c>
      <c r="D171" s="5" t="str">
        <f>CONCATENATE('Ingest Template'!C171,'Ingest Template'!D171)</f>
        <v/>
      </c>
      <c r="E171" s="4"/>
      <c r="F171" s="4"/>
      <c r="G171" s="4"/>
      <c r="H171" s="6"/>
      <c r="I171" s="6" t="str">
        <f>iF('Ingest Template'!A171="Standard","Pristine Brand","Unknown")</f>
        <v>Unknown</v>
      </c>
      <c r="J171" s="4" t="str">
        <f>iF('Ingest Template'!A171="Standard","LF // Beverages","Competitive View")</f>
        <v>Competitive View</v>
      </c>
      <c r="K171" s="7" t="s">
        <v>35</v>
      </c>
      <c r="L171" s="8"/>
      <c r="M171" s="4"/>
      <c r="N171" s="4"/>
      <c r="O171" s="4"/>
      <c r="P171" s="4"/>
      <c r="Q171" s="4"/>
      <c r="R171" s="7" t="s">
        <v>36</v>
      </c>
      <c r="S171" s="4" t="str">
        <f>'Ingest Template'!J171</f>
        <v/>
      </c>
      <c r="T171" s="4" t="str">
        <f>'Ingest Template'!I171</f>
        <v/>
      </c>
      <c r="U171" s="4" t="str">
        <f>LOWER(SUBSTITUTE(SUBSTITUTE(SUBSTITUTE(SUBSTITUTE(SUBSTITUTE('Ingest Template'!K171,"https:",""),"www.",""),"/",""),"?hl=en",""),"instagram.com",""))</f>
        <v/>
      </c>
      <c r="V171" s="9" t="str">
        <f>'Ingest Template'!L171</f>
        <v/>
      </c>
      <c r="W171" s="9" t="str">
        <f>'Ingest Template'!M171</f>
        <v/>
      </c>
      <c r="X171" s="4" t="str">
        <f>SUBSTITUTE(SUBSTITUTE(SUBSTITUTE('Ingest Template'!N171,"http:",""),"https:",""),"/","")</f>
        <v/>
      </c>
      <c r="Y171" s="4" t="str">
        <f t="array" ref="Y171">IF('Ingest Template'!A171="Standard",(IF(ISBLANK('Ingest Template'!O171),"", 'Ingest Template'!O171&amp;"|DAR")),(IF(ISBLANK('Ingest Template'!O171),"", 'Ingest Template'!O171&amp;"|Film Ops")))</f>
        <v/>
      </c>
      <c r="Z171" s="4"/>
      <c r="AA171" s="4" t="str">
        <f>'Ingest Template'!E171</f>
        <v/>
      </c>
      <c r="AB171" s="7"/>
      <c r="AC171" s="4" t="str">
        <f t="array" ref="AC171">IF('Ingest Template'!A171="Standard",(CONCATENATE(IF(ISBLANK('Ingest Template'!F171),"", 'Ingest Template'!F171&amp;"|DAR"),CHAR(10), IF(ISBLANK('Ingest Template'!G171),"", 'Ingest Template'!G171&amp;"|DAR"),CHAR(10), IF(ISBLANK('Ingest Template'!H171),"", 'Ingest Template'!H171&amp;"|DAR"))),(CONCATENATE(IF(ISBLANK('Ingest Template'!F171),"", 'Ingest Template'!F171&amp;"|Film Ops"),CHAR(10), IF(ISBLANK('Ingest Template'!G171),"", 'Ingest Template'!G171&amp;"|Film Ops"),CHAR(10), IF(ISBLANK('Ingest Template'!H171),"", 'Ingest Template'!H171&amp;"|Film Ops"))))</f>
        <v>
</v>
      </c>
      <c r="AD171" s="4"/>
      <c r="AE171" s="4"/>
      <c r="AF171" s="10"/>
      <c r="AG171" s="4"/>
      <c r="AH171" s="4"/>
    </row>
    <row r="172">
      <c r="A172" s="4"/>
      <c r="B172" s="4" t="str">
        <f>'Ingest Template'!B172&amp;IF('Ingest Template'!A172 = "Standard", " - DAR","")</f>
        <v/>
      </c>
      <c r="C172" s="5" t="s">
        <v>34</v>
      </c>
      <c r="D172" s="5" t="str">
        <f>CONCATENATE('Ingest Template'!C172,'Ingest Template'!D172)</f>
        <v/>
      </c>
      <c r="E172" s="4"/>
      <c r="F172" s="4"/>
      <c r="G172" s="4"/>
      <c r="H172" s="6"/>
      <c r="I172" s="6" t="str">
        <f>iF('Ingest Template'!A172="Standard","Pristine Brand","Unknown")</f>
        <v>Unknown</v>
      </c>
      <c r="J172" s="4" t="str">
        <f>iF('Ingest Template'!A172="Standard","LF // Beverages","Competitive View")</f>
        <v>Competitive View</v>
      </c>
      <c r="K172" s="7" t="s">
        <v>35</v>
      </c>
      <c r="L172" s="8"/>
      <c r="M172" s="4"/>
      <c r="N172" s="4"/>
      <c r="O172" s="4"/>
      <c r="P172" s="4"/>
      <c r="Q172" s="4"/>
      <c r="R172" s="7" t="s">
        <v>36</v>
      </c>
      <c r="S172" s="4" t="str">
        <f>'Ingest Template'!J172</f>
        <v/>
      </c>
      <c r="T172" s="4" t="str">
        <f>'Ingest Template'!I172</f>
        <v/>
      </c>
      <c r="U172" s="4" t="str">
        <f>LOWER(SUBSTITUTE(SUBSTITUTE(SUBSTITUTE(SUBSTITUTE(SUBSTITUTE('Ingest Template'!K172,"https:",""),"www.",""),"/",""),"?hl=en",""),"instagram.com",""))</f>
        <v/>
      </c>
      <c r="V172" s="9" t="str">
        <f>'Ingest Template'!L172</f>
        <v/>
      </c>
      <c r="W172" s="9" t="str">
        <f>'Ingest Template'!M172</f>
        <v/>
      </c>
      <c r="X172" s="4" t="str">
        <f>SUBSTITUTE(SUBSTITUTE(SUBSTITUTE('Ingest Template'!N172,"http:",""),"https:",""),"/","")</f>
        <v/>
      </c>
      <c r="Y172" s="4" t="str">
        <f t="array" ref="Y172">IF('Ingest Template'!A172="Standard",(IF(ISBLANK('Ingest Template'!O172),"", 'Ingest Template'!O172&amp;"|DAR")),(IF(ISBLANK('Ingest Template'!O172),"", 'Ingest Template'!O172&amp;"|Film Ops")))</f>
        <v/>
      </c>
      <c r="Z172" s="4"/>
      <c r="AA172" s="4" t="str">
        <f>'Ingest Template'!E172</f>
        <v/>
      </c>
      <c r="AB172" s="7"/>
      <c r="AC172" s="4" t="str">
        <f t="array" ref="AC172">IF('Ingest Template'!A172="Standard",(CONCATENATE(IF(ISBLANK('Ingest Template'!F172),"", 'Ingest Template'!F172&amp;"|DAR"),CHAR(10), IF(ISBLANK('Ingest Template'!G172),"", 'Ingest Template'!G172&amp;"|DAR"),CHAR(10), IF(ISBLANK('Ingest Template'!H172),"", 'Ingest Template'!H172&amp;"|DAR"))),(CONCATENATE(IF(ISBLANK('Ingest Template'!F172),"", 'Ingest Template'!F172&amp;"|Film Ops"),CHAR(10), IF(ISBLANK('Ingest Template'!G172),"", 'Ingest Template'!G172&amp;"|Film Ops"),CHAR(10), IF(ISBLANK('Ingest Template'!H172),"", 'Ingest Template'!H172&amp;"|Film Ops"))))</f>
        <v>
</v>
      </c>
      <c r="AD172" s="4"/>
      <c r="AE172" s="4"/>
      <c r="AF172" s="10"/>
      <c r="AG172" s="4"/>
      <c r="AH172" s="4"/>
    </row>
    <row r="173">
      <c r="A173" s="4"/>
      <c r="B173" s="4" t="str">
        <f>'Ingest Template'!B173&amp;IF('Ingest Template'!A173 = "Standard", " - DAR","")</f>
        <v/>
      </c>
      <c r="C173" s="5" t="s">
        <v>34</v>
      </c>
      <c r="D173" s="5" t="str">
        <f>CONCATENATE('Ingest Template'!C173,'Ingest Template'!D173)</f>
        <v/>
      </c>
      <c r="E173" s="4"/>
      <c r="F173" s="4"/>
      <c r="G173" s="4"/>
      <c r="H173" s="6"/>
      <c r="I173" s="6" t="str">
        <f>iF('Ingest Template'!A173="Standard","Pristine Brand","Unknown")</f>
        <v>Unknown</v>
      </c>
      <c r="J173" s="4" t="str">
        <f>iF('Ingest Template'!A173="Standard","LF // Beverages","Competitive View")</f>
        <v>Competitive View</v>
      </c>
      <c r="K173" s="7" t="s">
        <v>35</v>
      </c>
      <c r="L173" s="8"/>
      <c r="M173" s="4"/>
      <c r="N173" s="4"/>
      <c r="O173" s="4"/>
      <c r="P173" s="4"/>
      <c r="Q173" s="4"/>
      <c r="R173" s="7" t="s">
        <v>36</v>
      </c>
      <c r="S173" s="4" t="str">
        <f>'Ingest Template'!J173</f>
        <v/>
      </c>
      <c r="T173" s="4" t="str">
        <f>'Ingest Template'!I173</f>
        <v/>
      </c>
      <c r="U173" s="4" t="str">
        <f>LOWER(SUBSTITUTE(SUBSTITUTE(SUBSTITUTE(SUBSTITUTE(SUBSTITUTE('Ingest Template'!K173,"https:",""),"www.",""),"/",""),"?hl=en",""),"instagram.com",""))</f>
        <v/>
      </c>
      <c r="V173" s="9" t="str">
        <f>'Ingest Template'!L173</f>
        <v/>
      </c>
      <c r="W173" s="9" t="str">
        <f>'Ingest Template'!M173</f>
        <v/>
      </c>
      <c r="X173" s="4" t="str">
        <f>SUBSTITUTE(SUBSTITUTE(SUBSTITUTE('Ingest Template'!N173,"http:",""),"https:",""),"/","")</f>
        <v/>
      </c>
      <c r="Y173" s="4" t="str">
        <f t="array" ref="Y173">IF('Ingest Template'!A173="Standard",(IF(ISBLANK('Ingest Template'!O173),"", 'Ingest Template'!O173&amp;"|DAR")),(IF(ISBLANK('Ingest Template'!O173),"", 'Ingest Template'!O173&amp;"|Film Ops")))</f>
        <v/>
      </c>
      <c r="Z173" s="4"/>
      <c r="AA173" s="4" t="str">
        <f>'Ingest Template'!E173</f>
        <v/>
      </c>
      <c r="AB173" s="7"/>
      <c r="AC173" s="4" t="str">
        <f t="array" ref="AC173">IF('Ingest Template'!A173="Standard",(CONCATENATE(IF(ISBLANK('Ingest Template'!F173),"", 'Ingest Template'!F173&amp;"|DAR"),CHAR(10), IF(ISBLANK('Ingest Template'!G173),"", 'Ingest Template'!G173&amp;"|DAR"),CHAR(10), IF(ISBLANK('Ingest Template'!H173),"", 'Ingest Template'!H173&amp;"|DAR"))),(CONCATENATE(IF(ISBLANK('Ingest Template'!F173),"", 'Ingest Template'!F173&amp;"|Film Ops"),CHAR(10), IF(ISBLANK('Ingest Template'!G173),"", 'Ingest Template'!G173&amp;"|Film Ops"),CHAR(10), IF(ISBLANK('Ingest Template'!H173),"", 'Ingest Template'!H173&amp;"|Film Ops"))))</f>
        <v>
</v>
      </c>
      <c r="AD173" s="4"/>
      <c r="AE173" s="4"/>
      <c r="AF173" s="10"/>
      <c r="AG173" s="4"/>
      <c r="AH173" s="4"/>
    </row>
    <row r="174">
      <c r="A174" s="4"/>
      <c r="B174" s="4" t="str">
        <f>'Ingest Template'!B174&amp;IF('Ingest Template'!A174 = "Standard", " - DAR","")</f>
        <v/>
      </c>
      <c r="C174" s="5" t="s">
        <v>34</v>
      </c>
      <c r="D174" s="5" t="str">
        <f>CONCATENATE('Ingest Template'!C174,'Ingest Template'!D174)</f>
        <v/>
      </c>
      <c r="E174" s="4"/>
      <c r="F174" s="4"/>
      <c r="G174" s="4"/>
      <c r="H174" s="6"/>
      <c r="I174" s="6" t="str">
        <f>iF('Ingest Template'!A174="Standard","Pristine Brand","Unknown")</f>
        <v>Unknown</v>
      </c>
      <c r="J174" s="4" t="str">
        <f>iF('Ingest Template'!A174="Standard","LF // Beverages","Competitive View")</f>
        <v>Competitive View</v>
      </c>
      <c r="K174" s="7" t="s">
        <v>35</v>
      </c>
      <c r="L174" s="8"/>
      <c r="M174" s="4"/>
      <c r="N174" s="4"/>
      <c r="O174" s="4"/>
      <c r="P174" s="4"/>
      <c r="Q174" s="4"/>
      <c r="R174" s="7" t="s">
        <v>36</v>
      </c>
      <c r="S174" s="4" t="str">
        <f>'Ingest Template'!J174</f>
        <v/>
      </c>
      <c r="T174" s="4" t="str">
        <f>'Ingest Template'!I174</f>
        <v/>
      </c>
      <c r="U174" s="4" t="str">
        <f>LOWER(SUBSTITUTE(SUBSTITUTE(SUBSTITUTE(SUBSTITUTE(SUBSTITUTE('Ingest Template'!K174,"https:",""),"www.",""),"/",""),"?hl=en",""),"instagram.com",""))</f>
        <v/>
      </c>
      <c r="V174" s="9" t="str">
        <f>'Ingest Template'!L174</f>
        <v/>
      </c>
      <c r="W174" s="9" t="str">
        <f>'Ingest Template'!M174</f>
        <v/>
      </c>
      <c r="X174" s="4" t="str">
        <f>SUBSTITUTE(SUBSTITUTE(SUBSTITUTE('Ingest Template'!N174,"http:",""),"https:",""),"/","")</f>
        <v/>
      </c>
      <c r="Y174" s="4" t="str">
        <f t="array" ref="Y174">IF('Ingest Template'!A174="Standard",(IF(ISBLANK('Ingest Template'!O174),"", 'Ingest Template'!O174&amp;"|DAR")),(IF(ISBLANK('Ingest Template'!O174),"", 'Ingest Template'!O174&amp;"|Film Ops")))</f>
        <v/>
      </c>
      <c r="Z174" s="4"/>
      <c r="AA174" s="4" t="str">
        <f>'Ingest Template'!E174</f>
        <v/>
      </c>
      <c r="AB174" s="7"/>
      <c r="AC174" s="4" t="str">
        <f t="array" ref="AC174">IF('Ingest Template'!A174="Standard",(CONCATENATE(IF(ISBLANK('Ingest Template'!F174),"", 'Ingest Template'!F174&amp;"|DAR"),CHAR(10), IF(ISBLANK('Ingest Template'!G174),"", 'Ingest Template'!G174&amp;"|DAR"),CHAR(10), IF(ISBLANK('Ingest Template'!H174),"", 'Ingest Template'!H174&amp;"|DAR"))),(CONCATENATE(IF(ISBLANK('Ingest Template'!F174),"", 'Ingest Template'!F174&amp;"|Film Ops"),CHAR(10), IF(ISBLANK('Ingest Template'!G174),"", 'Ingest Template'!G174&amp;"|Film Ops"),CHAR(10), IF(ISBLANK('Ingest Template'!H174),"", 'Ingest Template'!H174&amp;"|Film Ops"))))</f>
        <v>
</v>
      </c>
      <c r="AD174" s="4"/>
      <c r="AE174" s="4"/>
      <c r="AF174" s="10"/>
      <c r="AG174" s="4"/>
      <c r="AH174" s="4"/>
    </row>
    <row r="175">
      <c r="A175" s="4"/>
      <c r="B175" s="4" t="str">
        <f>'Ingest Template'!B175&amp;IF('Ingest Template'!A175 = "Standard", " - DAR","")</f>
        <v/>
      </c>
      <c r="C175" s="5" t="s">
        <v>34</v>
      </c>
      <c r="D175" s="5" t="str">
        <f>CONCATENATE('Ingest Template'!C175,'Ingest Template'!D175)</f>
        <v/>
      </c>
      <c r="E175" s="4"/>
      <c r="F175" s="4"/>
      <c r="G175" s="4"/>
      <c r="H175" s="6"/>
      <c r="I175" s="6" t="str">
        <f>iF('Ingest Template'!A175="Standard","Pristine Brand","Unknown")</f>
        <v>Unknown</v>
      </c>
      <c r="J175" s="4" t="str">
        <f>iF('Ingest Template'!A175="Standard","LF // Beverages","Competitive View")</f>
        <v>Competitive View</v>
      </c>
      <c r="K175" s="7" t="s">
        <v>35</v>
      </c>
      <c r="L175" s="8"/>
      <c r="M175" s="4"/>
      <c r="N175" s="4"/>
      <c r="O175" s="4"/>
      <c r="P175" s="4"/>
      <c r="Q175" s="4"/>
      <c r="R175" s="7" t="s">
        <v>36</v>
      </c>
      <c r="S175" s="4" t="str">
        <f>'Ingest Template'!J175</f>
        <v/>
      </c>
      <c r="T175" s="4" t="str">
        <f>'Ingest Template'!I175</f>
        <v/>
      </c>
      <c r="U175" s="4" t="str">
        <f>LOWER(SUBSTITUTE(SUBSTITUTE(SUBSTITUTE(SUBSTITUTE(SUBSTITUTE('Ingest Template'!K175,"https:",""),"www.",""),"/",""),"?hl=en",""),"instagram.com",""))</f>
        <v/>
      </c>
      <c r="V175" s="9" t="str">
        <f>'Ingest Template'!L175</f>
        <v/>
      </c>
      <c r="W175" s="9" t="str">
        <f>'Ingest Template'!M175</f>
        <v/>
      </c>
      <c r="X175" s="4" t="str">
        <f>SUBSTITUTE(SUBSTITUTE(SUBSTITUTE('Ingest Template'!N175,"http:",""),"https:",""),"/","")</f>
        <v/>
      </c>
      <c r="Y175" s="4" t="str">
        <f t="array" ref="Y175">IF('Ingest Template'!A175="Standard",(IF(ISBLANK('Ingest Template'!O175),"", 'Ingest Template'!O175&amp;"|DAR")),(IF(ISBLANK('Ingest Template'!O175),"", 'Ingest Template'!O175&amp;"|Film Ops")))</f>
        <v/>
      </c>
      <c r="Z175" s="4"/>
      <c r="AA175" s="4" t="str">
        <f>'Ingest Template'!E175</f>
        <v/>
      </c>
      <c r="AB175" s="7"/>
      <c r="AC175" s="4" t="str">
        <f t="array" ref="AC175">IF('Ingest Template'!A175="Standard",(CONCATENATE(IF(ISBLANK('Ingest Template'!F175),"", 'Ingest Template'!F175&amp;"|DAR"),CHAR(10), IF(ISBLANK('Ingest Template'!G175),"", 'Ingest Template'!G175&amp;"|DAR"),CHAR(10), IF(ISBLANK('Ingest Template'!H175),"", 'Ingest Template'!H175&amp;"|DAR"))),(CONCATENATE(IF(ISBLANK('Ingest Template'!F175),"", 'Ingest Template'!F175&amp;"|Film Ops"),CHAR(10), IF(ISBLANK('Ingest Template'!G175),"", 'Ingest Template'!G175&amp;"|Film Ops"),CHAR(10), IF(ISBLANK('Ingest Template'!H175),"", 'Ingest Template'!H175&amp;"|Film Ops"))))</f>
        <v>
</v>
      </c>
      <c r="AD175" s="4"/>
      <c r="AE175" s="4"/>
      <c r="AF175" s="10"/>
      <c r="AG175" s="4"/>
      <c r="AH175" s="4"/>
    </row>
    <row r="176">
      <c r="A176" s="4"/>
      <c r="B176" s="4" t="str">
        <f>'Ingest Template'!B176&amp;IF('Ingest Template'!A176 = "Standard", " - DAR","")</f>
        <v/>
      </c>
      <c r="C176" s="5" t="s">
        <v>34</v>
      </c>
      <c r="D176" s="5" t="str">
        <f>CONCATENATE('Ingest Template'!C176,'Ingest Template'!D176)</f>
        <v/>
      </c>
      <c r="E176" s="4"/>
      <c r="F176" s="4"/>
      <c r="G176" s="4"/>
      <c r="H176" s="6"/>
      <c r="I176" s="6" t="str">
        <f>iF('Ingest Template'!A176="Standard","Pristine Brand","Unknown")</f>
        <v>Unknown</v>
      </c>
      <c r="J176" s="4" t="str">
        <f>iF('Ingest Template'!A176="Standard","LF // Beverages","Competitive View")</f>
        <v>Competitive View</v>
      </c>
      <c r="K176" s="7" t="s">
        <v>35</v>
      </c>
      <c r="L176" s="8"/>
      <c r="M176" s="4"/>
      <c r="N176" s="4"/>
      <c r="O176" s="4"/>
      <c r="P176" s="4"/>
      <c r="Q176" s="4"/>
      <c r="R176" s="7" t="s">
        <v>36</v>
      </c>
      <c r="S176" s="4" t="str">
        <f>'Ingest Template'!J176</f>
        <v/>
      </c>
      <c r="T176" s="4" t="str">
        <f>'Ingest Template'!I176</f>
        <v/>
      </c>
      <c r="U176" s="4" t="str">
        <f>LOWER(SUBSTITUTE(SUBSTITUTE(SUBSTITUTE(SUBSTITUTE(SUBSTITUTE('Ingest Template'!K176,"https:",""),"www.",""),"/",""),"?hl=en",""),"instagram.com",""))</f>
        <v/>
      </c>
      <c r="V176" s="9" t="str">
        <f>'Ingest Template'!L176</f>
        <v/>
      </c>
      <c r="W176" s="9" t="str">
        <f>'Ingest Template'!M176</f>
        <v/>
      </c>
      <c r="X176" s="4" t="str">
        <f>SUBSTITUTE(SUBSTITUTE(SUBSTITUTE('Ingest Template'!N176,"http:",""),"https:",""),"/","")</f>
        <v/>
      </c>
      <c r="Y176" s="4" t="str">
        <f t="array" ref="Y176">IF('Ingest Template'!A176="Standard",(IF(ISBLANK('Ingest Template'!O176),"", 'Ingest Template'!O176&amp;"|DAR")),(IF(ISBLANK('Ingest Template'!O176),"", 'Ingest Template'!O176&amp;"|Film Ops")))</f>
        <v/>
      </c>
      <c r="Z176" s="4"/>
      <c r="AA176" s="4" t="str">
        <f>'Ingest Template'!E176</f>
        <v/>
      </c>
      <c r="AB176" s="7"/>
      <c r="AC176" s="4" t="str">
        <f t="array" ref="AC176">IF('Ingest Template'!A176="Standard",(CONCATENATE(IF(ISBLANK('Ingest Template'!F176),"", 'Ingest Template'!F176&amp;"|DAR"),CHAR(10), IF(ISBLANK('Ingest Template'!G176),"", 'Ingest Template'!G176&amp;"|DAR"),CHAR(10), IF(ISBLANK('Ingest Template'!H176),"", 'Ingest Template'!H176&amp;"|DAR"))),(CONCATENATE(IF(ISBLANK('Ingest Template'!F176),"", 'Ingest Template'!F176&amp;"|Film Ops"),CHAR(10), IF(ISBLANK('Ingest Template'!G176),"", 'Ingest Template'!G176&amp;"|Film Ops"),CHAR(10), IF(ISBLANK('Ingest Template'!H176),"", 'Ingest Template'!H176&amp;"|Film Ops"))))</f>
        <v>
</v>
      </c>
      <c r="AD176" s="4"/>
      <c r="AE176" s="4"/>
      <c r="AF176" s="10"/>
      <c r="AG176" s="4"/>
      <c r="AH176" s="4"/>
    </row>
    <row r="177">
      <c r="A177" s="4"/>
      <c r="B177" s="4" t="str">
        <f>'Ingest Template'!B177&amp;IF('Ingest Template'!A177 = "Standard", " - DAR","")</f>
        <v/>
      </c>
      <c r="C177" s="5" t="s">
        <v>34</v>
      </c>
      <c r="D177" s="5" t="str">
        <f>CONCATENATE('Ingest Template'!C177,'Ingest Template'!D177)</f>
        <v/>
      </c>
      <c r="E177" s="4"/>
      <c r="F177" s="4"/>
      <c r="G177" s="4"/>
      <c r="H177" s="6"/>
      <c r="I177" s="6" t="str">
        <f>iF('Ingest Template'!A177="Standard","Pristine Brand","Unknown")</f>
        <v>Unknown</v>
      </c>
      <c r="J177" s="4" t="str">
        <f>iF('Ingest Template'!A177="Standard","LF // Beverages","Competitive View")</f>
        <v>Competitive View</v>
      </c>
      <c r="K177" s="7" t="s">
        <v>35</v>
      </c>
      <c r="L177" s="8"/>
      <c r="M177" s="4"/>
      <c r="N177" s="4"/>
      <c r="O177" s="4"/>
      <c r="P177" s="4"/>
      <c r="Q177" s="4"/>
      <c r="R177" s="7" t="s">
        <v>36</v>
      </c>
      <c r="S177" s="4" t="str">
        <f>'Ingest Template'!J177</f>
        <v/>
      </c>
      <c r="T177" s="4" t="str">
        <f>'Ingest Template'!I177</f>
        <v/>
      </c>
      <c r="U177" s="4" t="str">
        <f>LOWER(SUBSTITUTE(SUBSTITUTE(SUBSTITUTE(SUBSTITUTE(SUBSTITUTE('Ingest Template'!K177,"https:",""),"www.",""),"/",""),"?hl=en",""),"instagram.com",""))</f>
        <v/>
      </c>
      <c r="V177" s="9" t="str">
        <f>'Ingest Template'!L177</f>
        <v/>
      </c>
      <c r="W177" s="9" t="str">
        <f>'Ingest Template'!M177</f>
        <v/>
      </c>
      <c r="X177" s="4" t="str">
        <f>SUBSTITUTE(SUBSTITUTE(SUBSTITUTE('Ingest Template'!N177,"http:",""),"https:",""),"/","")</f>
        <v/>
      </c>
      <c r="Y177" s="4" t="str">
        <f t="array" ref="Y177">IF('Ingest Template'!A177="Standard",(IF(ISBLANK('Ingest Template'!O177),"", 'Ingest Template'!O177&amp;"|DAR")),(IF(ISBLANK('Ingest Template'!O177),"", 'Ingest Template'!O177&amp;"|Film Ops")))</f>
        <v/>
      </c>
      <c r="Z177" s="4"/>
      <c r="AA177" s="4" t="str">
        <f>'Ingest Template'!E177</f>
        <v/>
      </c>
      <c r="AB177" s="7"/>
      <c r="AC177" s="4" t="str">
        <f t="array" ref="AC177">IF('Ingest Template'!A177="Standard",(CONCATENATE(IF(ISBLANK('Ingest Template'!F177),"", 'Ingest Template'!F177&amp;"|DAR"),CHAR(10), IF(ISBLANK('Ingest Template'!G177),"", 'Ingest Template'!G177&amp;"|DAR"),CHAR(10), IF(ISBLANK('Ingest Template'!H177),"", 'Ingest Template'!H177&amp;"|DAR"))),(CONCATENATE(IF(ISBLANK('Ingest Template'!F177),"", 'Ingest Template'!F177&amp;"|Film Ops"),CHAR(10), IF(ISBLANK('Ingest Template'!G177),"", 'Ingest Template'!G177&amp;"|Film Ops"),CHAR(10), IF(ISBLANK('Ingest Template'!H177),"", 'Ingest Template'!H177&amp;"|Film Ops"))))</f>
        <v>
</v>
      </c>
      <c r="AD177" s="4"/>
      <c r="AE177" s="4"/>
      <c r="AF177" s="10"/>
      <c r="AG177" s="4"/>
      <c r="AH177" s="4"/>
    </row>
    <row r="178">
      <c r="A178" s="4"/>
      <c r="B178" s="4" t="str">
        <f>'Ingest Template'!B178&amp;IF('Ingest Template'!A178 = "Standard", " - DAR","")</f>
        <v/>
      </c>
      <c r="C178" s="5" t="s">
        <v>34</v>
      </c>
      <c r="D178" s="5" t="str">
        <f>CONCATENATE('Ingest Template'!C178,'Ingest Template'!D178)</f>
        <v/>
      </c>
      <c r="E178" s="4"/>
      <c r="F178" s="4"/>
      <c r="G178" s="4"/>
      <c r="H178" s="6"/>
      <c r="I178" s="6" t="str">
        <f>iF('Ingest Template'!A178="Standard","Pristine Brand","Unknown")</f>
        <v>Unknown</v>
      </c>
      <c r="J178" s="4" t="str">
        <f>iF('Ingest Template'!A178="Standard","LF // Beverages","Competitive View")</f>
        <v>Competitive View</v>
      </c>
      <c r="K178" s="7" t="s">
        <v>35</v>
      </c>
      <c r="L178" s="8"/>
      <c r="M178" s="4"/>
      <c r="N178" s="4"/>
      <c r="O178" s="4"/>
      <c r="P178" s="4"/>
      <c r="Q178" s="4"/>
      <c r="R178" s="7" t="s">
        <v>36</v>
      </c>
      <c r="S178" s="4" t="str">
        <f>'Ingest Template'!J178</f>
        <v/>
      </c>
      <c r="T178" s="4" t="str">
        <f>'Ingest Template'!I178</f>
        <v/>
      </c>
      <c r="U178" s="4" t="str">
        <f>LOWER(SUBSTITUTE(SUBSTITUTE(SUBSTITUTE(SUBSTITUTE(SUBSTITUTE('Ingest Template'!K178,"https:",""),"www.",""),"/",""),"?hl=en",""),"instagram.com",""))</f>
        <v/>
      </c>
      <c r="V178" s="9" t="str">
        <f>'Ingest Template'!L178</f>
        <v/>
      </c>
      <c r="W178" s="9" t="str">
        <f>'Ingest Template'!M178</f>
        <v/>
      </c>
      <c r="X178" s="4" t="str">
        <f>SUBSTITUTE(SUBSTITUTE(SUBSTITUTE('Ingest Template'!N178,"http:",""),"https:",""),"/","")</f>
        <v/>
      </c>
      <c r="Y178" s="4" t="str">
        <f t="array" ref="Y178">IF('Ingest Template'!A178="Standard",(IF(ISBLANK('Ingest Template'!O178),"", 'Ingest Template'!O178&amp;"|DAR")),(IF(ISBLANK('Ingest Template'!O178),"", 'Ingest Template'!O178&amp;"|Film Ops")))</f>
        <v/>
      </c>
      <c r="Z178" s="4"/>
      <c r="AA178" s="4" t="str">
        <f>'Ingest Template'!E178</f>
        <v/>
      </c>
      <c r="AB178" s="7"/>
      <c r="AC178" s="4" t="str">
        <f t="array" ref="AC178">IF('Ingest Template'!A178="Standard",(CONCATENATE(IF(ISBLANK('Ingest Template'!F178),"", 'Ingest Template'!F178&amp;"|DAR"),CHAR(10), IF(ISBLANK('Ingest Template'!G178),"", 'Ingest Template'!G178&amp;"|DAR"),CHAR(10), IF(ISBLANK('Ingest Template'!H178),"", 'Ingest Template'!H178&amp;"|DAR"))),(CONCATENATE(IF(ISBLANK('Ingest Template'!F178),"", 'Ingest Template'!F178&amp;"|Film Ops"),CHAR(10), IF(ISBLANK('Ingest Template'!G178),"", 'Ingest Template'!G178&amp;"|Film Ops"),CHAR(10), IF(ISBLANK('Ingest Template'!H178),"", 'Ingest Template'!H178&amp;"|Film Ops"))))</f>
        <v>
</v>
      </c>
      <c r="AD178" s="4"/>
      <c r="AE178" s="4"/>
      <c r="AF178" s="10"/>
      <c r="AG178" s="4"/>
      <c r="AH178" s="4"/>
    </row>
    <row r="179">
      <c r="A179" s="4"/>
      <c r="B179" s="4" t="str">
        <f>'Ingest Template'!B179&amp;IF('Ingest Template'!A179 = "Standard", " - DAR","")</f>
        <v/>
      </c>
      <c r="C179" s="5" t="s">
        <v>34</v>
      </c>
      <c r="D179" s="5" t="str">
        <f>CONCATENATE('Ingest Template'!C179,'Ingest Template'!D179)</f>
        <v/>
      </c>
      <c r="E179" s="4"/>
      <c r="F179" s="4"/>
      <c r="G179" s="4"/>
      <c r="H179" s="6"/>
      <c r="I179" s="6" t="str">
        <f>iF('Ingest Template'!A179="Standard","Pristine Brand","Unknown")</f>
        <v>Unknown</v>
      </c>
      <c r="J179" s="4" t="str">
        <f>iF('Ingest Template'!A179="Standard","LF // Beverages","Competitive View")</f>
        <v>Competitive View</v>
      </c>
      <c r="K179" s="7" t="s">
        <v>35</v>
      </c>
      <c r="L179" s="8"/>
      <c r="M179" s="4"/>
      <c r="N179" s="4"/>
      <c r="O179" s="4"/>
      <c r="P179" s="4"/>
      <c r="Q179" s="4"/>
      <c r="R179" s="7" t="s">
        <v>36</v>
      </c>
      <c r="S179" s="4" t="str">
        <f>'Ingest Template'!J179</f>
        <v/>
      </c>
      <c r="T179" s="4" t="str">
        <f>'Ingest Template'!I179</f>
        <v/>
      </c>
      <c r="U179" s="4" t="str">
        <f>LOWER(SUBSTITUTE(SUBSTITUTE(SUBSTITUTE(SUBSTITUTE(SUBSTITUTE('Ingest Template'!K179,"https:",""),"www.",""),"/",""),"?hl=en",""),"instagram.com",""))</f>
        <v/>
      </c>
      <c r="V179" s="9" t="str">
        <f>'Ingest Template'!L179</f>
        <v/>
      </c>
      <c r="W179" s="9" t="str">
        <f>'Ingest Template'!M179</f>
        <v/>
      </c>
      <c r="X179" s="4" t="str">
        <f>SUBSTITUTE(SUBSTITUTE(SUBSTITUTE('Ingest Template'!N179,"http:",""),"https:",""),"/","")</f>
        <v/>
      </c>
      <c r="Y179" s="4" t="str">
        <f t="array" ref="Y179">IF('Ingest Template'!A179="Standard",(IF(ISBLANK('Ingest Template'!O179),"", 'Ingest Template'!O179&amp;"|DAR")),(IF(ISBLANK('Ingest Template'!O179),"", 'Ingest Template'!O179&amp;"|Film Ops")))</f>
        <v/>
      </c>
      <c r="Z179" s="4"/>
      <c r="AA179" s="4" t="str">
        <f>'Ingest Template'!E179</f>
        <v/>
      </c>
      <c r="AB179" s="7"/>
      <c r="AC179" s="4" t="str">
        <f t="array" ref="AC179">IF('Ingest Template'!A179="Standard",(CONCATENATE(IF(ISBLANK('Ingest Template'!F179),"", 'Ingest Template'!F179&amp;"|DAR"),CHAR(10), IF(ISBLANK('Ingest Template'!G179),"", 'Ingest Template'!G179&amp;"|DAR"),CHAR(10), IF(ISBLANK('Ingest Template'!H179),"", 'Ingest Template'!H179&amp;"|DAR"))),(CONCATENATE(IF(ISBLANK('Ingest Template'!F179),"", 'Ingest Template'!F179&amp;"|Film Ops"),CHAR(10), IF(ISBLANK('Ingest Template'!G179),"", 'Ingest Template'!G179&amp;"|Film Ops"),CHAR(10), IF(ISBLANK('Ingest Template'!H179),"", 'Ingest Template'!H179&amp;"|Film Ops"))))</f>
        <v>
</v>
      </c>
      <c r="AD179" s="4"/>
      <c r="AE179" s="4"/>
      <c r="AF179" s="10"/>
      <c r="AG179" s="4"/>
      <c r="AH179" s="4"/>
    </row>
    <row r="180">
      <c r="A180" s="4"/>
      <c r="B180" s="4" t="str">
        <f>'Ingest Template'!B180&amp;IF('Ingest Template'!A180 = "Standard", " - DAR","")</f>
        <v/>
      </c>
      <c r="C180" s="5" t="s">
        <v>34</v>
      </c>
      <c r="D180" s="5" t="str">
        <f>CONCATENATE('Ingest Template'!C180,'Ingest Template'!D180)</f>
        <v/>
      </c>
      <c r="E180" s="4"/>
      <c r="F180" s="4"/>
      <c r="G180" s="4"/>
      <c r="H180" s="6"/>
      <c r="I180" s="6" t="str">
        <f>iF('Ingest Template'!A180="Standard","Pristine Brand","Unknown")</f>
        <v>Unknown</v>
      </c>
      <c r="J180" s="4" t="str">
        <f>iF('Ingest Template'!A180="Standard","LF // Beverages","Competitive View")</f>
        <v>Competitive View</v>
      </c>
      <c r="K180" s="7" t="s">
        <v>35</v>
      </c>
      <c r="L180" s="8"/>
      <c r="M180" s="4"/>
      <c r="N180" s="4"/>
      <c r="O180" s="4"/>
      <c r="P180" s="4"/>
      <c r="Q180" s="4"/>
      <c r="R180" s="7" t="s">
        <v>36</v>
      </c>
      <c r="S180" s="4" t="str">
        <f>'Ingest Template'!J180</f>
        <v/>
      </c>
      <c r="T180" s="4" t="str">
        <f>'Ingest Template'!I180</f>
        <v/>
      </c>
      <c r="U180" s="4" t="str">
        <f>LOWER(SUBSTITUTE(SUBSTITUTE(SUBSTITUTE(SUBSTITUTE(SUBSTITUTE('Ingest Template'!K180,"https:",""),"www.",""),"/",""),"?hl=en",""),"instagram.com",""))</f>
        <v/>
      </c>
      <c r="V180" s="9" t="str">
        <f>'Ingest Template'!L180</f>
        <v/>
      </c>
      <c r="W180" s="9" t="str">
        <f>'Ingest Template'!M180</f>
        <v/>
      </c>
      <c r="X180" s="4" t="str">
        <f>SUBSTITUTE(SUBSTITUTE(SUBSTITUTE('Ingest Template'!N180,"http:",""),"https:",""),"/","")</f>
        <v/>
      </c>
      <c r="Y180" s="4" t="str">
        <f t="array" ref="Y180">IF('Ingest Template'!A180="Standard",(IF(ISBLANK('Ingest Template'!O180),"", 'Ingest Template'!O180&amp;"|DAR")),(IF(ISBLANK('Ingest Template'!O180),"", 'Ingest Template'!O180&amp;"|Film Ops")))</f>
        <v/>
      </c>
      <c r="Z180" s="4"/>
      <c r="AA180" s="4" t="str">
        <f>'Ingest Template'!E180</f>
        <v/>
      </c>
      <c r="AB180" s="7"/>
      <c r="AC180" s="4" t="str">
        <f t="array" ref="AC180">IF('Ingest Template'!A180="Standard",(CONCATENATE(IF(ISBLANK('Ingest Template'!F180),"", 'Ingest Template'!F180&amp;"|DAR"),CHAR(10), IF(ISBLANK('Ingest Template'!G180),"", 'Ingest Template'!G180&amp;"|DAR"),CHAR(10), IF(ISBLANK('Ingest Template'!H180),"", 'Ingest Template'!H180&amp;"|DAR"))),(CONCATENATE(IF(ISBLANK('Ingest Template'!F180),"", 'Ingest Template'!F180&amp;"|Film Ops"),CHAR(10), IF(ISBLANK('Ingest Template'!G180),"", 'Ingest Template'!G180&amp;"|Film Ops"),CHAR(10), IF(ISBLANK('Ingest Template'!H180),"", 'Ingest Template'!H180&amp;"|Film Ops"))))</f>
        <v>
</v>
      </c>
      <c r="AD180" s="4"/>
      <c r="AE180" s="4"/>
      <c r="AF180" s="10"/>
      <c r="AG180" s="4"/>
      <c r="AH180" s="4"/>
    </row>
    <row r="181">
      <c r="A181" s="4"/>
      <c r="B181" s="4" t="str">
        <f>'Ingest Template'!B181&amp;IF('Ingest Template'!A181 = "Standard", " - DAR","")</f>
        <v/>
      </c>
      <c r="C181" s="5" t="s">
        <v>34</v>
      </c>
      <c r="D181" s="5" t="str">
        <f>CONCATENATE('Ingest Template'!C181,'Ingest Template'!D181)</f>
        <v/>
      </c>
      <c r="E181" s="4"/>
      <c r="F181" s="4"/>
      <c r="G181" s="4"/>
      <c r="H181" s="6"/>
      <c r="I181" s="6" t="str">
        <f>iF('Ingest Template'!A181="Standard","Pristine Brand","Unknown")</f>
        <v>Unknown</v>
      </c>
      <c r="J181" s="4" t="str">
        <f>iF('Ingest Template'!A181="Standard","LF // Beverages","Competitive View")</f>
        <v>Competitive View</v>
      </c>
      <c r="K181" s="7" t="s">
        <v>35</v>
      </c>
      <c r="L181" s="8"/>
      <c r="M181" s="4"/>
      <c r="N181" s="4"/>
      <c r="O181" s="4"/>
      <c r="P181" s="4"/>
      <c r="Q181" s="4"/>
      <c r="R181" s="7" t="s">
        <v>36</v>
      </c>
      <c r="S181" s="4" t="str">
        <f>'Ingest Template'!J181</f>
        <v/>
      </c>
      <c r="T181" s="4" t="str">
        <f>'Ingest Template'!I181</f>
        <v/>
      </c>
      <c r="U181" s="4" t="str">
        <f>LOWER(SUBSTITUTE(SUBSTITUTE(SUBSTITUTE(SUBSTITUTE(SUBSTITUTE('Ingest Template'!K181,"https:",""),"www.",""),"/",""),"?hl=en",""),"instagram.com",""))</f>
        <v/>
      </c>
      <c r="V181" s="9" t="str">
        <f>'Ingest Template'!L181</f>
        <v/>
      </c>
      <c r="W181" s="9" t="str">
        <f>'Ingest Template'!M181</f>
        <v/>
      </c>
      <c r="X181" s="4" t="str">
        <f>SUBSTITUTE(SUBSTITUTE(SUBSTITUTE('Ingest Template'!N181,"http:",""),"https:",""),"/","")</f>
        <v/>
      </c>
      <c r="Y181" s="4" t="str">
        <f t="array" ref="Y181">IF('Ingest Template'!A181="Standard",(IF(ISBLANK('Ingest Template'!O181),"", 'Ingest Template'!O181&amp;"|DAR")),(IF(ISBLANK('Ingest Template'!O181),"", 'Ingest Template'!O181&amp;"|Film Ops")))</f>
        <v/>
      </c>
      <c r="Z181" s="4"/>
      <c r="AA181" s="4" t="str">
        <f>'Ingest Template'!E181</f>
        <v/>
      </c>
      <c r="AB181" s="7"/>
      <c r="AC181" s="4" t="str">
        <f t="array" ref="AC181">IF('Ingest Template'!A181="Standard",(CONCATENATE(IF(ISBLANK('Ingest Template'!F181),"", 'Ingest Template'!F181&amp;"|DAR"),CHAR(10), IF(ISBLANK('Ingest Template'!G181),"", 'Ingest Template'!G181&amp;"|DAR"),CHAR(10), IF(ISBLANK('Ingest Template'!H181),"", 'Ingest Template'!H181&amp;"|DAR"))),(CONCATENATE(IF(ISBLANK('Ingest Template'!F181),"", 'Ingest Template'!F181&amp;"|Film Ops"),CHAR(10), IF(ISBLANK('Ingest Template'!G181),"", 'Ingest Template'!G181&amp;"|Film Ops"),CHAR(10), IF(ISBLANK('Ingest Template'!H181),"", 'Ingest Template'!H181&amp;"|Film Ops"))))</f>
        <v>
</v>
      </c>
      <c r="AD181" s="4"/>
      <c r="AE181" s="4"/>
      <c r="AF181" s="10"/>
      <c r="AG181" s="4"/>
      <c r="AH181" s="4"/>
    </row>
    <row r="182">
      <c r="A182" s="4"/>
      <c r="B182" s="4" t="str">
        <f>'Ingest Template'!B182&amp;IF('Ingest Template'!A182 = "Standard", " - DAR","")</f>
        <v/>
      </c>
      <c r="C182" s="5" t="s">
        <v>34</v>
      </c>
      <c r="D182" s="5" t="str">
        <f>CONCATENATE('Ingest Template'!C182,'Ingest Template'!D182)</f>
        <v/>
      </c>
      <c r="E182" s="4"/>
      <c r="F182" s="4"/>
      <c r="G182" s="4"/>
      <c r="H182" s="6"/>
      <c r="I182" s="6" t="str">
        <f>iF('Ingest Template'!A182="Standard","Pristine Brand","Unknown")</f>
        <v>Unknown</v>
      </c>
      <c r="J182" s="4" t="str">
        <f>iF('Ingest Template'!A182="Standard","LF // Beverages","Competitive View")</f>
        <v>Competitive View</v>
      </c>
      <c r="K182" s="7" t="s">
        <v>35</v>
      </c>
      <c r="L182" s="8"/>
      <c r="M182" s="4"/>
      <c r="N182" s="4"/>
      <c r="O182" s="4"/>
      <c r="P182" s="4"/>
      <c r="Q182" s="4"/>
      <c r="R182" s="7" t="s">
        <v>36</v>
      </c>
      <c r="S182" s="4" t="str">
        <f>'Ingest Template'!J182</f>
        <v/>
      </c>
      <c r="T182" s="4" t="str">
        <f>'Ingest Template'!I182</f>
        <v/>
      </c>
      <c r="U182" s="4" t="str">
        <f>LOWER(SUBSTITUTE(SUBSTITUTE(SUBSTITUTE(SUBSTITUTE(SUBSTITUTE('Ingest Template'!K182,"https:",""),"www.",""),"/",""),"?hl=en",""),"instagram.com",""))</f>
        <v/>
      </c>
      <c r="V182" s="9" t="str">
        <f>'Ingest Template'!L182</f>
        <v/>
      </c>
      <c r="W182" s="9" t="str">
        <f>'Ingest Template'!M182</f>
        <v/>
      </c>
      <c r="X182" s="4" t="str">
        <f>SUBSTITUTE(SUBSTITUTE(SUBSTITUTE('Ingest Template'!N182,"http:",""),"https:",""),"/","")</f>
        <v/>
      </c>
      <c r="Y182" s="4" t="str">
        <f t="array" ref="Y182">IF('Ingest Template'!A182="Standard",(IF(ISBLANK('Ingest Template'!O182),"", 'Ingest Template'!O182&amp;"|DAR")),(IF(ISBLANK('Ingest Template'!O182),"", 'Ingest Template'!O182&amp;"|Film Ops")))</f>
        <v/>
      </c>
      <c r="Z182" s="4"/>
      <c r="AA182" s="4" t="str">
        <f>'Ingest Template'!E182</f>
        <v/>
      </c>
      <c r="AB182" s="7"/>
      <c r="AC182" s="4" t="str">
        <f t="array" ref="AC182">IF('Ingest Template'!A182="Standard",(CONCATENATE(IF(ISBLANK('Ingest Template'!F182),"", 'Ingest Template'!F182&amp;"|DAR"),CHAR(10), IF(ISBLANK('Ingest Template'!G182),"", 'Ingest Template'!G182&amp;"|DAR"),CHAR(10), IF(ISBLANK('Ingest Template'!H182),"", 'Ingest Template'!H182&amp;"|DAR"))),(CONCATENATE(IF(ISBLANK('Ingest Template'!F182),"", 'Ingest Template'!F182&amp;"|Film Ops"),CHAR(10), IF(ISBLANK('Ingest Template'!G182),"", 'Ingest Template'!G182&amp;"|Film Ops"),CHAR(10), IF(ISBLANK('Ingest Template'!H182),"", 'Ingest Template'!H182&amp;"|Film Ops"))))</f>
        <v>
</v>
      </c>
      <c r="AD182" s="4"/>
      <c r="AE182" s="4"/>
      <c r="AF182" s="10"/>
      <c r="AG182" s="4"/>
      <c r="AH182" s="4"/>
    </row>
    <row r="183">
      <c r="A183" s="4"/>
      <c r="B183" s="4" t="str">
        <f>'Ingest Template'!B183&amp;IF('Ingest Template'!A183 = "Standard", " - DAR","")</f>
        <v/>
      </c>
      <c r="C183" s="5" t="s">
        <v>34</v>
      </c>
      <c r="D183" s="5" t="str">
        <f>CONCATENATE('Ingest Template'!C183,'Ingest Template'!D183)</f>
        <v/>
      </c>
      <c r="E183" s="4"/>
      <c r="F183" s="4"/>
      <c r="G183" s="4"/>
      <c r="H183" s="6"/>
      <c r="I183" s="6" t="str">
        <f>iF('Ingest Template'!A183="Standard","Pristine Brand","Unknown")</f>
        <v>Unknown</v>
      </c>
      <c r="J183" s="4" t="str">
        <f>iF('Ingest Template'!A183="Standard","LF // Beverages","Competitive View")</f>
        <v>Competitive View</v>
      </c>
      <c r="K183" s="7" t="s">
        <v>35</v>
      </c>
      <c r="L183" s="8"/>
      <c r="M183" s="4"/>
      <c r="N183" s="4"/>
      <c r="O183" s="4"/>
      <c r="P183" s="4"/>
      <c r="Q183" s="4"/>
      <c r="R183" s="7" t="s">
        <v>36</v>
      </c>
      <c r="S183" s="4" t="str">
        <f>'Ingest Template'!J183</f>
        <v/>
      </c>
      <c r="T183" s="4" t="str">
        <f>'Ingest Template'!I183</f>
        <v/>
      </c>
      <c r="U183" s="4" t="str">
        <f>LOWER(SUBSTITUTE(SUBSTITUTE(SUBSTITUTE(SUBSTITUTE(SUBSTITUTE('Ingest Template'!K183,"https:",""),"www.",""),"/",""),"?hl=en",""),"instagram.com",""))</f>
        <v/>
      </c>
      <c r="V183" s="9" t="str">
        <f>'Ingest Template'!L183</f>
        <v/>
      </c>
      <c r="W183" s="9" t="str">
        <f>'Ingest Template'!M183</f>
        <v/>
      </c>
      <c r="X183" s="4" t="str">
        <f>SUBSTITUTE(SUBSTITUTE(SUBSTITUTE('Ingest Template'!N183,"http:",""),"https:",""),"/","")</f>
        <v/>
      </c>
      <c r="Y183" s="4" t="str">
        <f t="array" ref="Y183">IF('Ingest Template'!A183="Standard",(IF(ISBLANK('Ingest Template'!O183),"", 'Ingest Template'!O183&amp;"|DAR")),(IF(ISBLANK('Ingest Template'!O183),"", 'Ingest Template'!O183&amp;"|Film Ops")))</f>
        <v/>
      </c>
      <c r="Z183" s="4"/>
      <c r="AA183" s="4" t="str">
        <f>'Ingest Template'!E183</f>
        <v/>
      </c>
      <c r="AB183" s="7"/>
      <c r="AC183" s="4" t="str">
        <f t="array" ref="AC183">IF('Ingest Template'!A183="Standard",(CONCATENATE(IF(ISBLANK('Ingest Template'!F183),"", 'Ingest Template'!F183&amp;"|DAR"),CHAR(10), IF(ISBLANK('Ingest Template'!G183),"", 'Ingest Template'!G183&amp;"|DAR"),CHAR(10), IF(ISBLANK('Ingest Template'!H183),"", 'Ingest Template'!H183&amp;"|DAR"))),(CONCATENATE(IF(ISBLANK('Ingest Template'!F183),"", 'Ingest Template'!F183&amp;"|Film Ops"),CHAR(10), IF(ISBLANK('Ingest Template'!G183),"", 'Ingest Template'!G183&amp;"|Film Ops"),CHAR(10), IF(ISBLANK('Ingest Template'!H183),"", 'Ingest Template'!H183&amp;"|Film Ops"))))</f>
        <v>
</v>
      </c>
      <c r="AD183" s="4"/>
      <c r="AE183" s="4"/>
      <c r="AF183" s="10"/>
      <c r="AG183" s="4"/>
      <c r="AH183" s="4"/>
    </row>
    <row r="184">
      <c r="A184" s="4"/>
      <c r="B184" s="4" t="str">
        <f>'Ingest Template'!B184&amp;IF('Ingest Template'!A184 = "Standard", " - DAR","")</f>
        <v/>
      </c>
      <c r="C184" s="5" t="s">
        <v>34</v>
      </c>
      <c r="D184" s="5" t="str">
        <f>CONCATENATE('Ingest Template'!C184,'Ingest Template'!D184)</f>
        <v/>
      </c>
      <c r="E184" s="4"/>
      <c r="F184" s="4"/>
      <c r="G184" s="4"/>
      <c r="H184" s="6"/>
      <c r="I184" s="6" t="str">
        <f>iF('Ingest Template'!A184="Standard","Pristine Brand","Unknown")</f>
        <v>Unknown</v>
      </c>
      <c r="J184" s="4" t="str">
        <f>iF('Ingest Template'!A184="Standard","LF // Beverages","Competitive View")</f>
        <v>Competitive View</v>
      </c>
      <c r="K184" s="7" t="s">
        <v>35</v>
      </c>
      <c r="L184" s="8"/>
      <c r="M184" s="4"/>
      <c r="N184" s="4"/>
      <c r="O184" s="4"/>
      <c r="P184" s="4"/>
      <c r="Q184" s="4"/>
      <c r="R184" s="7" t="s">
        <v>36</v>
      </c>
      <c r="S184" s="4" t="str">
        <f>'Ingest Template'!J184</f>
        <v/>
      </c>
      <c r="T184" s="4" t="str">
        <f>'Ingest Template'!I184</f>
        <v/>
      </c>
      <c r="U184" s="4" t="str">
        <f>LOWER(SUBSTITUTE(SUBSTITUTE(SUBSTITUTE(SUBSTITUTE(SUBSTITUTE('Ingest Template'!K184,"https:",""),"www.",""),"/",""),"?hl=en",""),"instagram.com",""))</f>
        <v/>
      </c>
      <c r="V184" s="9" t="str">
        <f>'Ingest Template'!L184</f>
        <v/>
      </c>
      <c r="W184" s="9" t="str">
        <f>'Ingest Template'!M184</f>
        <v/>
      </c>
      <c r="X184" s="4" t="str">
        <f>SUBSTITUTE(SUBSTITUTE(SUBSTITUTE('Ingest Template'!N184,"http:",""),"https:",""),"/","")</f>
        <v/>
      </c>
      <c r="Y184" s="4" t="str">
        <f t="array" ref="Y184">IF('Ingest Template'!A184="Standard",(IF(ISBLANK('Ingest Template'!O184),"", 'Ingest Template'!O184&amp;"|DAR")),(IF(ISBLANK('Ingest Template'!O184),"", 'Ingest Template'!O184&amp;"|Film Ops")))</f>
        <v/>
      </c>
      <c r="Z184" s="4"/>
      <c r="AA184" s="4" t="str">
        <f>'Ingest Template'!E184</f>
        <v/>
      </c>
      <c r="AB184" s="7"/>
      <c r="AC184" s="4" t="str">
        <f t="array" ref="AC184">IF('Ingest Template'!A184="Standard",(CONCATENATE(IF(ISBLANK('Ingest Template'!F184),"", 'Ingest Template'!F184&amp;"|DAR"),CHAR(10), IF(ISBLANK('Ingest Template'!G184),"", 'Ingest Template'!G184&amp;"|DAR"),CHAR(10), IF(ISBLANK('Ingest Template'!H184),"", 'Ingest Template'!H184&amp;"|DAR"))),(CONCATENATE(IF(ISBLANK('Ingest Template'!F184),"", 'Ingest Template'!F184&amp;"|Film Ops"),CHAR(10), IF(ISBLANK('Ingest Template'!G184),"", 'Ingest Template'!G184&amp;"|Film Ops"),CHAR(10), IF(ISBLANK('Ingest Template'!H184),"", 'Ingest Template'!H184&amp;"|Film Ops"))))</f>
        <v>
</v>
      </c>
      <c r="AD184" s="4"/>
      <c r="AE184" s="4"/>
      <c r="AF184" s="10"/>
      <c r="AG184" s="4"/>
      <c r="AH184" s="4"/>
    </row>
    <row r="185">
      <c r="A185" s="4"/>
      <c r="B185" s="4" t="str">
        <f>'Ingest Template'!B185&amp;IF('Ingest Template'!A185 = "Standard", " - DAR","")</f>
        <v/>
      </c>
      <c r="C185" s="5" t="s">
        <v>34</v>
      </c>
      <c r="D185" s="5" t="str">
        <f>CONCATENATE('Ingest Template'!C185,'Ingest Template'!D185)</f>
        <v/>
      </c>
      <c r="E185" s="4"/>
      <c r="F185" s="4"/>
      <c r="G185" s="4"/>
      <c r="H185" s="6"/>
      <c r="I185" s="6" t="str">
        <f>iF('Ingest Template'!A185="Standard","Pristine Brand","Unknown")</f>
        <v>Unknown</v>
      </c>
      <c r="J185" s="4" t="str">
        <f>iF('Ingest Template'!A185="Standard","LF // Beverages","Competitive View")</f>
        <v>Competitive View</v>
      </c>
      <c r="K185" s="7" t="s">
        <v>35</v>
      </c>
      <c r="L185" s="8"/>
      <c r="M185" s="4"/>
      <c r="N185" s="4"/>
      <c r="O185" s="4"/>
      <c r="P185" s="4"/>
      <c r="Q185" s="4"/>
      <c r="R185" s="7" t="s">
        <v>36</v>
      </c>
      <c r="S185" s="4" t="str">
        <f>'Ingest Template'!J185</f>
        <v/>
      </c>
      <c r="T185" s="4" t="str">
        <f>'Ingest Template'!I185</f>
        <v/>
      </c>
      <c r="U185" s="4" t="str">
        <f>LOWER(SUBSTITUTE(SUBSTITUTE(SUBSTITUTE(SUBSTITUTE(SUBSTITUTE('Ingest Template'!K185,"https:",""),"www.",""),"/",""),"?hl=en",""),"instagram.com",""))</f>
        <v/>
      </c>
      <c r="V185" s="9" t="str">
        <f>'Ingest Template'!L185</f>
        <v/>
      </c>
      <c r="W185" s="9" t="str">
        <f>'Ingest Template'!M185</f>
        <v/>
      </c>
      <c r="X185" s="4" t="str">
        <f>SUBSTITUTE(SUBSTITUTE(SUBSTITUTE('Ingest Template'!N185,"http:",""),"https:",""),"/","")</f>
        <v/>
      </c>
      <c r="Y185" s="4" t="str">
        <f t="array" ref="Y185">IF('Ingest Template'!A185="Standard",(IF(ISBLANK('Ingest Template'!O185),"", 'Ingest Template'!O185&amp;"|DAR")),(IF(ISBLANK('Ingest Template'!O185),"", 'Ingest Template'!O185&amp;"|Film Ops")))</f>
        <v/>
      </c>
      <c r="Z185" s="4"/>
      <c r="AA185" s="4" t="str">
        <f>'Ingest Template'!E185</f>
        <v/>
      </c>
      <c r="AB185" s="7"/>
      <c r="AC185" s="4" t="str">
        <f t="array" ref="AC185">IF('Ingest Template'!A185="Standard",(CONCATENATE(IF(ISBLANK('Ingest Template'!F185),"", 'Ingest Template'!F185&amp;"|DAR"),CHAR(10), IF(ISBLANK('Ingest Template'!G185),"", 'Ingest Template'!G185&amp;"|DAR"),CHAR(10), IF(ISBLANK('Ingest Template'!H185),"", 'Ingest Template'!H185&amp;"|DAR"))),(CONCATENATE(IF(ISBLANK('Ingest Template'!F185),"", 'Ingest Template'!F185&amp;"|Film Ops"),CHAR(10), IF(ISBLANK('Ingest Template'!G185),"", 'Ingest Template'!G185&amp;"|Film Ops"),CHAR(10), IF(ISBLANK('Ingest Template'!H185),"", 'Ingest Template'!H185&amp;"|Film Ops"))))</f>
        <v>
</v>
      </c>
      <c r="AD185" s="4"/>
      <c r="AE185" s="4"/>
      <c r="AF185" s="10"/>
      <c r="AG185" s="4"/>
      <c r="AH185" s="4"/>
    </row>
    <row r="186">
      <c r="A186" s="4"/>
      <c r="B186" s="4" t="str">
        <f>'Ingest Template'!B186&amp;IF('Ingest Template'!A186 = "Standard", " - DAR","")</f>
        <v/>
      </c>
      <c r="C186" s="5" t="s">
        <v>34</v>
      </c>
      <c r="D186" s="5" t="str">
        <f>CONCATENATE('Ingest Template'!C186,'Ingest Template'!D186)</f>
        <v/>
      </c>
      <c r="E186" s="4"/>
      <c r="F186" s="4"/>
      <c r="G186" s="4"/>
      <c r="H186" s="6"/>
      <c r="I186" s="6" t="str">
        <f>iF('Ingest Template'!A186="Standard","Pristine Brand","Unknown")</f>
        <v>Unknown</v>
      </c>
      <c r="J186" s="4" t="str">
        <f>iF('Ingest Template'!A186="Standard","LF // Beverages","Competitive View")</f>
        <v>Competitive View</v>
      </c>
      <c r="K186" s="7" t="s">
        <v>35</v>
      </c>
      <c r="L186" s="8"/>
      <c r="M186" s="4"/>
      <c r="N186" s="4"/>
      <c r="O186" s="4"/>
      <c r="P186" s="4"/>
      <c r="Q186" s="4"/>
      <c r="R186" s="7" t="s">
        <v>36</v>
      </c>
      <c r="S186" s="4" t="str">
        <f>'Ingest Template'!J186</f>
        <v/>
      </c>
      <c r="T186" s="4" t="str">
        <f>'Ingest Template'!I186</f>
        <v/>
      </c>
      <c r="U186" s="4" t="str">
        <f>LOWER(SUBSTITUTE(SUBSTITUTE(SUBSTITUTE(SUBSTITUTE(SUBSTITUTE('Ingest Template'!K186,"https:",""),"www.",""),"/",""),"?hl=en",""),"instagram.com",""))</f>
        <v/>
      </c>
      <c r="V186" s="9" t="str">
        <f>'Ingest Template'!L186</f>
        <v/>
      </c>
      <c r="W186" s="9" t="str">
        <f>'Ingest Template'!M186</f>
        <v/>
      </c>
      <c r="X186" s="4" t="str">
        <f>SUBSTITUTE(SUBSTITUTE(SUBSTITUTE('Ingest Template'!N186,"http:",""),"https:",""),"/","")</f>
        <v/>
      </c>
      <c r="Y186" s="4" t="str">
        <f t="array" ref="Y186">IF('Ingest Template'!A186="Standard",(IF(ISBLANK('Ingest Template'!O186),"", 'Ingest Template'!O186&amp;"|DAR")),(IF(ISBLANK('Ingest Template'!O186),"", 'Ingest Template'!O186&amp;"|Film Ops")))</f>
        <v/>
      </c>
      <c r="Z186" s="4"/>
      <c r="AA186" s="4" t="str">
        <f>'Ingest Template'!E186</f>
        <v/>
      </c>
      <c r="AB186" s="7"/>
      <c r="AC186" s="4" t="str">
        <f t="array" ref="AC186">IF('Ingest Template'!A186="Standard",(CONCATENATE(IF(ISBLANK('Ingest Template'!F186),"", 'Ingest Template'!F186&amp;"|DAR"),CHAR(10), IF(ISBLANK('Ingest Template'!G186),"", 'Ingest Template'!G186&amp;"|DAR"),CHAR(10), IF(ISBLANK('Ingest Template'!H186),"", 'Ingest Template'!H186&amp;"|DAR"))),(CONCATENATE(IF(ISBLANK('Ingest Template'!F186),"", 'Ingest Template'!F186&amp;"|Film Ops"),CHAR(10), IF(ISBLANK('Ingest Template'!G186),"", 'Ingest Template'!G186&amp;"|Film Ops"),CHAR(10), IF(ISBLANK('Ingest Template'!H186),"", 'Ingest Template'!H186&amp;"|Film Ops"))))</f>
        <v>
</v>
      </c>
      <c r="AD186" s="4"/>
      <c r="AE186" s="4"/>
      <c r="AF186" s="10"/>
      <c r="AG186" s="4"/>
      <c r="AH186" s="4"/>
    </row>
    <row r="187">
      <c r="A187" s="4"/>
      <c r="B187" s="4" t="str">
        <f>'Ingest Template'!B187&amp;IF('Ingest Template'!A187 = "Standard", " - DAR","")</f>
        <v/>
      </c>
      <c r="C187" s="5" t="s">
        <v>34</v>
      </c>
      <c r="D187" s="5" t="str">
        <f>CONCATENATE('Ingest Template'!C187,'Ingest Template'!D187)</f>
        <v/>
      </c>
      <c r="E187" s="4"/>
      <c r="F187" s="4"/>
      <c r="G187" s="4"/>
      <c r="H187" s="6"/>
      <c r="I187" s="6" t="str">
        <f>iF('Ingest Template'!A187="Standard","Pristine Brand","Unknown")</f>
        <v>Unknown</v>
      </c>
      <c r="J187" s="4" t="str">
        <f>iF('Ingest Template'!A187="Standard","LF // Beverages","Competitive View")</f>
        <v>Competitive View</v>
      </c>
      <c r="K187" s="7" t="s">
        <v>35</v>
      </c>
      <c r="L187" s="8"/>
      <c r="M187" s="4"/>
      <c r="N187" s="4"/>
      <c r="O187" s="4"/>
      <c r="P187" s="4"/>
      <c r="Q187" s="4"/>
      <c r="R187" s="7" t="s">
        <v>36</v>
      </c>
      <c r="S187" s="4" t="str">
        <f>'Ingest Template'!J187</f>
        <v/>
      </c>
      <c r="T187" s="4" t="str">
        <f>'Ingest Template'!I187</f>
        <v/>
      </c>
      <c r="U187" s="4" t="str">
        <f>LOWER(SUBSTITUTE(SUBSTITUTE(SUBSTITUTE(SUBSTITUTE(SUBSTITUTE('Ingest Template'!K187,"https:",""),"www.",""),"/",""),"?hl=en",""),"instagram.com",""))</f>
        <v/>
      </c>
      <c r="V187" s="9" t="str">
        <f>'Ingest Template'!L187</f>
        <v/>
      </c>
      <c r="W187" s="9" t="str">
        <f>'Ingest Template'!M187</f>
        <v/>
      </c>
      <c r="X187" s="4" t="str">
        <f>SUBSTITUTE(SUBSTITUTE(SUBSTITUTE('Ingest Template'!N187,"http:",""),"https:",""),"/","")</f>
        <v/>
      </c>
      <c r="Y187" s="4" t="str">
        <f t="array" ref="Y187">IF('Ingest Template'!A187="Standard",(IF(ISBLANK('Ingest Template'!O187),"", 'Ingest Template'!O187&amp;"|DAR")),(IF(ISBLANK('Ingest Template'!O187),"", 'Ingest Template'!O187&amp;"|Film Ops")))</f>
        <v/>
      </c>
      <c r="Z187" s="4"/>
      <c r="AA187" s="4" t="str">
        <f>'Ingest Template'!E187</f>
        <v/>
      </c>
      <c r="AB187" s="7"/>
      <c r="AC187" s="4" t="str">
        <f t="array" ref="AC187">IF('Ingest Template'!A187="Standard",(CONCATENATE(IF(ISBLANK('Ingest Template'!F187),"", 'Ingest Template'!F187&amp;"|DAR"),CHAR(10), IF(ISBLANK('Ingest Template'!G187),"", 'Ingest Template'!G187&amp;"|DAR"),CHAR(10), IF(ISBLANK('Ingest Template'!H187),"", 'Ingest Template'!H187&amp;"|DAR"))),(CONCATENATE(IF(ISBLANK('Ingest Template'!F187),"", 'Ingest Template'!F187&amp;"|Film Ops"),CHAR(10), IF(ISBLANK('Ingest Template'!G187),"", 'Ingest Template'!G187&amp;"|Film Ops"),CHAR(10), IF(ISBLANK('Ingest Template'!H187),"", 'Ingest Template'!H187&amp;"|Film Ops"))))</f>
        <v>
</v>
      </c>
      <c r="AD187" s="4"/>
      <c r="AE187" s="4"/>
      <c r="AF187" s="10"/>
      <c r="AG187" s="4"/>
      <c r="AH187" s="4"/>
    </row>
    <row r="188">
      <c r="A188" s="4"/>
      <c r="B188" s="4" t="str">
        <f>'Ingest Template'!B188&amp;IF('Ingest Template'!A188 = "Standard", " - DAR","")</f>
        <v/>
      </c>
      <c r="C188" s="5" t="s">
        <v>34</v>
      </c>
      <c r="D188" s="5" t="str">
        <f>CONCATENATE('Ingest Template'!C188,'Ingest Template'!D188)</f>
        <v/>
      </c>
      <c r="E188" s="4"/>
      <c r="F188" s="4"/>
      <c r="G188" s="4"/>
      <c r="H188" s="6"/>
      <c r="I188" s="6" t="str">
        <f>iF('Ingest Template'!A188="Standard","Pristine Brand","Unknown")</f>
        <v>Unknown</v>
      </c>
      <c r="J188" s="4" t="str">
        <f>iF('Ingest Template'!A188="Standard","LF // Beverages","Competitive View")</f>
        <v>Competitive View</v>
      </c>
      <c r="K188" s="7" t="s">
        <v>35</v>
      </c>
      <c r="L188" s="8"/>
      <c r="M188" s="4"/>
      <c r="N188" s="4"/>
      <c r="O188" s="4"/>
      <c r="P188" s="4"/>
      <c r="Q188" s="4"/>
      <c r="R188" s="7" t="s">
        <v>36</v>
      </c>
      <c r="S188" s="4" t="str">
        <f>'Ingest Template'!J188</f>
        <v/>
      </c>
      <c r="T188" s="4" t="str">
        <f>'Ingest Template'!I188</f>
        <v/>
      </c>
      <c r="U188" s="4" t="str">
        <f>LOWER(SUBSTITUTE(SUBSTITUTE(SUBSTITUTE(SUBSTITUTE(SUBSTITUTE('Ingest Template'!K188,"https:",""),"www.",""),"/",""),"?hl=en",""),"instagram.com",""))</f>
        <v/>
      </c>
      <c r="V188" s="9" t="str">
        <f>'Ingest Template'!L188</f>
        <v/>
      </c>
      <c r="W188" s="9" t="str">
        <f>'Ingest Template'!M188</f>
        <v/>
      </c>
      <c r="X188" s="4" t="str">
        <f>SUBSTITUTE(SUBSTITUTE(SUBSTITUTE('Ingest Template'!N188,"http:",""),"https:",""),"/","")</f>
        <v/>
      </c>
      <c r="Y188" s="4" t="str">
        <f t="array" ref="Y188">IF('Ingest Template'!A188="Standard",(IF(ISBLANK('Ingest Template'!O188),"", 'Ingest Template'!O188&amp;"|DAR")),(IF(ISBLANK('Ingest Template'!O188),"", 'Ingest Template'!O188&amp;"|Film Ops")))</f>
        <v/>
      </c>
      <c r="Z188" s="4"/>
      <c r="AA188" s="4" t="str">
        <f>'Ingest Template'!E188</f>
        <v/>
      </c>
      <c r="AB188" s="7"/>
      <c r="AC188" s="4" t="str">
        <f t="array" ref="AC188">IF('Ingest Template'!A188="Standard",(CONCATENATE(IF(ISBLANK('Ingest Template'!F188),"", 'Ingest Template'!F188&amp;"|DAR"),CHAR(10), IF(ISBLANK('Ingest Template'!G188),"", 'Ingest Template'!G188&amp;"|DAR"),CHAR(10), IF(ISBLANK('Ingest Template'!H188),"", 'Ingest Template'!H188&amp;"|DAR"))),(CONCATENATE(IF(ISBLANK('Ingest Template'!F188),"", 'Ingest Template'!F188&amp;"|Film Ops"),CHAR(10), IF(ISBLANK('Ingest Template'!G188),"", 'Ingest Template'!G188&amp;"|Film Ops"),CHAR(10), IF(ISBLANK('Ingest Template'!H188),"", 'Ingest Template'!H188&amp;"|Film Ops"))))</f>
        <v>
</v>
      </c>
      <c r="AD188" s="4"/>
      <c r="AE188" s="4"/>
      <c r="AF188" s="10"/>
      <c r="AG188" s="4"/>
      <c r="AH188" s="4"/>
    </row>
    <row r="189">
      <c r="A189" s="4"/>
      <c r="B189" s="4" t="str">
        <f>'Ingest Template'!B189&amp;IF('Ingest Template'!A189 = "Standard", " - DAR","")</f>
        <v/>
      </c>
      <c r="C189" s="5" t="s">
        <v>34</v>
      </c>
      <c r="D189" s="5" t="str">
        <f>CONCATENATE('Ingest Template'!C189,'Ingest Template'!D189)</f>
        <v/>
      </c>
      <c r="E189" s="4"/>
      <c r="F189" s="4"/>
      <c r="G189" s="4"/>
      <c r="H189" s="6"/>
      <c r="I189" s="6" t="str">
        <f>iF('Ingest Template'!A189="Standard","Pristine Brand","Unknown")</f>
        <v>Unknown</v>
      </c>
      <c r="J189" s="4" t="str">
        <f>iF('Ingest Template'!A189="Standard","LF // Beverages","Competitive View")</f>
        <v>Competitive View</v>
      </c>
      <c r="K189" s="7" t="s">
        <v>35</v>
      </c>
      <c r="L189" s="8"/>
      <c r="M189" s="4"/>
      <c r="N189" s="4"/>
      <c r="O189" s="4"/>
      <c r="P189" s="4"/>
      <c r="Q189" s="4"/>
      <c r="R189" s="7" t="s">
        <v>36</v>
      </c>
      <c r="S189" s="4" t="str">
        <f>'Ingest Template'!J189</f>
        <v/>
      </c>
      <c r="T189" s="4" t="str">
        <f>'Ingest Template'!I189</f>
        <v/>
      </c>
      <c r="U189" s="4" t="str">
        <f>LOWER(SUBSTITUTE(SUBSTITUTE(SUBSTITUTE(SUBSTITUTE(SUBSTITUTE('Ingest Template'!K189,"https:",""),"www.",""),"/",""),"?hl=en",""),"instagram.com",""))</f>
        <v/>
      </c>
      <c r="V189" s="9" t="str">
        <f>'Ingest Template'!L189</f>
        <v/>
      </c>
      <c r="W189" s="9" t="str">
        <f>'Ingest Template'!M189</f>
        <v/>
      </c>
      <c r="X189" s="4" t="str">
        <f>SUBSTITUTE(SUBSTITUTE(SUBSTITUTE('Ingest Template'!N189,"http:",""),"https:",""),"/","")</f>
        <v/>
      </c>
      <c r="Y189" s="4" t="str">
        <f t="array" ref="Y189">IF('Ingest Template'!A189="Standard",(IF(ISBLANK('Ingest Template'!O189),"", 'Ingest Template'!O189&amp;"|DAR")),(IF(ISBLANK('Ingest Template'!O189),"", 'Ingest Template'!O189&amp;"|Film Ops")))</f>
        <v/>
      </c>
      <c r="Z189" s="4"/>
      <c r="AA189" s="4" t="str">
        <f>'Ingest Template'!E189</f>
        <v/>
      </c>
      <c r="AB189" s="7"/>
      <c r="AC189" s="4" t="str">
        <f t="array" ref="AC189">IF('Ingest Template'!A189="Standard",(CONCATENATE(IF(ISBLANK('Ingest Template'!F189),"", 'Ingest Template'!F189&amp;"|DAR"),CHAR(10), IF(ISBLANK('Ingest Template'!G189),"", 'Ingest Template'!G189&amp;"|DAR"),CHAR(10), IF(ISBLANK('Ingest Template'!H189),"", 'Ingest Template'!H189&amp;"|DAR"))),(CONCATENATE(IF(ISBLANK('Ingest Template'!F189),"", 'Ingest Template'!F189&amp;"|Film Ops"),CHAR(10), IF(ISBLANK('Ingest Template'!G189),"", 'Ingest Template'!G189&amp;"|Film Ops"),CHAR(10), IF(ISBLANK('Ingest Template'!H189),"", 'Ingest Template'!H189&amp;"|Film Ops"))))</f>
        <v>
</v>
      </c>
      <c r="AD189" s="4"/>
      <c r="AE189" s="4"/>
      <c r="AF189" s="10"/>
      <c r="AG189" s="4"/>
      <c r="AH189" s="4"/>
    </row>
    <row r="190">
      <c r="A190" s="4"/>
      <c r="B190" s="4" t="str">
        <f>'Ingest Template'!B190&amp;IF('Ingest Template'!A190 = "Standard", " - DAR","")</f>
        <v/>
      </c>
      <c r="C190" s="5" t="s">
        <v>34</v>
      </c>
      <c r="D190" s="5" t="str">
        <f>CONCATENATE('Ingest Template'!C190,'Ingest Template'!D190)</f>
        <v/>
      </c>
      <c r="E190" s="4"/>
      <c r="F190" s="4"/>
      <c r="G190" s="4"/>
      <c r="H190" s="6"/>
      <c r="I190" s="6" t="str">
        <f>iF('Ingest Template'!A190="Standard","Pristine Brand","Unknown")</f>
        <v>Unknown</v>
      </c>
      <c r="J190" s="4" t="str">
        <f>iF('Ingest Template'!A190="Standard","LF // Beverages","Competitive View")</f>
        <v>Competitive View</v>
      </c>
      <c r="K190" s="7" t="s">
        <v>35</v>
      </c>
      <c r="L190" s="8"/>
      <c r="M190" s="4"/>
      <c r="N190" s="4"/>
      <c r="O190" s="4"/>
      <c r="P190" s="4"/>
      <c r="Q190" s="4"/>
      <c r="R190" s="7" t="s">
        <v>36</v>
      </c>
      <c r="S190" s="4" t="str">
        <f>'Ingest Template'!J190</f>
        <v/>
      </c>
      <c r="T190" s="4" t="str">
        <f>'Ingest Template'!I190</f>
        <v/>
      </c>
      <c r="U190" s="4" t="str">
        <f>LOWER(SUBSTITUTE(SUBSTITUTE(SUBSTITUTE(SUBSTITUTE(SUBSTITUTE('Ingest Template'!K190,"https:",""),"www.",""),"/",""),"?hl=en",""),"instagram.com",""))</f>
        <v/>
      </c>
      <c r="V190" s="9" t="str">
        <f>'Ingest Template'!L190</f>
        <v/>
      </c>
      <c r="W190" s="9" t="str">
        <f>'Ingest Template'!M190</f>
        <v/>
      </c>
      <c r="X190" s="4" t="str">
        <f>SUBSTITUTE(SUBSTITUTE(SUBSTITUTE('Ingest Template'!N190,"http:",""),"https:",""),"/","")</f>
        <v/>
      </c>
      <c r="Y190" s="4" t="str">
        <f t="array" ref="Y190">IF('Ingest Template'!A190="Standard",(IF(ISBLANK('Ingest Template'!O190),"", 'Ingest Template'!O190&amp;"|DAR")),(IF(ISBLANK('Ingest Template'!O190),"", 'Ingest Template'!O190&amp;"|Film Ops")))</f>
        <v/>
      </c>
      <c r="Z190" s="4"/>
      <c r="AA190" s="4" t="str">
        <f>'Ingest Template'!E190</f>
        <v/>
      </c>
      <c r="AB190" s="7"/>
      <c r="AC190" s="4" t="str">
        <f t="array" ref="AC190">IF('Ingest Template'!A190="Standard",(CONCATENATE(IF(ISBLANK('Ingest Template'!F190),"", 'Ingest Template'!F190&amp;"|DAR"),CHAR(10), IF(ISBLANK('Ingest Template'!G190),"", 'Ingest Template'!G190&amp;"|DAR"),CHAR(10), IF(ISBLANK('Ingest Template'!H190),"", 'Ingest Template'!H190&amp;"|DAR"))),(CONCATENATE(IF(ISBLANK('Ingest Template'!F190),"", 'Ingest Template'!F190&amp;"|Film Ops"),CHAR(10), IF(ISBLANK('Ingest Template'!G190),"", 'Ingest Template'!G190&amp;"|Film Ops"),CHAR(10), IF(ISBLANK('Ingest Template'!H190),"", 'Ingest Template'!H190&amp;"|Film Ops"))))</f>
        <v>
</v>
      </c>
      <c r="AD190" s="4"/>
      <c r="AE190" s="4"/>
      <c r="AF190" s="10"/>
      <c r="AG190" s="4"/>
      <c r="AH190" s="4"/>
    </row>
    <row r="191">
      <c r="A191" s="4"/>
      <c r="B191" s="4" t="str">
        <f>'Ingest Template'!B191&amp;IF('Ingest Template'!A191 = "Standard", " - DAR","")</f>
        <v/>
      </c>
      <c r="C191" s="5" t="s">
        <v>34</v>
      </c>
      <c r="D191" s="5" t="str">
        <f>CONCATENATE('Ingest Template'!C191,'Ingest Template'!D191)</f>
        <v/>
      </c>
      <c r="E191" s="4"/>
      <c r="F191" s="4"/>
      <c r="G191" s="4"/>
      <c r="H191" s="6"/>
      <c r="I191" s="6" t="str">
        <f>iF('Ingest Template'!A191="Standard","Pristine Brand","Unknown")</f>
        <v>Unknown</v>
      </c>
      <c r="J191" s="4" t="str">
        <f>iF('Ingest Template'!A191="Standard","LF // Beverages","Competitive View")</f>
        <v>Competitive View</v>
      </c>
      <c r="K191" s="7" t="s">
        <v>35</v>
      </c>
      <c r="L191" s="8"/>
      <c r="M191" s="4"/>
      <c r="N191" s="4"/>
      <c r="O191" s="4"/>
      <c r="P191" s="4"/>
      <c r="Q191" s="4"/>
      <c r="R191" s="7" t="s">
        <v>36</v>
      </c>
      <c r="S191" s="4" t="str">
        <f>'Ingest Template'!J191</f>
        <v/>
      </c>
      <c r="T191" s="4" t="str">
        <f>'Ingest Template'!I191</f>
        <v/>
      </c>
      <c r="U191" s="4" t="str">
        <f>LOWER(SUBSTITUTE(SUBSTITUTE(SUBSTITUTE(SUBSTITUTE(SUBSTITUTE('Ingest Template'!K191,"https:",""),"www.",""),"/",""),"?hl=en",""),"instagram.com",""))</f>
        <v/>
      </c>
      <c r="V191" s="9" t="str">
        <f>'Ingest Template'!L191</f>
        <v/>
      </c>
      <c r="W191" s="9" t="str">
        <f>'Ingest Template'!M191</f>
        <v/>
      </c>
      <c r="X191" s="4" t="str">
        <f>SUBSTITUTE(SUBSTITUTE(SUBSTITUTE('Ingest Template'!N191,"http:",""),"https:",""),"/","")</f>
        <v/>
      </c>
      <c r="Y191" s="4" t="str">
        <f t="array" ref="Y191">IF('Ingest Template'!A191="Standard",(IF(ISBLANK('Ingest Template'!O191),"", 'Ingest Template'!O191&amp;"|DAR")),(IF(ISBLANK('Ingest Template'!O191),"", 'Ingest Template'!O191&amp;"|Film Ops")))</f>
        <v/>
      </c>
      <c r="Z191" s="4"/>
      <c r="AA191" s="4" t="str">
        <f>'Ingest Template'!E191</f>
        <v/>
      </c>
      <c r="AB191" s="7"/>
      <c r="AC191" s="4" t="str">
        <f t="array" ref="AC191">IF('Ingest Template'!A191="Standard",(CONCATENATE(IF(ISBLANK('Ingest Template'!F191),"", 'Ingest Template'!F191&amp;"|DAR"),CHAR(10), IF(ISBLANK('Ingest Template'!G191),"", 'Ingest Template'!G191&amp;"|DAR"),CHAR(10), IF(ISBLANK('Ingest Template'!H191),"", 'Ingest Template'!H191&amp;"|DAR"))),(CONCATENATE(IF(ISBLANK('Ingest Template'!F191),"", 'Ingest Template'!F191&amp;"|Film Ops"),CHAR(10), IF(ISBLANK('Ingest Template'!G191),"", 'Ingest Template'!G191&amp;"|Film Ops"),CHAR(10), IF(ISBLANK('Ingest Template'!H191),"", 'Ingest Template'!H191&amp;"|Film Ops"))))</f>
        <v>
</v>
      </c>
      <c r="AD191" s="4"/>
      <c r="AE191" s="4"/>
      <c r="AF191" s="10"/>
      <c r="AG191" s="4"/>
      <c r="AH191" s="4"/>
    </row>
    <row r="192">
      <c r="A192" s="4"/>
      <c r="B192" s="4" t="str">
        <f>'Ingest Template'!B192&amp;IF('Ingest Template'!A192 = "Standard", " - DAR","")</f>
        <v/>
      </c>
      <c r="C192" s="5" t="s">
        <v>34</v>
      </c>
      <c r="D192" s="5" t="str">
        <f>CONCATENATE('Ingest Template'!C192,'Ingest Template'!D192)</f>
        <v/>
      </c>
      <c r="E192" s="4"/>
      <c r="F192" s="4"/>
      <c r="G192" s="4"/>
      <c r="H192" s="6"/>
      <c r="I192" s="6" t="str">
        <f>iF('Ingest Template'!A192="Standard","Pristine Brand","Unknown")</f>
        <v>Unknown</v>
      </c>
      <c r="J192" s="4" t="str">
        <f>iF('Ingest Template'!A192="Standard","LF // Beverages","Competitive View")</f>
        <v>Competitive View</v>
      </c>
      <c r="K192" s="7" t="s">
        <v>35</v>
      </c>
      <c r="L192" s="8"/>
      <c r="M192" s="4"/>
      <c r="N192" s="4"/>
      <c r="O192" s="4"/>
      <c r="P192" s="4"/>
      <c r="Q192" s="4"/>
      <c r="R192" s="7" t="s">
        <v>36</v>
      </c>
      <c r="S192" s="4" t="str">
        <f>'Ingest Template'!J192</f>
        <v/>
      </c>
      <c r="T192" s="4" t="str">
        <f>'Ingest Template'!I192</f>
        <v/>
      </c>
      <c r="U192" s="4" t="str">
        <f>LOWER(SUBSTITUTE(SUBSTITUTE(SUBSTITUTE(SUBSTITUTE(SUBSTITUTE('Ingest Template'!K192,"https:",""),"www.",""),"/",""),"?hl=en",""),"instagram.com",""))</f>
        <v/>
      </c>
      <c r="V192" s="9" t="str">
        <f>'Ingest Template'!L192</f>
        <v/>
      </c>
      <c r="W192" s="9" t="str">
        <f>'Ingest Template'!M192</f>
        <v/>
      </c>
      <c r="X192" s="4" t="str">
        <f>SUBSTITUTE(SUBSTITUTE(SUBSTITUTE('Ingest Template'!N192,"http:",""),"https:",""),"/","")</f>
        <v/>
      </c>
      <c r="Y192" s="4" t="str">
        <f t="array" ref="Y192">IF('Ingest Template'!A192="Standard",(IF(ISBLANK('Ingest Template'!O192),"", 'Ingest Template'!O192&amp;"|DAR")),(IF(ISBLANK('Ingest Template'!O192),"", 'Ingest Template'!O192&amp;"|Film Ops")))</f>
        <v/>
      </c>
      <c r="Z192" s="4"/>
      <c r="AA192" s="4" t="str">
        <f>'Ingest Template'!E192</f>
        <v/>
      </c>
      <c r="AB192" s="7"/>
      <c r="AC192" s="4" t="str">
        <f t="array" ref="AC192">IF('Ingest Template'!A192="Standard",(CONCATENATE(IF(ISBLANK('Ingest Template'!F192),"", 'Ingest Template'!F192&amp;"|DAR"),CHAR(10), IF(ISBLANK('Ingest Template'!G192),"", 'Ingest Template'!G192&amp;"|DAR"),CHAR(10), IF(ISBLANK('Ingest Template'!H192),"", 'Ingest Template'!H192&amp;"|DAR"))),(CONCATENATE(IF(ISBLANK('Ingest Template'!F192),"", 'Ingest Template'!F192&amp;"|Film Ops"),CHAR(10), IF(ISBLANK('Ingest Template'!G192),"", 'Ingest Template'!G192&amp;"|Film Ops"),CHAR(10), IF(ISBLANK('Ingest Template'!H192),"", 'Ingest Template'!H192&amp;"|Film Ops"))))</f>
        <v>
</v>
      </c>
      <c r="AD192" s="4"/>
      <c r="AE192" s="4"/>
      <c r="AF192" s="10"/>
      <c r="AG192" s="4"/>
      <c r="AH192" s="4"/>
    </row>
    <row r="193">
      <c r="A193" s="4"/>
      <c r="B193" s="4" t="str">
        <f>'Ingest Template'!B193&amp;IF('Ingest Template'!A193 = "Standard", " - DAR","")</f>
        <v/>
      </c>
      <c r="C193" s="5" t="s">
        <v>34</v>
      </c>
      <c r="D193" s="5" t="str">
        <f>CONCATENATE('Ingest Template'!C193,'Ingest Template'!D193)</f>
        <v/>
      </c>
      <c r="E193" s="4"/>
      <c r="F193" s="4"/>
      <c r="G193" s="4"/>
      <c r="H193" s="6"/>
      <c r="I193" s="6" t="str">
        <f>iF('Ingest Template'!A193="Standard","Pristine Brand","Unknown")</f>
        <v>Unknown</v>
      </c>
      <c r="J193" s="4" t="str">
        <f>iF('Ingest Template'!A193="Standard","LF // Beverages","Competitive View")</f>
        <v>Competitive View</v>
      </c>
      <c r="K193" s="7" t="s">
        <v>35</v>
      </c>
      <c r="L193" s="8"/>
      <c r="M193" s="4"/>
      <c r="N193" s="4"/>
      <c r="O193" s="4"/>
      <c r="P193" s="4"/>
      <c r="Q193" s="4"/>
      <c r="R193" s="7" t="s">
        <v>36</v>
      </c>
      <c r="S193" s="4" t="str">
        <f>'Ingest Template'!J193</f>
        <v/>
      </c>
      <c r="T193" s="4" t="str">
        <f>'Ingest Template'!I193</f>
        <v/>
      </c>
      <c r="U193" s="4" t="str">
        <f>LOWER(SUBSTITUTE(SUBSTITUTE(SUBSTITUTE(SUBSTITUTE(SUBSTITUTE('Ingest Template'!K193,"https:",""),"www.",""),"/",""),"?hl=en",""),"instagram.com",""))</f>
        <v/>
      </c>
      <c r="V193" s="9" t="str">
        <f>'Ingest Template'!L193</f>
        <v/>
      </c>
      <c r="W193" s="9" t="str">
        <f>'Ingest Template'!M193</f>
        <v/>
      </c>
      <c r="X193" s="4" t="str">
        <f>SUBSTITUTE(SUBSTITUTE(SUBSTITUTE('Ingest Template'!N193,"http:",""),"https:",""),"/","")</f>
        <v/>
      </c>
      <c r="Y193" s="4" t="str">
        <f t="array" ref="Y193">IF('Ingest Template'!A193="Standard",(IF(ISBLANK('Ingest Template'!O193),"", 'Ingest Template'!O193&amp;"|DAR")),(IF(ISBLANK('Ingest Template'!O193),"", 'Ingest Template'!O193&amp;"|Film Ops")))</f>
        <v/>
      </c>
      <c r="Z193" s="4"/>
      <c r="AA193" s="4" t="str">
        <f>'Ingest Template'!E193</f>
        <v/>
      </c>
      <c r="AB193" s="7"/>
      <c r="AC193" s="4" t="str">
        <f t="array" ref="AC193">IF('Ingest Template'!A193="Standard",(CONCATENATE(IF(ISBLANK('Ingest Template'!F193),"", 'Ingest Template'!F193&amp;"|DAR"),CHAR(10), IF(ISBLANK('Ingest Template'!G193),"", 'Ingest Template'!G193&amp;"|DAR"),CHAR(10), IF(ISBLANK('Ingest Template'!H193),"", 'Ingest Template'!H193&amp;"|DAR"))),(CONCATENATE(IF(ISBLANK('Ingest Template'!F193),"", 'Ingest Template'!F193&amp;"|Film Ops"),CHAR(10), IF(ISBLANK('Ingest Template'!G193),"", 'Ingest Template'!G193&amp;"|Film Ops"),CHAR(10), IF(ISBLANK('Ingest Template'!H193),"", 'Ingest Template'!H193&amp;"|Film Ops"))))</f>
        <v>
</v>
      </c>
      <c r="AD193" s="4"/>
      <c r="AE193" s="4"/>
      <c r="AF193" s="10"/>
      <c r="AG193" s="4"/>
      <c r="AH193" s="4"/>
    </row>
    <row r="194">
      <c r="A194" s="4"/>
      <c r="B194" s="4" t="str">
        <f>'Ingest Template'!B194&amp;IF('Ingest Template'!A194 = "Standard", " - DAR","")</f>
        <v/>
      </c>
      <c r="C194" s="5" t="s">
        <v>34</v>
      </c>
      <c r="D194" s="5" t="str">
        <f>CONCATENATE('Ingest Template'!C194,'Ingest Template'!D194)</f>
        <v/>
      </c>
      <c r="E194" s="4"/>
      <c r="F194" s="4"/>
      <c r="G194" s="4"/>
      <c r="H194" s="6"/>
      <c r="I194" s="6" t="str">
        <f>iF('Ingest Template'!A194="Standard","Pristine Brand","Unknown")</f>
        <v>Unknown</v>
      </c>
      <c r="J194" s="4" t="str">
        <f>iF('Ingest Template'!A194="Standard","LF // Beverages","Competitive View")</f>
        <v>Competitive View</v>
      </c>
      <c r="K194" s="7" t="s">
        <v>35</v>
      </c>
      <c r="L194" s="8"/>
      <c r="M194" s="4"/>
      <c r="N194" s="4"/>
      <c r="O194" s="4"/>
      <c r="P194" s="4"/>
      <c r="Q194" s="4"/>
      <c r="R194" s="7" t="s">
        <v>36</v>
      </c>
      <c r="S194" s="4" t="str">
        <f>'Ingest Template'!J194</f>
        <v/>
      </c>
      <c r="T194" s="4" t="str">
        <f>'Ingest Template'!I194</f>
        <v/>
      </c>
      <c r="U194" s="4" t="str">
        <f>LOWER(SUBSTITUTE(SUBSTITUTE(SUBSTITUTE(SUBSTITUTE(SUBSTITUTE('Ingest Template'!K194,"https:",""),"www.",""),"/",""),"?hl=en",""),"instagram.com",""))</f>
        <v/>
      </c>
      <c r="V194" s="9" t="str">
        <f>'Ingest Template'!L194</f>
        <v/>
      </c>
      <c r="W194" s="9" t="str">
        <f>'Ingest Template'!M194</f>
        <v/>
      </c>
      <c r="X194" s="4" t="str">
        <f>SUBSTITUTE(SUBSTITUTE(SUBSTITUTE('Ingest Template'!N194,"http:",""),"https:",""),"/","")</f>
        <v/>
      </c>
      <c r="Y194" s="4" t="str">
        <f t="array" ref="Y194">IF('Ingest Template'!A194="Standard",(IF(ISBLANK('Ingest Template'!O194),"", 'Ingest Template'!O194&amp;"|DAR")),(IF(ISBLANK('Ingest Template'!O194),"", 'Ingest Template'!O194&amp;"|Film Ops")))</f>
        <v/>
      </c>
      <c r="Z194" s="4"/>
      <c r="AA194" s="4" t="str">
        <f>'Ingest Template'!E194</f>
        <v/>
      </c>
      <c r="AB194" s="7"/>
      <c r="AC194" s="4" t="str">
        <f t="array" ref="AC194">IF('Ingest Template'!A194="Standard",(CONCATENATE(IF(ISBLANK('Ingest Template'!F194),"", 'Ingest Template'!F194&amp;"|DAR"),CHAR(10), IF(ISBLANK('Ingest Template'!G194),"", 'Ingest Template'!G194&amp;"|DAR"),CHAR(10), IF(ISBLANK('Ingest Template'!H194),"", 'Ingest Template'!H194&amp;"|DAR"))),(CONCATENATE(IF(ISBLANK('Ingest Template'!F194),"", 'Ingest Template'!F194&amp;"|Film Ops"),CHAR(10), IF(ISBLANK('Ingest Template'!G194),"", 'Ingest Template'!G194&amp;"|Film Ops"),CHAR(10), IF(ISBLANK('Ingest Template'!H194),"", 'Ingest Template'!H194&amp;"|Film Ops"))))</f>
        <v>
</v>
      </c>
      <c r="AD194" s="4"/>
      <c r="AE194" s="4"/>
      <c r="AF194" s="10"/>
      <c r="AG194" s="4"/>
      <c r="AH194" s="4"/>
    </row>
    <row r="195">
      <c r="A195" s="4"/>
      <c r="B195" s="4" t="str">
        <f>'Ingest Template'!B195&amp;IF('Ingest Template'!A195 = "Standard", " - DAR","")</f>
        <v/>
      </c>
      <c r="C195" s="5" t="s">
        <v>34</v>
      </c>
      <c r="D195" s="5" t="str">
        <f>CONCATENATE('Ingest Template'!C195,'Ingest Template'!D195)</f>
        <v/>
      </c>
      <c r="E195" s="4"/>
      <c r="F195" s="4"/>
      <c r="G195" s="4"/>
      <c r="H195" s="6"/>
      <c r="I195" s="6" t="str">
        <f>iF('Ingest Template'!A195="Standard","Pristine Brand","Unknown")</f>
        <v>Unknown</v>
      </c>
      <c r="J195" s="4" t="str">
        <f>iF('Ingest Template'!A195="Standard","LF // Beverages","Competitive View")</f>
        <v>Competitive View</v>
      </c>
      <c r="K195" s="7" t="s">
        <v>35</v>
      </c>
      <c r="L195" s="8"/>
      <c r="M195" s="4"/>
      <c r="N195" s="4"/>
      <c r="O195" s="4"/>
      <c r="P195" s="4"/>
      <c r="Q195" s="4"/>
      <c r="R195" s="7" t="s">
        <v>36</v>
      </c>
      <c r="S195" s="4" t="str">
        <f>'Ingest Template'!J195</f>
        <v/>
      </c>
      <c r="T195" s="4" t="str">
        <f>'Ingest Template'!I195</f>
        <v/>
      </c>
      <c r="U195" s="4" t="str">
        <f>LOWER(SUBSTITUTE(SUBSTITUTE(SUBSTITUTE(SUBSTITUTE(SUBSTITUTE('Ingest Template'!K195,"https:",""),"www.",""),"/",""),"?hl=en",""),"instagram.com",""))</f>
        <v/>
      </c>
      <c r="V195" s="9" t="str">
        <f>'Ingest Template'!L195</f>
        <v/>
      </c>
      <c r="W195" s="9" t="str">
        <f>'Ingest Template'!M195</f>
        <v/>
      </c>
      <c r="X195" s="4" t="str">
        <f>SUBSTITUTE(SUBSTITUTE(SUBSTITUTE('Ingest Template'!N195,"http:",""),"https:",""),"/","")</f>
        <v/>
      </c>
      <c r="Y195" s="4" t="str">
        <f t="array" ref="Y195">IF('Ingest Template'!A195="Standard",(IF(ISBLANK('Ingest Template'!O195),"", 'Ingest Template'!O195&amp;"|DAR")),(IF(ISBLANK('Ingest Template'!O195),"", 'Ingest Template'!O195&amp;"|Film Ops")))</f>
        <v/>
      </c>
      <c r="Z195" s="4"/>
      <c r="AA195" s="4" t="str">
        <f>'Ingest Template'!E195</f>
        <v/>
      </c>
      <c r="AB195" s="7"/>
      <c r="AC195" s="4" t="str">
        <f t="array" ref="AC195">IF('Ingest Template'!A195="Standard",(CONCATENATE(IF(ISBLANK('Ingest Template'!F195),"", 'Ingest Template'!F195&amp;"|DAR"),CHAR(10), IF(ISBLANK('Ingest Template'!G195),"", 'Ingest Template'!G195&amp;"|DAR"),CHAR(10), IF(ISBLANK('Ingest Template'!H195),"", 'Ingest Template'!H195&amp;"|DAR"))),(CONCATENATE(IF(ISBLANK('Ingest Template'!F195),"", 'Ingest Template'!F195&amp;"|Film Ops"),CHAR(10), IF(ISBLANK('Ingest Template'!G195),"", 'Ingest Template'!G195&amp;"|Film Ops"),CHAR(10), IF(ISBLANK('Ingest Template'!H195),"", 'Ingest Template'!H195&amp;"|Film Ops"))))</f>
        <v>
</v>
      </c>
      <c r="AD195" s="4"/>
      <c r="AE195" s="4"/>
      <c r="AF195" s="10"/>
      <c r="AG195" s="4"/>
      <c r="AH195" s="4"/>
    </row>
    <row r="196">
      <c r="A196" s="4"/>
      <c r="B196" s="4" t="str">
        <f>'Ingest Template'!B196&amp;IF('Ingest Template'!A196 = "Standard", " - DAR","")</f>
        <v/>
      </c>
      <c r="C196" s="5" t="s">
        <v>34</v>
      </c>
      <c r="D196" s="5" t="str">
        <f>CONCATENATE('Ingest Template'!C196,'Ingest Template'!D196)</f>
        <v/>
      </c>
      <c r="E196" s="4"/>
      <c r="F196" s="4"/>
      <c r="G196" s="4"/>
      <c r="H196" s="6"/>
      <c r="I196" s="6" t="str">
        <f>iF('Ingest Template'!A196="Standard","Pristine Brand","Unknown")</f>
        <v>Unknown</v>
      </c>
      <c r="J196" s="4" t="str">
        <f>iF('Ingest Template'!A196="Standard","LF // Beverages","Competitive View")</f>
        <v>Competitive View</v>
      </c>
      <c r="K196" s="7" t="s">
        <v>35</v>
      </c>
      <c r="L196" s="8"/>
      <c r="M196" s="4"/>
      <c r="N196" s="4"/>
      <c r="O196" s="4"/>
      <c r="P196" s="4"/>
      <c r="Q196" s="4"/>
      <c r="R196" s="7" t="s">
        <v>36</v>
      </c>
      <c r="S196" s="4" t="str">
        <f>'Ingest Template'!J196</f>
        <v/>
      </c>
      <c r="T196" s="4" t="str">
        <f>'Ingest Template'!I196</f>
        <v/>
      </c>
      <c r="U196" s="4" t="str">
        <f>LOWER(SUBSTITUTE(SUBSTITUTE(SUBSTITUTE(SUBSTITUTE(SUBSTITUTE('Ingest Template'!K196,"https:",""),"www.",""),"/",""),"?hl=en",""),"instagram.com",""))</f>
        <v/>
      </c>
      <c r="V196" s="9" t="str">
        <f>'Ingest Template'!L196</f>
        <v/>
      </c>
      <c r="W196" s="9" t="str">
        <f>'Ingest Template'!M196</f>
        <v/>
      </c>
      <c r="X196" s="4" t="str">
        <f>SUBSTITUTE(SUBSTITUTE(SUBSTITUTE('Ingest Template'!N196,"http:",""),"https:",""),"/","")</f>
        <v/>
      </c>
      <c r="Y196" s="4" t="str">
        <f t="array" ref="Y196">IF('Ingest Template'!A196="Standard",(IF(ISBLANK('Ingest Template'!O196),"", 'Ingest Template'!O196&amp;"|DAR")),(IF(ISBLANK('Ingest Template'!O196),"", 'Ingest Template'!O196&amp;"|Film Ops")))</f>
        <v/>
      </c>
      <c r="Z196" s="4"/>
      <c r="AA196" s="4" t="str">
        <f>'Ingest Template'!E196</f>
        <v/>
      </c>
      <c r="AB196" s="7"/>
      <c r="AC196" s="4" t="str">
        <f t="array" ref="AC196">IF('Ingest Template'!A196="Standard",(CONCATENATE(IF(ISBLANK('Ingest Template'!F196),"", 'Ingest Template'!F196&amp;"|DAR"),CHAR(10), IF(ISBLANK('Ingest Template'!G196),"", 'Ingest Template'!G196&amp;"|DAR"),CHAR(10), IF(ISBLANK('Ingest Template'!H196),"", 'Ingest Template'!H196&amp;"|DAR"))),(CONCATENATE(IF(ISBLANK('Ingest Template'!F196),"", 'Ingest Template'!F196&amp;"|Film Ops"),CHAR(10), IF(ISBLANK('Ingest Template'!G196),"", 'Ingest Template'!G196&amp;"|Film Ops"),CHAR(10), IF(ISBLANK('Ingest Template'!H196),"", 'Ingest Template'!H196&amp;"|Film Ops"))))</f>
        <v>
</v>
      </c>
      <c r="AD196" s="4"/>
      <c r="AE196" s="4"/>
      <c r="AF196" s="10"/>
      <c r="AG196" s="4"/>
      <c r="AH196" s="4"/>
    </row>
    <row r="197">
      <c r="A197" s="4"/>
      <c r="B197" s="4" t="str">
        <f>'Ingest Template'!B197&amp;IF('Ingest Template'!A197 = "Standard", " - DAR","")</f>
        <v/>
      </c>
      <c r="C197" s="5" t="s">
        <v>34</v>
      </c>
      <c r="D197" s="5" t="str">
        <f>CONCATENATE('Ingest Template'!C197,'Ingest Template'!D197)</f>
        <v/>
      </c>
      <c r="E197" s="4"/>
      <c r="F197" s="4"/>
      <c r="G197" s="4"/>
      <c r="H197" s="6"/>
      <c r="I197" s="6" t="str">
        <f>iF('Ingest Template'!A197="Standard","Pristine Brand","Unknown")</f>
        <v>Unknown</v>
      </c>
      <c r="J197" s="4" t="str">
        <f>iF('Ingest Template'!A197="Standard","LF // Beverages","Competitive View")</f>
        <v>Competitive View</v>
      </c>
      <c r="K197" s="7" t="s">
        <v>35</v>
      </c>
      <c r="L197" s="8"/>
      <c r="M197" s="4"/>
      <c r="N197" s="4"/>
      <c r="O197" s="4"/>
      <c r="P197" s="4"/>
      <c r="Q197" s="4"/>
      <c r="R197" s="7" t="s">
        <v>36</v>
      </c>
      <c r="S197" s="4" t="str">
        <f>'Ingest Template'!J197</f>
        <v/>
      </c>
      <c r="T197" s="4" t="str">
        <f>'Ingest Template'!I197</f>
        <v/>
      </c>
      <c r="U197" s="4" t="str">
        <f>LOWER(SUBSTITUTE(SUBSTITUTE(SUBSTITUTE(SUBSTITUTE(SUBSTITUTE('Ingest Template'!K197,"https:",""),"www.",""),"/",""),"?hl=en",""),"instagram.com",""))</f>
        <v/>
      </c>
      <c r="V197" s="9" t="str">
        <f>'Ingest Template'!L197</f>
        <v/>
      </c>
      <c r="W197" s="9" t="str">
        <f>'Ingest Template'!M197</f>
        <v/>
      </c>
      <c r="X197" s="4" t="str">
        <f>SUBSTITUTE(SUBSTITUTE(SUBSTITUTE('Ingest Template'!N197,"http:",""),"https:",""),"/","")</f>
        <v/>
      </c>
      <c r="Y197" s="4" t="str">
        <f t="array" ref="Y197">IF('Ingest Template'!A197="Standard",(IF(ISBLANK('Ingest Template'!O197),"", 'Ingest Template'!O197&amp;"|DAR")),(IF(ISBLANK('Ingest Template'!O197),"", 'Ingest Template'!O197&amp;"|Film Ops")))</f>
        <v/>
      </c>
      <c r="Z197" s="4"/>
      <c r="AA197" s="4" t="str">
        <f>'Ingest Template'!E197</f>
        <v/>
      </c>
      <c r="AB197" s="7"/>
      <c r="AC197" s="4" t="str">
        <f t="array" ref="AC197">IF('Ingest Template'!A197="Standard",(CONCATENATE(IF(ISBLANK('Ingest Template'!F197),"", 'Ingest Template'!F197&amp;"|DAR"),CHAR(10), IF(ISBLANK('Ingest Template'!G197),"", 'Ingest Template'!G197&amp;"|DAR"),CHAR(10), IF(ISBLANK('Ingest Template'!H197),"", 'Ingest Template'!H197&amp;"|DAR"))),(CONCATENATE(IF(ISBLANK('Ingest Template'!F197),"", 'Ingest Template'!F197&amp;"|Film Ops"),CHAR(10), IF(ISBLANK('Ingest Template'!G197),"", 'Ingest Template'!G197&amp;"|Film Ops"),CHAR(10), IF(ISBLANK('Ingest Template'!H197),"", 'Ingest Template'!H197&amp;"|Film Ops"))))</f>
        <v>
</v>
      </c>
      <c r="AD197" s="4"/>
      <c r="AE197" s="4"/>
      <c r="AF197" s="10"/>
      <c r="AG197" s="4"/>
      <c r="AH197" s="4"/>
    </row>
    <row r="198">
      <c r="A198" s="4"/>
      <c r="B198" s="4" t="str">
        <f>'Ingest Template'!B198&amp;IF('Ingest Template'!A198 = "Standard", " - DAR","")</f>
        <v/>
      </c>
      <c r="C198" s="5" t="s">
        <v>34</v>
      </c>
      <c r="D198" s="5" t="str">
        <f>CONCATENATE('Ingest Template'!C198,'Ingest Template'!D198)</f>
        <v/>
      </c>
      <c r="E198" s="4"/>
      <c r="F198" s="4"/>
      <c r="G198" s="4"/>
      <c r="H198" s="6"/>
      <c r="I198" s="6" t="str">
        <f>iF('Ingest Template'!A198="Standard","Pristine Brand","Unknown")</f>
        <v>Unknown</v>
      </c>
      <c r="J198" s="4" t="str">
        <f>iF('Ingest Template'!A198="Standard","LF // Beverages","Competitive View")</f>
        <v>Competitive View</v>
      </c>
      <c r="K198" s="7" t="s">
        <v>35</v>
      </c>
      <c r="L198" s="8"/>
      <c r="M198" s="4"/>
      <c r="N198" s="4"/>
      <c r="O198" s="4"/>
      <c r="P198" s="4"/>
      <c r="Q198" s="4"/>
      <c r="R198" s="7" t="s">
        <v>36</v>
      </c>
      <c r="S198" s="4" t="str">
        <f>'Ingest Template'!J198</f>
        <v/>
      </c>
      <c r="T198" s="4" t="str">
        <f>'Ingest Template'!I198</f>
        <v/>
      </c>
      <c r="U198" s="4" t="str">
        <f>LOWER(SUBSTITUTE(SUBSTITUTE(SUBSTITUTE(SUBSTITUTE(SUBSTITUTE('Ingest Template'!K198,"https:",""),"www.",""),"/",""),"?hl=en",""),"instagram.com",""))</f>
        <v/>
      </c>
      <c r="V198" s="9" t="str">
        <f>'Ingest Template'!L198</f>
        <v/>
      </c>
      <c r="W198" s="9" t="str">
        <f>'Ingest Template'!M198</f>
        <v/>
      </c>
      <c r="X198" s="4" t="str">
        <f>SUBSTITUTE(SUBSTITUTE(SUBSTITUTE('Ingest Template'!N198,"http:",""),"https:",""),"/","")</f>
        <v/>
      </c>
      <c r="Y198" s="4" t="str">
        <f t="array" ref="Y198">IF('Ingest Template'!A198="Standard",(IF(ISBLANK('Ingest Template'!O198),"", 'Ingest Template'!O198&amp;"|DAR")),(IF(ISBLANK('Ingest Template'!O198),"", 'Ingest Template'!O198&amp;"|Film Ops")))</f>
        <v/>
      </c>
      <c r="Z198" s="4"/>
      <c r="AA198" s="4" t="str">
        <f>'Ingest Template'!E198</f>
        <v/>
      </c>
      <c r="AB198" s="7"/>
      <c r="AC198" s="4" t="str">
        <f t="array" ref="AC198">IF('Ingest Template'!A198="Standard",(CONCATENATE(IF(ISBLANK('Ingest Template'!F198),"", 'Ingest Template'!F198&amp;"|DAR"),CHAR(10), IF(ISBLANK('Ingest Template'!G198),"", 'Ingest Template'!G198&amp;"|DAR"),CHAR(10), IF(ISBLANK('Ingest Template'!H198),"", 'Ingest Template'!H198&amp;"|DAR"))),(CONCATENATE(IF(ISBLANK('Ingest Template'!F198),"", 'Ingest Template'!F198&amp;"|Film Ops"),CHAR(10), IF(ISBLANK('Ingest Template'!G198),"", 'Ingest Template'!G198&amp;"|Film Ops"),CHAR(10), IF(ISBLANK('Ingest Template'!H198),"", 'Ingest Template'!H198&amp;"|Film Ops"))))</f>
        <v>
</v>
      </c>
      <c r="AD198" s="4"/>
      <c r="AE198" s="4"/>
      <c r="AF198" s="10"/>
      <c r="AG198" s="4"/>
      <c r="AH198" s="4"/>
    </row>
    <row r="199">
      <c r="A199" s="4"/>
      <c r="B199" s="4" t="str">
        <f>'Ingest Template'!B199&amp;IF('Ingest Template'!A199 = "Standard", " - DAR","")</f>
        <v/>
      </c>
      <c r="C199" s="5" t="s">
        <v>34</v>
      </c>
      <c r="D199" s="5" t="str">
        <f>CONCATENATE('Ingest Template'!C199,'Ingest Template'!D199)</f>
        <v/>
      </c>
      <c r="E199" s="4"/>
      <c r="F199" s="4"/>
      <c r="G199" s="4"/>
      <c r="H199" s="6"/>
      <c r="I199" s="6" t="str">
        <f>iF('Ingest Template'!A199="Standard","Pristine Brand","Unknown")</f>
        <v>Unknown</v>
      </c>
      <c r="J199" s="4" t="str">
        <f>iF('Ingest Template'!A199="Standard","LF // Beverages","Competitive View")</f>
        <v>Competitive View</v>
      </c>
      <c r="K199" s="7" t="s">
        <v>35</v>
      </c>
      <c r="L199" s="8"/>
      <c r="M199" s="4"/>
      <c r="N199" s="4"/>
      <c r="O199" s="4"/>
      <c r="P199" s="4"/>
      <c r="Q199" s="4"/>
      <c r="R199" s="7" t="s">
        <v>36</v>
      </c>
      <c r="S199" s="4" t="str">
        <f>'Ingest Template'!J199</f>
        <v/>
      </c>
      <c r="T199" s="4" t="str">
        <f>'Ingest Template'!I199</f>
        <v/>
      </c>
      <c r="U199" s="4" t="str">
        <f>LOWER(SUBSTITUTE(SUBSTITUTE(SUBSTITUTE(SUBSTITUTE(SUBSTITUTE('Ingest Template'!K199,"https:",""),"www.",""),"/",""),"?hl=en",""),"instagram.com",""))</f>
        <v/>
      </c>
      <c r="V199" s="9" t="str">
        <f>'Ingest Template'!L199</f>
        <v/>
      </c>
      <c r="W199" s="9" t="str">
        <f>'Ingest Template'!M199</f>
        <v/>
      </c>
      <c r="X199" s="4" t="str">
        <f>SUBSTITUTE(SUBSTITUTE(SUBSTITUTE('Ingest Template'!N199,"http:",""),"https:",""),"/","")</f>
        <v/>
      </c>
      <c r="Y199" s="4" t="str">
        <f t="array" ref="Y199">IF('Ingest Template'!A199="Standard",(IF(ISBLANK('Ingest Template'!O199),"", 'Ingest Template'!O199&amp;"|DAR")),(IF(ISBLANK('Ingest Template'!O199),"", 'Ingest Template'!O199&amp;"|Film Ops")))</f>
        <v/>
      </c>
      <c r="Z199" s="4"/>
      <c r="AA199" s="4" t="str">
        <f>'Ingest Template'!E199</f>
        <v/>
      </c>
      <c r="AB199" s="7"/>
      <c r="AC199" s="4" t="str">
        <f t="array" ref="AC199">IF('Ingest Template'!A199="Standard",(CONCATENATE(IF(ISBLANK('Ingest Template'!F199),"", 'Ingest Template'!F199&amp;"|DAR"),CHAR(10), IF(ISBLANK('Ingest Template'!G199),"", 'Ingest Template'!G199&amp;"|DAR"),CHAR(10), IF(ISBLANK('Ingest Template'!H199),"", 'Ingest Template'!H199&amp;"|DAR"))),(CONCATENATE(IF(ISBLANK('Ingest Template'!F199),"", 'Ingest Template'!F199&amp;"|Film Ops"),CHAR(10), IF(ISBLANK('Ingest Template'!G199),"", 'Ingest Template'!G199&amp;"|Film Ops"),CHAR(10), IF(ISBLANK('Ingest Template'!H199),"", 'Ingest Template'!H199&amp;"|Film Ops"))))</f>
        <v>
</v>
      </c>
      <c r="AD199" s="4"/>
      <c r="AE199" s="4"/>
      <c r="AF199" s="10"/>
      <c r="AG199" s="4"/>
      <c r="AH199" s="4"/>
    </row>
    <row r="200">
      <c r="A200" s="4"/>
      <c r="B200" s="4" t="str">
        <f>'Ingest Template'!B200&amp;IF('Ingest Template'!A200 = "Standard", " - DAR","")</f>
        <v/>
      </c>
      <c r="C200" s="5" t="s">
        <v>34</v>
      </c>
      <c r="D200" s="5" t="str">
        <f>CONCATENATE('Ingest Template'!C200,'Ingest Template'!D200)</f>
        <v/>
      </c>
      <c r="E200" s="4"/>
      <c r="F200" s="4"/>
      <c r="G200" s="4"/>
      <c r="H200" s="6"/>
      <c r="I200" s="6" t="str">
        <f>iF('Ingest Template'!A200="Standard","Pristine Brand","Unknown")</f>
        <v>Unknown</v>
      </c>
      <c r="J200" s="4" t="str">
        <f>iF('Ingest Template'!A200="Standard","LF // Beverages","Competitive View")</f>
        <v>Competitive View</v>
      </c>
      <c r="K200" s="7" t="s">
        <v>35</v>
      </c>
      <c r="L200" s="8"/>
      <c r="M200" s="4"/>
      <c r="N200" s="4"/>
      <c r="O200" s="4"/>
      <c r="P200" s="4"/>
      <c r="Q200" s="4"/>
      <c r="R200" s="7" t="s">
        <v>36</v>
      </c>
      <c r="S200" s="4" t="str">
        <f>'Ingest Template'!J200</f>
        <v/>
      </c>
      <c r="T200" s="4" t="str">
        <f>'Ingest Template'!I200</f>
        <v/>
      </c>
      <c r="U200" s="4" t="str">
        <f>LOWER(SUBSTITUTE(SUBSTITUTE(SUBSTITUTE(SUBSTITUTE(SUBSTITUTE('Ingest Template'!K200,"https:",""),"www.",""),"/",""),"?hl=en",""),"instagram.com",""))</f>
        <v/>
      </c>
      <c r="V200" s="9" t="str">
        <f>'Ingest Template'!L200</f>
        <v/>
      </c>
      <c r="W200" s="9" t="str">
        <f>'Ingest Template'!M200</f>
        <v/>
      </c>
      <c r="X200" s="4" t="str">
        <f>SUBSTITUTE(SUBSTITUTE(SUBSTITUTE('Ingest Template'!N200,"http:",""),"https:",""),"/","")</f>
        <v/>
      </c>
      <c r="Y200" s="4" t="str">
        <f t="array" ref="Y200">IF('Ingest Template'!A200="Standard",(IF(ISBLANK('Ingest Template'!O200),"", 'Ingest Template'!O200&amp;"|DAR")),(IF(ISBLANK('Ingest Template'!O200),"", 'Ingest Template'!O200&amp;"|Film Ops")))</f>
        <v/>
      </c>
      <c r="Z200" s="4"/>
      <c r="AA200" s="4" t="str">
        <f>'Ingest Template'!E200</f>
        <v/>
      </c>
      <c r="AB200" s="7"/>
      <c r="AC200" s="4" t="str">
        <f t="array" ref="AC200">IF('Ingest Template'!A200="Standard",(CONCATENATE(IF(ISBLANK('Ingest Template'!F200),"", 'Ingest Template'!F200&amp;"|DAR"),CHAR(10), IF(ISBLANK('Ingest Template'!G200),"", 'Ingest Template'!G200&amp;"|DAR"),CHAR(10), IF(ISBLANK('Ingest Template'!H200),"", 'Ingest Template'!H200&amp;"|DAR"))),(CONCATENATE(IF(ISBLANK('Ingest Template'!F200),"", 'Ingest Template'!F200&amp;"|Film Ops"),CHAR(10), IF(ISBLANK('Ingest Template'!G200),"", 'Ingest Template'!G200&amp;"|Film Ops"),CHAR(10), IF(ISBLANK('Ingest Template'!H200),"", 'Ingest Template'!H200&amp;"|Film Ops"))))</f>
        <v>
</v>
      </c>
      <c r="AD200" s="4"/>
      <c r="AE200" s="4"/>
      <c r="AF200" s="10"/>
      <c r="AG200" s="4"/>
      <c r="AH200" s="4"/>
    </row>
    <row r="201">
      <c r="A201" s="4"/>
      <c r="B201" s="4" t="str">
        <f>'Ingest Template'!B201&amp;IF('Ingest Template'!A201 = "Standard", " - DAR","")</f>
        <v/>
      </c>
      <c r="C201" s="5" t="s">
        <v>34</v>
      </c>
      <c r="D201" s="5" t="str">
        <f>CONCATENATE('Ingest Template'!C201,'Ingest Template'!D201)</f>
        <v/>
      </c>
      <c r="E201" s="4"/>
      <c r="F201" s="4"/>
      <c r="G201" s="4"/>
      <c r="H201" s="6"/>
      <c r="I201" s="6" t="str">
        <f>iF('Ingest Template'!A201="Standard","Pristine Brand","Unknown")</f>
        <v>Unknown</v>
      </c>
      <c r="J201" s="4" t="str">
        <f>iF('Ingest Template'!A201="Standard","LF // Beverages","Competitive View")</f>
        <v>Competitive View</v>
      </c>
      <c r="K201" s="7" t="s">
        <v>35</v>
      </c>
      <c r="L201" s="8"/>
      <c r="M201" s="4"/>
      <c r="N201" s="4"/>
      <c r="O201" s="4"/>
      <c r="P201" s="4"/>
      <c r="Q201" s="4"/>
      <c r="R201" s="7" t="s">
        <v>36</v>
      </c>
      <c r="S201" s="4" t="str">
        <f>'Ingest Template'!J201</f>
        <v/>
      </c>
      <c r="T201" s="4" t="str">
        <f>'Ingest Template'!I201</f>
        <v/>
      </c>
      <c r="U201" s="4" t="str">
        <f>LOWER(SUBSTITUTE(SUBSTITUTE(SUBSTITUTE(SUBSTITUTE(SUBSTITUTE('Ingest Template'!K201,"https:",""),"www.",""),"/",""),"?hl=en",""),"instagram.com",""))</f>
        <v/>
      </c>
      <c r="V201" s="9" t="str">
        <f>'Ingest Template'!L201</f>
        <v/>
      </c>
      <c r="W201" s="9" t="str">
        <f>'Ingest Template'!M201</f>
        <v/>
      </c>
      <c r="X201" s="4" t="str">
        <f>SUBSTITUTE(SUBSTITUTE(SUBSTITUTE('Ingest Template'!N201,"http:",""),"https:",""),"/","")</f>
        <v/>
      </c>
      <c r="Y201" s="4" t="str">
        <f t="array" ref="Y201">IF('Ingest Template'!A201="Standard",(IF(ISBLANK('Ingest Template'!O201),"", 'Ingest Template'!O201&amp;"|DAR")),(IF(ISBLANK('Ingest Template'!O201),"", 'Ingest Template'!O201&amp;"|Film Ops")))</f>
        <v/>
      </c>
      <c r="Z201" s="4"/>
      <c r="AA201" s="4" t="str">
        <f>'Ingest Template'!E201</f>
        <v/>
      </c>
      <c r="AB201" s="7"/>
      <c r="AC201" s="4" t="str">
        <f t="array" ref="AC201">IF('Ingest Template'!A201="Standard",(CONCATENATE(IF(ISBLANK('Ingest Template'!F201),"", 'Ingest Template'!F201&amp;"|DAR"),CHAR(10), IF(ISBLANK('Ingest Template'!G201),"", 'Ingest Template'!G201&amp;"|DAR"),CHAR(10), IF(ISBLANK('Ingest Template'!H201),"", 'Ingest Template'!H201&amp;"|DAR"))),(CONCATENATE(IF(ISBLANK('Ingest Template'!F201),"", 'Ingest Template'!F201&amp;"|Film Ops"),CHAR(10), IF(ISBLANK('Ingest Template'!G201),"", 'Ingest Template'!G201&amp;"|Film Ops"),CHAR(10), IF(ISBLANK('Ingest Template'!H201),"", 'Ingest Template'!H201&amp;"|Film Ops"))))</f>
        <v>
</v>
      </c>
      <c r="AD201" s="4"/>
      <c r="AE201" s="4"/>
      <c r="AF201" s="10"/>
      <c r="AG201" s="4"/>
      <c r="AH201" s="4"/>
    </row>
    <row r="202">
      <c r="A202" s="4"/>
      <c r="B202" s="4" t="str">
        <f>'Ingest Template'!B202&amp;IF('Ingest Template'!A202 = "Standard", " - DAR","")</f>
        <v/>
      </c>
      <c r="C202" s="5" t="s">
        <v>34</v>
      </c>
      <c r="D202" s="5" t="str">
        <f>CONCATENATE('Ingest Template'!C202,'Ingest Template'!D202)</f>
        <v/>
      </c>
      <c r="E202" s="4"/>
      <c r="F202" s="4"/>
      <c r="G202" s="4"/>
      <c r="H202" s="6"/>
      <c r="I202" s="6" t="str">
        <f>iF('Ingest Template'!A202="Standard","Pristine Brand","Unknown")</f>
        <v>Unknown</v>
      </c>
      <c r="J202" s="4" t="str">
        <f>iF('Ingest Template'!A202="Standard","LF // Beverages","Competitive View")</f>
        <v>Competitive View</v>
      </c>
      <c r="K202" s="7" t="s">
        <v>35</v>
      </c>
      <c r="L202" s="8"/>
      <c r="M202" s="4"/>
      <c r="N202" s="4"/>
      <c r="O202" s="4"/>
      <c r="P202" s="4"/>
      <c r="Q202" s="4"/>
      <c r="R202" s="7" t="s">
        <v>36</v>
      </c>
      <c r="S202" s="4" t="str">
        <f>'Ingest Template'!J202</f>
        <v/>
      </c>
      <c r="T202" s="4" t="str">
        <f>'Ingest Template'!I202</f>
        <v/>
      </c>
      <c r="U202" s="4" t="str">
        <f>LOWER(SUBSTITUTE(SUBSTITUTE(SUBSTITUTE(SUBSTITUTE(SUBSTITUTE('Ingest Template'!K202,"https:",""),"www.",""),"/",""),"?hl=en",""),"instagram.com",""))</f>
        <v/>
      </c>
      <c r="V202" s="9" t="str">
        <f>'Ingest Template'!L202</f>
        <v/>
      </c>
      <c r="W202" s="9" t="str">
        <f>'Ingest Template'!M202</f>
        <v/>
      </c>
      <c r="X202" s="4" t="str">
        <f>SUBSTITUTE(SUBSTITUTE(SUBSTITUTE('Ingest Template'!N202,"http:",""),"https:",""),"/","")</f>
        <v/>
      </c>
      <c r="Y202" s="4" t="str">
        <f t="array" ref="Y202">IF('Ingest Template'!A202="Standard",(IF(ISBLANK('Ingest Template'!O202),"", 'Ingest Template'!O202&amp;"|DAR")),(IF(ISBLANK('Ingest Template'!O202),"", 'Ingest Template'!O202&amp;"|Film Ops")))</f>
        <v/>
      </c>
      <c r="Z202" s="4"/>
      <c r="AA202" s="4" t="str">
        <f>'Ingest Template'!E202</f>
        <v/>
      </c>
      <c r="AB202" s="7"/>
      <c r="AC202" s="4" t="str">
        <f t="array" ref="AC202">IF('Ingest Template'!A202="Standard",(CONCATENATE(IF(ISBLANK('Ingest Template'!F202),"", 'Ingest Template'!F202&amp;"|DAR"),CHAR(10), IF(ISBLANK('Ingest Template'!G202),"", 'Ingest Template'!G202&amp;"|DAR"),CHAR(10), IF(ISBLANK('Ingest Template'!H202),"", 'Ingest Template'!H202&amp;"|DAR"))),(CONCATENATE(IF(ISBLANK('Ingest Template'!F202),"", 'Ingest Template'!F202&amp;"|Film Ops"),CHAR(10), IF(ISBLANK('Ingest Template'!G202),"", 'Ingest Template'!G202&amp;"|Film Ops"),CHAR(10), IF(ISBLANK('Ingest Template'!H202),"", 'Ingest Template'!H202&amp;"|Film Ops"))))</f>
        <v>
</v>
      </c>
      <c r="AD202" s="4"/>
      <c r="AE202" s="4"/>
      <c r="AF202" s="10"/>
      <c r="AG202" s="4"/>
      <c r="AH202" s="4"/>
    </row>
    <row r="203">
      <c r="A203" s="4"/>
      <c r="B203" s="4" t="str">
        <f>'Ingest Template'!B203&amp;IF('Ingest Template'!A203 = "Standard", " - DAR","")</f>
        <v/>
      </c>
      <c r="C203" s="5" t="s">
        <v>34</v>
      </c>
      <c r="D203" s="5" t="str">
        <f>CONCATENATE('Ingest Template'!C203,'Ingest Template'!D203)</f>
        <v/>
      </c>
      <c r="E203" s="4"/>
      <c r="F203" s="4"/>
      <c r="G203" s="4"/>
      <c r="H203" s="6"/>
      <c r="I203" s="6" t="str">
        <f>iF('Ingest Template'!A203="Standard","Pristine Brand","Unknown")</f>
        <v>Unknown</v>
      </c>
      <c r="J203" s="4" t="str">
        <f>iF('Ingest Template'!A203="Standard","LF // Beverages","Competitive View")</f>
        <v>Competitive View</v>
      </c>
      <c r="K203" s="7" t="s">
        <v>35</v>
      </c>
      <c r="L203" s="8"/>
      <c r="M203" s="4"/>
      <c r="N203" s="4"/>
      <c r="O203" s="4"/>
      <c r="P203" s="4"/>
      <c r="Q203" s="4"/>
      <c r="R203" s="7" t="s">
        <v>36</v>
      </c>
      <c r="S203" s="4" t="str">
        <f>'Ingest Template'!J203</f>
        <v/>
      </c>
      <c r="T203" s="4" t="str">
        <f>'Ingest Template'!I203</f>
        <v/>
      </c>
      <c r="U203" s="4" t="str">
        <f>LOWER(SUBSTITUTE(SUBSTITUTE(SUBSTITUTE(SUBSTITUTE(SUBSTITUTE('Ingest Template'!K203,"https:",""),"www.",""),"/",""),"?hl=en",""),"instagram.com",""))</f>
        <v/>
      </c>
      <c r="V203" s="9" t="str">
        <f>'Ingest Template'!L203</f>
        <v/>
      </c>
      <c r="W203" s="9" t="str">
        <f>'Ingest Template'!M203</f>
        <v/>
      </c>
      <c r="X203" s="4" t="str">
        <f>SUBSTITUTE(SUBSTITUTE(SUBSTITUTE('Ingest Template'!N203,"http:",""),"https:",""),"/","")</f>
        <v/>
      </c>
      <c r="Y203" s="4" t="str">
        <f t="array" ref="Y203">IF('Ingest Template'!A203="Standard",(IF(ISBLANK('Ingest Template'!O203),"", 'Ingest Template'!O203&amp;"|DAR")),(IF(ISBLANK('Ingest Template'!O203),"", 'Ingest Template'!O203&amp;"|Film Ops")))</f>
        <v/>
      </c>
      <c r="Z203" s="4"/>
      <c r="AA203" s="4" t="str">
        <f>'Ingest Template'!E203</f>
        <v/>
      </c>
      <c r="AB203" s="7"/>
      <c r="AC203" s="4" t="str">
        <f t="array" ref="AC203">IF('Ingest Template'!A203="Standard",(CONCATENATE(IF(ISBLANK('Ingest Template'!F203),"", 'Ingest Template'!F203&amp;"|DAR"),CHAR(10), IF(ISBLANK('Ingest Template'!G203),"", 'Ingest Template'!G203&amp;"|DAR"),CHAR(10), IF(ISBLANK('Ingest Template'!H203),"", 'Ingest Template'!H203&amp;"|DAR"))),(CONCATENATE(IF(ISBLANK('Ingest Template'!F203),"", 'Ingest Template'!F203&amp;"|Film Ops"),CHAR(10), IF(ISBLANK('Ingest Template'!G203),"", 'Ingest Template'!G203&amp;"|Film Ops"),CHAR(10), IF(ISBLANK('Ingest Template'!H203),"", 'Ingest Template'!H203&amp;"|Film Ops"))))</f>
        <v>
</v>
      </c>
      <c r="AD203" s="4"/>
      <c r="AE203" s="4"/>
      <c r="AF203" s="10"/>
      <c r="AG203" s="4"/>
      <c r="AH203" s="4"/>
    </row>
    <row r="204">
      <c r="A204" s="4"/>
      <c r="B204" s="4" t="str">
        <f>'Ingest Template'!B204&amp;IF('Ingest Template'!A204 = "Standard", " - DAR","")</f>
        <v/>
      </c>
      <c r="C204" s="5" t="s">
        <v>34</v>
      </c>
      <c r="D204" s="5" t="str">
        <f>CONCATENATE('Ingest Template'!C204,'Ingest Template'!D204)</f>
        <v/>
      </c>
      <c r="E204" s="4"/>
      <c r="F204" s="4"/>
      <c r="G204" s="4"/>
      <c r="H204" s="6"/>
      <c r="I204" s="6" t="str">
        <f>iF('Ingest Template'!A204="Standard","Pristine Brand","Unknown")</f>
        <v>Unknown</v>
      </c>
      <c r="J204" s="4" t="str">
        <f>iF('Ingest Template'!A204="Standard","LF // Beverages","Competitive View")</f>
        <v>Competitive View</v>
      </c>
      <c r="K204" s="7" t="s">
        <v>35</v>
      </c>
      <c r="L204" s="8"/>
      <c r="M204" s="4"/>
      <c r="N204" s="4"/>
      <c r="O204" s="4"/>
      <c r="P204" s="4"/>
      <c r="Q204" s="4"/>
      <c r="R204" s="7" t="s">
        <v>36</v>
      </c>
      <c r="S204" s="4" t="str">
        <f>'Ingest Template'!J204</f>
        <v/>
      </c>
      <c r="T204" s="4" t="str">
        <f>'Ingest Template'!I204</f>
        <v/>
      </c>
      <c r="U204" s="4" t="str">
        <f>LOWER(SUBSTITUTE(SUBSTITUTE(SUBSTITUTE(SUBSTITUTE(SUBSTITUTE('Ingest Template'!K204,"https:",""),"www.",""),"/",""),"?hl=en",""),"instagram.com",""))</f>
        <v/>
      </c>
      <c r="V204" s="9" t="str">
        <f>'Ingest Template'!L204</f>
        <v/>
      </c>
      <c r="W204" s="9" t="str">
        <f>'Ingest Template'!M204</f>
        <v/>
      </c>
      <c r="X204" s="4" t="str">
        <f>SUBSTITUTE(SUBSTITUTE(SUBSTITUTE('Ingest Template'!N204,"http:",""),"https:",""),"/","")</f>
        <v/>
      </c>
      <c r="Y204" s="4" t="str">
        <f t="array" ref="Y204">IF('Ingest Template'!A204="Standard",(IF(ISBLANK('Ingest Template'!O204),"", 'Ingest Template'!O204&amp;"|DAR")),(IF(ISBLANK('Ingest Template'!O204),"", 'Ingest Template'!O204&amp;"|Film Ops")))</f>
        <v/>
      </c>
      <c r="Z204" s="4"/>
      <c r="AA204" s="4" t="str">
        <f>'Ingest Template'!E204</f>
        <v/>
      </c>
      <c r="AB204" s="7"/>
      <c r="AC204" s="4" t="str">
        <f t="array" ref="AC204">IF('Ingest Template'!A204="Standard",(CONCATENATE(IF(ISBLANK('Ingest Template'!F204),"", 'Ingest Template'!F204&amp;"|DAR"),CHAR(10), IF(ISBLANK('Ingest Template'!G204),"", 'Ingest Template'!G204&amp;"|DAR"),CHAR(10), IF(ISBLANK('Ingest Template'!H204),"", 'Ingest Template'!H204&amp;"|DAR"))),(CONCATENATE(IF(ISBLANK('Ingest Template'!F204),"", 'Ingest Template'!F204&amp;"|Film Ops"),CHAR(10), IF(ISBLANK('Ingest Template'!G204),"", 'Ingest Template'!G204&amp;"|Film Ops"),CHAR(10), IF(ISBLANK('Ingest Template'!H204),"", 'Ingest Template'!H204&amp;"|Film Ops"))))</f>
        <v>
</v>
      </c>
      <c r="AD204" s="4"/>
      <c r="AE204" s="4"/>
      <c r="AF204" s="10"/>
      <c r="AG204" s="4"/>
      <c r="AH204" s="4"/>
    </row>
    <row r="205">
      <c r="A205" s="4"/>
      <c r="B205" s="4" t="str">
        <f>'Ingest Template'!B205&amp;IF('Ingest Template'!A205 = "Standard", " - DAR","")</f>
        <v/>
      </c>
      <c r="C205" s="5" t="s">
        <v>34</v>
      </c>
      <c r="D205" s="5" t="str">
        <f>CONCATENATE('Ingest Template'!C205,'Ingest Template'!D205)</f>
        <v/>
      </c>
      <c r="E205" s="4"/>
      <c r="F205" s="4"/>
      <c r="G205" s="4"/>
      <c r="H205" s="6"/>
      <c r="I205" s="6" t="str">
        <f>iF('Ingest Template'!A205="Standard","Pristine Brand","Unknown")</f>
        <v>Unknown</v>
      </c>
      <c r="J205" s="4" t="str">
        <f>iF('Ingest Template'!A205="Standard","LF // Beverages","Competitive View")</f>
        <v>Competitive View</v>
      </c>
      <c r="K205" s="7" t="s">
        <v>35</v>
      </c>
      <c r="L205" s="8"/>
      <c r="M205" s="4"/>
      <c r="N205" s="4"/>
      <c r="O205" s="4"/>
      <c r="P205" s="4"/>
      <c r="Q205" s="4"/>
      <c r="R205" s="7" t="s">
        <v>36</v>
      </c>
      <c r="S205" s="4" t="str">
        <f>'Ingest Template'!J205</f>
        <v/>
      </c>
      <c r="T205" s="4" t="str">
        <f>'Ingest Template'!I205</f>
        <v/>
      </c>
      <c r="U205" s="4" t="str">
        <f>LOWER(SUBSTITUTE(SUBSTITUTE(SUBSTITUTE(SUBSTITUTE(SUBSTITUTE('Ingest Template'!K205,"https:",""),"www.",""),"/",""),"?hl=en",""),"instagram.com",""))</f>
        <v/>
      </c>
      <c r="V205" s="9" t="str">
        <f>'Ingest Template'!L205</f>
        <v/>
      </c>
      <c r="W205" s="9" t="str">
        <f>'Ingest Template'!M205</f>
        <v/>
      </c>
      <c r="X205" s="4" t="str">
        <f>SUBSTITUTE(SUBSTITUTE(SUBSTITUTE('Ingest Template'!N205,"http:",""),"https:",""),"/","")</f>
        <v/>
      </c>
      <c r="Y205" s="4" t="str">
        <f t="array" ref="Y205">IF('Ingest Template'!A205="Standard",(IF(ISBLANK('Ingest Template'!O205),"", 'Ingest Template'!O205&amp;"|DAR")),(IF(ISBLANK('Ingest Template'!O205),"", 'Ingest Template'!O205&amp;"|Film Ops")))</f>
        <v/>
      </c>
      <c r="Z205" s="4"/>
      <c r="AA205" s="4" t="str">
        <f>'Ingest Template'!E205</f>
        <v/>
      </c>
      <c r="AB205" s="7"/>
      <c r="AC205" s="4" t="str">
        <f t="array" ref="AC205">IF('Ingest Template'!A205="Standard",(CONCATENATE(IF(ISBLANK('Ingest Template'!F205),"", 'Ingest Template'!F205&amp;"|DAR"),CHAR(10), IF(ISBLANK('Ingest Template'!G205),"", 'Ingest Template'!G205&amp;"|DAR"),CHAR(10), IF(ISBLANK('Ingest Template'!H205),"", 'Ingest Template'!H205&amp;"|DAR"))),(CONCATENATE(IF(ISBLANK('Ingest Template'!F205),"", 'Ingest Template'!F205&amp;"|Film Ops"),CHAR(10), IF(ISBLANK('Ingest Template'!G205),"", 'Ingest Template'!G205&amp;"|Film Ops"),CHAR(10), IF(ISBLANK('Ingest Template'!H205),"", 'Ingest Template'!H205&amp;"|Film Ops"))))</f>
        <v>
</v>
      </c>
      <c r="AD205" s="4"/>
      <c r="AE205" s="4"/>
      <c r="AF205" s="10"/>
      <c r="AG205" s="4"/>
      <c r="AH205" s="4"/>
    </row>
    <row r="206">
      <c r="A206" s="4"/>
      <c r="B206" s="4" t="str">
        <f>'Ingest Template'!B206&amp;IF('Ingest Template'!A206 = "Standard", " - DAR","")</f>
        <v/>
      </c>
      <c r="C206" s="5" t="s">
        <v>34</v>
      </c>
      <c r="D206" s="5" t="str">
        <f>CONCATENATE('Ingest Template'!C206,'Ingest Template'!D206)</f>
        <v/>
      </c>
      <c r="E206" s="4"/>
      <c r="F206" s="4"/>
      <c r="G206" s="4"/>
      <c r="H206" s="6"/>
      <c r="I206" s="6" t="str">
        <f>iF('Ingest Template'!A206="Standard","Pristine Brand","Unknown")</f>
        <v>Unknown</v>
      </c>
      <c r="J206" s="4" t="str">
        <f>iF('Ingest Template'!A206="Standard","LF // Beverages","Competitive View")</f>
        <v>Competitive View</v>
      </c>
      <c r="K206" s="7" t="s">
        <v>35</v>
      </c>
      <c r="L206" s="8"/>
      <c r="M206" s="4"/>
      <c r="N206" s="4"/>
      <c r="O206" s="4"/>
      <c r="P206" s="4"/>
      <c r="Q206" s="4"/>
      <c r="R206" s="7" t="s">
        <v>36</v>
      </c>
      <c r="S206" s="4" t="str">
        <f>'Ingest Template'!J206</f>
        <v/>
      </c>
      <c r="T206" s="4" t="str">
        <f>'Ingest Template'!I206</f>
        <v/>
      </c>
      <c r="U206" s="4" t="str">
        <f>LOWER(SUBSTITUTE(SUBSTITUTE(SUBSTITUTE(SUBSTITUTE(SUBSTITUTE('Ingest Template'!K206,"https:",""),"www.",""),"/",""),"?hl=en",""),"instagram.com",""))</f>
        <v/>
      </c>
      <c r="V206" s="9" t="str">
        <f>'Ingest Template'!L206</f>
        <v/>
      </c>
      <c r="W206" s="9" t="str">
        <f>'Ingest Template'!M206</f>
        <v/>
      </c>
      <c r="X206" s="4" t="str">
        <f>SUBSTITUTE(SUBSTITUTE(SUBSTITUTE('Ingest Template'!N206,"http:",""),"https:",""),"/","")</f>
        <v/>
      </c>
      <c r="Y206" s="4" t="str">
        <f t="array" ref="Y206">IF('Ingest Template'!A206="Standard",(IF(ISBLANK('Ingest Template'!O206),"", 'Ingest Template'!O206&amp;"|DAR")),(IF(ISBLANK('Ingest Template'!O206),"", 'Ingest Template'!O206&amp;"|Film Ops")))</f>
        <v/>
      </c>
      <c r="Z206" s="4"/>
      <c r="AA206" s="4" t="str">
        <f>'Ingest Template'!E206</f>
        <v/>
      </c>
      <c r="AB206" s="7"/>
      <c r="AC206" s="4" t="str">
        <f t="array" ref="AC206">IF('Ingest Template'!A206="Standard",(CONCATENATE(IF(ISBLANK('Ingest Template'!F206),"", 'Ingest Template'!F206&amp;"|DAR"),CHAR(10), IF(ISBLANK('Ingest Template'!G206),"", 'Ingest Template'!G206&amp;"|DAR"),CHAR(10), IF(ISBLANK('Ingest Template'!H206),"", 'Ingest Template'!H206&amp;"|DAR"))),(CONCATENATE(IF(ISBLANK('Ingest Template'!F206),"", 'Ingest Template'!F206&amp;"|Film Ops"),CHAR(10), IF(ISBLANK('Ingest Template'!G206),"", 'Ingest Template'!G206&amp;"|Film Ops"),CHAR(10), IF(ISBLANK('Ingest Template'!H206),"", 'Ingest Template'!H206&amp;"|Film Ops"))))</f>
        <v>
</v>
      </c>
      <c r="AD206" s="4"/>
      <c r="AE206" s="4"/>
      <c r="AF206" s="10"/>
      <c r="AG206" s="4"/>
      <c r="AH206" s="4"/>
    </row>
    <row r="207">
      <c r="A207" s="4"/>
      <c r="B207" s="4" t="str">
        <f>'Ingest Template'!B207&amp;IF('Ingest Template'!A207 = "Standard", " - DAR","")</f>
        <v/>
      </c>
      <c r="C207" s="5" t="s">
        <v>34</v>
      </c>
      <c r="D207" s="5" t="str">
        <f>CONCATENATE('Ingest Template'!C207,'Ingest Template'!D207)</f>
        <v/>
      </c>
      <c r="E207" s="4"/>
      <c r="F207" s="4"/>
      <c r="G207" s="4"/>
      <c r="H207" s="6"/>
      <c r="I207" s="6" t="str">
        <f>iF('Ingest Template'!A207="Standard","Pristine Brand","Unknown")</f>
        <v>Unknown</v>
      </c>
      <c r="J207" s="4" t="str">
        <f>iF('Ingest Template'!A207="Standard","LF // Beverages","Competitive View")</f>
        <v>Competitive View</v>
      </c>
      <c r="K207" s="7" t="s">
        <v>35</v>
      </c>
      <c r="L207" s="8"/>
      <c r="M207" s="4"/>
      <c r="N207" s="4"/>
      <c r="O207" s="4"/>
      <c r="P207" s="4"/>
      <c r="Q207" s="4"/>
      <c r="R207" s="7" t="s">
        <v>36</v>
      </c>
      <c r="S207" s="4" t="str">
        <f>'Ingest Template'!J207</f>
        <v/>
      </c>
      <c r="T207" s="4" t="str">
        <f>'Ingest Template'!I207</f>
        <v/>
      </c>
      <c r="U207" s="4" t="str">
        <f>LOWER(SUBSTITUTE(SUBSTITUTE(SUBSTITUTE(SUBSTITUTE(SUBSTITUTE('Ingest Template'!K207,"https:",""),"www.",""),"/",""),"?hl=en",""),"instagram.com",""))</f>
        <v/>
      </c>
      <c r="V207" s="9" t="str">
        <f>'Ingest Template'!L207</f>
        <v/>
      </c>
      <c r="W207" s="9" t="str">
        <f>'Ingest Template'!M207</f>
        <v/>
      </c>
      <c r="X207" s="4" t="str">
        <f>SUBSTITUTE(SUBSTITUTE(SUBSTITUTE('Ingest Template'!N207,"http:",""),"https:",""),"/","")</f>
        <v/>
      </c>
      <c r="Y207" s="4" t="str">
        <f t="array" ref="Y207">IF('Ingest Template'!A207="Standard",(IF(ISBLANK('Ingest Template'!O207),"", 'Ingest Template'!O207&amp;"|DAR")),(IF(ISBLANK('Ingest Template'!O207),"", 'Ingest Template'!O207&amp;"|Film Ops")))</f>
        <v/>
      </c>
      <c r="Z207" s="4"/>
      <c r="AA207" s="4" t="str">
        <f>'Ingest Template'!E207</f>
        <v/>
      </c>
      <c r="AB207" s="7"/>
      <c r="AC207" s="4" t="str">
        <f t="array" ref="AC207">IF('Ingest Template'!A207="Standard",(CONCATENATE(IF(ISBLANK('Ingest Template'!F207),"", 'Ingest Template'!F207&amp;"|DAR"),CHAR(10), IF(ISBLANK('Ingest Template'!G207),"", 'Ingest Template'!G207&amp;"|DAR"),CHAR(10), IF(ISBLANK('Ingest Template'!H207),"", 'Ingest Template'!H207&amp;"|DAR"))),(CONCATENATE(IF(ISBLANK('Ingest Template'!F207),"", 'Ingest Template'!F207&amp;"|Film Ops"),CHAR(10), IF(ISBLANK('Ingest Template'!G207),"", 'Ingest Template'!G207&amp;"|Film Ops"),CHAR(10), IF(ISBLANK('Ingest Template'!H207),"", 'Ingest Template'!H207&amp;"|Film Ops"))))</f>
        <v>
</v>
      </c>
      <c r="AD207" s="4"/>
      <c r="AE207" s="4"/>
      <c r="AF207" s="10"/>
      <c r="AG207" s="4"/>
      <c r="AH207" s="4"/>
    </row>
    <row r="208">
      <c r="A208" s="4"/>
      <c r="B208" s="4" t="str">
        <f>'Ingest Template'!B208&amp;IF('Ingest Template'!A208 = "Standard", " - DAR","")</f>
        <v/>
      </c>
      <c r="C208" s="5" t="s">
        <v>34</v>
      </c>
      <c r="D208" s="5" t="str">
        <f>CONCATENATE('Ingest Template'!C208,'Ingest Template'!D208)</f>
        <v/>
      </c>
      <c r="E208" s="4"/>
      <c r="F208" s="4"/>
      <c r="G208" s="4"/>
      <c r="H208" s="6"/>
      <c r="I208" s="6" t="str">
        <f>iF('Ingest Template'!A208="Standard","Pristine Brand","Unknown")</f>
        <v>Unknown</v>
      </c>
      <c r="J208" s="4" t="str">
        <f>iF('Ingest Template'!A208="Standard","LF // Beverages","Competitive View")</f>
        <v>Competitive View</v>
      </c>
      <c r="K208" s="7" t="s">
        <v>35</v>
      </c>
      <c r="L208" s="8"/>
      <c r="M208" s="4"/>
      <c r="N208" s="4"/>
      <c r="O208" s="4"/>
      <c r="P208" s="4"/>
      <c r="Q208" s="4"/>
      <c r="R208" s="7" t="s">
        <v>36</v>
      </c>
      <c r="S208" s="4" t="str">
        <f>'Ingest Template'!J208</f>
        <v/>
      </c>
      <c r="T208" s="4" t="str">
        <f>'Ingest Template'!I208</f>
        <v/>
      </c>
      <c r="U208" s="4" t="str">
        <f>LOWER(SUBSTITUTE(SUBSTITUTE(SUBSTITUTE(SUBSTITUTE(SUBSTITUTE('Ingest Template'!K208,"https:",""),"www.",""),"/",""),"?hl=en",""),"instagram.com",""))</f>
        <v/>
      </c>
      <c r="V208" s="9" t="str">
        <f>'Ingest Template'!L208</f>
        <v/>
      </c>
      <c r="W208" s="9" t="str">
        <f>'Ingest Template'!M208</f>
        <v/>
      </c>
      <c r="X208" s="4" t="str">
        <f>SUBSTITUTE(SUBSTITUTE(SUBSTITUTE('Ingest Template'!N208,"http:",""),"https:",""),"/","")</f>
        <v/>
      </c>
      <c r="Y208" s="4" t="str">
        <f t="array" ref="Y208">IF('Ingest Template'!A208="Standard",(IF(ISBLANK('Ingest Template'!O208),"", 'Ingest Template'!O208&amp;"|DAR")),(IF(ISBLANK('Ingest Template'!O208),"", 'Ingest Template'!O208&amp;"|Film Ops")))</f>
        <v/>
      </c>
      <c r="Z208" s="4"/>
      <c r="AA208" s="4" t="str">
        <f>'Ingest Template'!E208</f>
        <v/>
      </c>
      <c r="AB208" s="7"/>
      <c r="AC208" s="4" t="str">
        <f t="array" ref="AC208">IF('Ingest Template'!A208="Standard",(CONCATENATE(IF(ISBLANK('Ingest Template'!F208),"", 'Ingest Template'!F208&amp;"|DAR"),CHAR(10), IF(ISBLANK('Ingest Template'!G208),"", 'Ingest Template'!G208&amp;"|DAR"),CHAR(10), IF(ISBLANK('Ingest Template'!H208),"", 'Ingest Template'!H208&amp;"|DAR"))),(CONCATENATE(IF(ISBLANK('Ingest Template'!F208),"", 'Ingest Template'!F208&amp;"|Film Ops"),CHAR(10), IF(ISBLANK('Ingest Template'!G208),"", 'Ingest Template'!G208&amp;"|Film Ops"),CHAR(10), IF(ISBLANK('Ingest Template'!H208),"", 'Ingest Template'!H208&amp;"|Film Ops"))))</f>
        <v>
</v>
      </c>
      <c r="AD208" s="4"/>
      <c r="AE208" s="4"/>
      <c r="AF208" s="10"/>
      <c r="AG208" s="4"/>
      <c r="AH208" s="4"/>
    </row>
    <row r="209">
      <c r="A209" s="4"/>
      <c r="B209" s="4" t="str">
        <f>'Ingest Template'!B209&amp;IF('Ingest Template'!A209 = "Standard", " - DAR","")</f>
        <v/>
      </c>
      <c r="C209" s="5" t="s">
        <v>34</v>
      </c>
      <c r="D209" s="5" t="str">
        <f>CONCATENATE('Ingest Template'!C209,'Ingest Template'!D209)</f>
        <v/>
      </c>
      <c r="E209" s="4"/>
      <c r="F209" s="4"/>
      <c r="G209" s="4"/>
      <c r="H209" s="6"/>
      <c r="I209" s="6" t="str">
        <f>iF('Ingest Template'!A209="Standard","Pristine Brand","Unknown")</f>
        <v>Unknown</v>
      </c>
      <c r="J209" s="4" t="str">
        <f>iF('Ingest Template'!A209="Standard","LF // Beverages","Competitive View")</f>
        <v>Competitive View</v>
      </c>
      <c r="K209" s="7" t="s">
        <v>35</v>
      </c>
      <c r="L209" s="8"/>
      <c r="M209" s="4"/>
      <c r="N209" s="4"/>
      <c r="O209" s="4"/>
      <c r="P209" s="4"/>
      <c r="Q209" s="4"/>
      <c r="R209" s="7" t="s">
        <v>36</v>
      </c>
      <c r="S209" s="4" t="str">
        <f>'Ingest Template'!J209</f>
        <v/>
      </c>
      <c r="T209" s="4" t="str">
        <f>'Ingest Template'!I209</f>
        <v/>
      </c>
      <c r="U209" s="4" t="str">
        <f>LOWER(SUBSTITUTE(SUBSTITUTE(SUBSTITUTE(SUBSTITUTE(SUBSTITUTE('Ingest Template'!K209,"https:",""),"www.",""),"/",""),"?hl=en",""),"instagram.com",""))</f>
        <v/>
      </c>
      <c r="V209" s="9" t="str">
        <f>'Ingest Template'!L209</f>
        <v/>
      </c>
      <c r="W209" s="9" t="str">
        <f>'Ingest Template'!M209</f>
        <v/>
      </c>
      <c r="X209" s="4" t="str">
        <f>SUBSTITUTE(SUBSTITUTE(SUBSTITUTE('Ingest Template'!N209,"http:",""),"https:",""),"/","")</f>
        <v/>
      </c>
      <c r="Y209" s="4" t="str">
        <f t="array" ref="Y209">IF('Ingest Template'!A209="Standard",(IF(ISBLANK('Ingest Template'!O209),"", 'Ingest Template'!O209&amp;"|DAR")),(IF(ISBLANK('Ingest Template'!O209),"", 'Ingest Template'!O209&amp;"|Film Ops")))</f>
        <v/>
      </c>
      <c r="Z209" s="4"/>
      <c r="AA209" s="4" t="str">
        <f>'Ingest Template'!E209</f>
        <v/>
      </c>
      <c r="AB209" s="7"/>
      <c r="AC209" s="4" t="str">
        <f t="array" ref="AC209">IF('Ingest Template'!A209="Standard",(CONCATENATE(IF(ISBLANK('Ingest Template'!F209),"", 'Ingest Template'!F209&amp;"|DAR"),CHAR(10), IF(ISBLANK('Ingest Template'!G209),"", 'Ingest Template'!G209&amp;"|DAR"),CHAR(10), IF(ISBLANK('Ingest Template'!H209),"", 'Ingest Template'!H209&amp;"|DAR"))),(CONCATENATE(IF(ISBLANK('Ingest Template'!F209),"", 'Ingest Template'!F209&amp;"|Film Ops"),CHAR(10), IF(ISBLANK('Ingest Template'!G209),"", 'Ingest Template'!G209&amp;"|Film Ops"),CHAR(10), IF(ISBLANK('Ingest Template'!H209),"", 'Ingest Template'!H209&amp;"|Film Ops"))))</f>
        <v>
</v>
      </c>
      <c r="AD209" s="4"/>
      <c r="AE209" s="4"/>
      <c r="AF209" s="10"/>
      <c r="AG209" s="4"/>
      <c r="AH209" s="4"/>
    </row>
    <row r="210">
      <c r="A210" s="4"/>
      <c r="B210" s="4" t="str">
        <f>'Ingest Template'!B210&amp;IF('Ingest Template'!A210 = "Standard", " - DAR","")</f>
        <v/>
      </c>
      <c r="C210" s="5" t="s">
        <v>34</v>
      </c>
      <c r="D210" s="5" t="str">
        <f>CONCATENATE('Ingest Template'!C210,'Ingest Template'!D210)</f>
        <v/>
      </c>
      <c r="E210" s="4"/>
      <c r="F210" s="4"/>
      <c r="G210" s="4"/>
      <c r="H210" s="6"/>
      <c r="I210" s="6" t="str">
        <f>iF('Ingest Template'!A210="Standard","Pristine Brand","Unknown")</f>
        <v>Unknown</v>
      </c>
      <c r="J210" s="4" t="str">
        <f>iF('Ingest Template'!A210="Standard","LF // Beverages","Competitive View")</f>
        <v>Competitive View</v>
      </c>
      <c r="K210" s="7" t="s">
        <v>35</v>
      </c>
      <c r="L210" s="8"/>
      <c r="M210" s="4"/>
      <c r="N210" s="4"/>
      <c r="O210" s="4"/>
      <c r="P210" s="4"/>
      <c r="Q210" s="4"/>
      <c r="R210" s="7" t="s">
        <v>36</v>
      </c>
      <c r="S210" s="4" t="str">
        <f>'Ingest Template'!J210</f>
        <v/>
      </c>
      <c r="T210" s="4" t="str">
        <f>'Ingest Template'!I210</f>
        <v/>
      </c>
      <c r="U210" s="4" t="str">
        <f>LOWER(SUBSTITUTE(SUBSTITUTE(SUBSTITUTE(SUBSTITUTE(SUBSTITUTE('Ingest Template'!K210,"https:",""),"www.",""),"/",""),"?hl=en",""),"instagram.com",""))</f>
        <v/>
      </c>
      <c r="V210" s="9" t="str">
        <f>'Ingest Template'!L210</f>
        <v/>
      </c>
      <c r="W210" s="9" t="str">
        <f>'Ingest Template'!M210</f>
        <v/>
      </c>
      <c r="X210" s="4" t="str">
        <f>SUBSTITUTE(SUBSTITUTE(SUBSTITUTE('Ingest Template'!N210,"http:",""),"https:",""),"/","")</f>
        <v/>
      </c>
      <c r="Y210" s="4" t="str">
        <f t="array" ref="Y210">IF('Ingest Template'!A210="Standard",(IF(ISBLANK('Ingest Template'!O210),"", 'Ingest Template'!O210&amp;"|DAR")),(IF(ISBLANK('Ingest Template'!O210),"", 'Ingest Template'!O210&amp;"|Film Ops")))</f>
        <v/>
      </c>
      <c r="Z210" s="4"/>
      <c r="AA210" s="4" t="str">
        <f>'Ingest Template'!E210</f>
        <v/>
      </c>
      <c r="AB210" s="7"/>
      <c r="AC210" s="4" t="str">
        <f t="array" ref="AC210">IF('Ingest Template'!A210="Standard",(CONCATENATE(IF(ISBLANK('Ingest Template'!F210),"", 'Ingest Template'!F210&amp;"|DAR"),CHAR(10), IF(ISBLANK('Ingest Template'!G210),"", 'Ingest Template'!G210&amp;"|DAR"),CHAR(10), IF(ISBLANK('Ingest Template'!H210),"", 'Ingest Template'!H210&amp;"|DAR"))),(CONCATENATE(IF(ISBLANK('Ingest Template'!F210),"", 'Ingest Template'!F210&amp;"|Film Ops"),CHAR(10), IF(ISBLANK('Ingest Template'!G210),"", 'Ingest Template'!G210&amp;"|Film Ops"),CHAR(10), IF(ISBLANK('Ingest Template'!H210),"", 'Ingest Template'!H210&amp;"|Film Ops"))))</f>
        <v>
</v>
      </c>
      <c r="AD210" s="4"/>
      <c r="AE210" s="4"/>
      <c r="AF210" s="10"/>
      <c r="AG210" s="4"/>
      <c r="AH210" s="4"/>
    </row>
    <row r="211">
      <c r="A211" s="4"/>
      <c r="B211" s="4" t="str">
        <f>'Ingest Template'!B211&amp;IF('Ingest Template'!A211 = "Standard", " - DAR","")</f>
        <v/>
      </c>
      <c r="C211" s="5" t="s">
        <v>34</v>
      </c>
      <c r="D211" s="5" t="str">
        <f>CONCATENATE('Ingest Template'!C211,'Ingest Template'!D211)</f>
        <v/>
      </c>
      <c r="E211" s="4"/>
      <c r="F211" s="4"/>
      <c r="G211" s="4"/>
      <c r="H211" s="6"/>
      <c r="I211" s="6" t="str">
        <f>iF('Ingest Template'!A211="Standard","Pristine Brand","Unknown")</f>
        <v>Unknown</v>
      </c>
      <c r="J211" s="4" t="str">
        <f>iF('Ingest Template'!A211="Standard","LF // Beverages","Competitive View")</f>
        <v>Competitive View</v>
      </c>
      <c r="K211" s="7" t="s">
        <v>35</v>
      </c>
      <c r="L211" s="8"/>
      <c r="M211" s="4"/>
      <c r="N211" s="4"/>
      <c r="O211" s="4"/>
      <c r="P211" s="4"/>
      <c r="Q211" s="4"/>
      <c r="R211" s="7" t="s">
        <v>36</v>
      </c>
      <c r="S211" s="4" t="str">
        <f>'Ingest Template'!J211</f>
        <v/>
      </c>
      <c r="T211" s="4" t="str">
        <f>'Ingest Template'!I211</f>
        <v/>
      </c>
      <c r="U211" s="4" t="str">
        <f>LOWER(SUBSTITUTE(SUBSTITUTE(SUBSTITUTE(SUBSTITUTE(SUBSTITUTE('Ingest Template'!K211,"https:",""),"www.",""),"/",""),"?hl=en",""),"instagram.com",""))</f>
        <v/>
      </c>
      <c r="V211" s="9" t="str">
        <f>'Ingest Template'!L211</f>
        <v/>
      </c>
      <c r="W211" s="9" t="str">
        <f>'Ingest Template'!M211</f>
        <v/>
      </c>
      <c r="X211" s="4" t="str">
        <f>SUBSTITUTE(SUBSTITUTE(SUBSTITUTE('Ingest Template'!N211,"http:",""),"https:",""),"/","")</f>
        <v/>
      </c>
      <c r="Y211" s="4" t="str">
        <f t="array" ref="Y211">IF('Ingest Template'!A211="Standard",(IF(ISBLANK('Ingest Template'!O211),"", 'Ingest Template'!O211&amp;"|DAR")),(IF(ISBLANK('Ingest Template'!O211),"", 'Ingest Template'!O211&amp;"|Film Ops")))</f>
        <v/>
      </c>
      <c r="Z211" s="4"/>
      <c r="AA211" s="4" t="str">
        <f>'Ingest Template'!E211</f>
        <v/>
      </c>
      <c r="AB211" s="7"/>
      <c r="AC211" s="4" t="str">
        <f t="array" ref="AC211">IF('Ingest Template'!A211="Standard",(CONCATENATE(IF(ISBLANK('Ingest Template'!F211),"", 'Ingest Template'!F211&amp;"|DAR"),CHAR(10), IF(ISBLANK('Ingest Template'!G211),"", 'Ingest Template'!G211&amp;"|DAR"),CHAR(10), IF(ISBLANK('Ingest Template'!H211),"", 'Ingest Template'!H211&amp;"|DAR"))),(CONCATENATE(IF(ISBLANK('Ingest Template'!F211),"", 'Ingest Template'!F211&amp;"|Film Ops"),CHAR(10), IF(ISBLANK('Ingest Template'!G211),"", 'Ingest Template'!G211&amp;"|Film Ops"),CHAR(10), IF(ISBLANK('Ingest Template'!H211),"", 'Ingest Template'!H211&amp;"|Film Ops"))))</f>
        <v>
</v>
      </c>
      <c r="AD211" s="4"/>
      <c r="AE211" s="4"/>
      <c r="AF211" s="10"/>
      <c r="AG211" s="4"/>
      <c r="AH211" s="4"/>
    </row>
    <row r="212">
      <c r="A212" s="4"/>
      <c r="B212" s="4" t="str">
        <f>'Ingest Template'!B212&amp;IF('Ingest Template'!A212 = "Standard", " - DAR","")</f>
        <v/>
      </c>
      <c r="C212" s="5" t="s">
        <v>34</v>
      </c>
      <c r="D212" s="5" t="str">
        <f>CONCATENATE('Ingest Template'!C212,'Ingest Template'!D212)</f>
        <v/>
      </c>
      <c r="E212" s="4"/>
      <c r="F212" s="4"/>
      <c r="G212" s="4"/>
      <c r="H212" s="6"/>
      <c r="I212" s="6" t="str">
        <f>iF('Ingest Template'!A212="Standard","Pristine Brand","Unknown")</f>
        <v>Unknown</v>
      </c>
      <c r="J212" s="4" t="str">
        <f>iF('Ingest Template'!A212="Standard","LF // Beverages","Competitive View")</f>
        <v>Competitive View</v>
      </c>
      <c r="K212" s="7" t="s">
        <v>35</v>
      </c>
      <c r="L212" s="8"/>
      <c r="M212" s="4"/>
      <c r="N212" s="4"/>
      <c r="O212" s="4"/>
      <c r="P212" s="4"/>
      <c r="Q212" s="4"/>
      <c r="R212" s="7" t="s">
        <v>36</v>
      </c>
      <c r="S212" s="4" t="str">
        <f>'Ingest Template'!J212</f>
        <v/>
      </c>
      <c r="T212" s="4" t="str">
        <f>'Ingest Template'!I212</f>
        <v/>
      </c>
      <c r="U212" s="4" t="str">
        <f>LOWER(SUBSTITUTE(SUBSTITUTE(SUBSTITUTE(SUBSTITUTE(SUBSTITUTE('Ingest Template'!K212,"https:",""),"www.",""),"/",""),"?hl=en",""),"instagram.com",""))</f>
        <v/>
      </c>
      <c r="V212" s="9" t="str">
        <f>'Ingest Template'!L212</f>
        <v/>
      </c>
      <c r="W212" s="9" t="str">
        <f>'Ingest Template'!M212</f>
        <v/>
      </c>
      <c r="X212" s="4" t="str">
        <f>SUBSTITUTE(SUBSTITUTE(SUBSTITUTE('Ingest Template'!N212,"http:",""),"https:",""),"/","")</f>
        <v/>
      </c>
      <c r="Y212" s="4" t="str">
        <f t="array" ref="Y212">IF('Ingest Template'!A212="Standard",(IF(ISBLANK('Ingest Template'!O212),"", 'Ingest Template'!O212&amp;"|DAR")),(IF(ISBLANK('Ingest Template'!O212),"", 'Ingest Template'!O212&amp;"|Film Ops")))</f>
        <v/>
      </c>
      <c r="Z212" s="4"/>
      <c r="AA212" s="4" t="str">
        <f>'Ingest Template'!E212</f>
        <v/>
      </c>
      <c r="AB212" s="7"/>
      <c r="AC212" s="4" t="str">
        <f t="array" ref="AC212">IF('Ingest Template'!A212="Standard",(CONCATENATE(IF(ISBLANK('Ingest Template'!F212),"", 'Ingest Template'!F212&amp;"|DAR"),CHAR(10), IF(ISBLANK('Ingest Template'!G212),"", 'Ingest Template'!G212&amp;"|DAR"),CHAR(10), IF(ISBLANK('Ingest Template'!H212),"", 'Ingest Template'!H212&amp;"|DAR"))),(CONCATENATE(IF(ISBLANK('Ingest Template'!F212),"", 'Ingest Template'!F212&amp;"|Film Ops"),CHAR(10), IF(ISBLANK('Ingest Template'!G212),"", 'Ingest Template'!G212&amp;"|Film Ops"),CHAR(10), IF(ISBLANK('Ingest Template'!H212),"", 'Ingest Template'!H212&amp;"|Film Ops"))))</f>
        <v>
</v>
      </c>
      <c r="AD212" s="4"/>
      <c r="AE212" s="4"/>
      <c r="AF212" s="10"/>
      <c r="AG212" s="4"/>
      <c r="AH212" s="4"/>
    </row>
    <row r="213">
      <c r="A213" s="4"/>
      <c r="B213" s="4" t="str">
        <f>'Ingest Template'!B213&amp;IF('Ingest Template'!A213 = "Standard", " - DAR","")</f>
        <v/>
      </c>
      <c r="C213" s="5" t="s">
        <v>34</v>
      </c>
      <c r="D213" s="5" t="str">
        <f>CONCATENATE('Ingest Template'!C213,'Ingest Template'!D213)</f>
        <v/>
      </c>
      <c r="E213" s="4"/>
      <c r="F213" s="4"/>
      <c r="G213" s="4"/>
      <c r="H213" s="6"/>
      <c r="I213" s="6" t="str">
        <f>iF('Ingest Template'!A213="Standard","Pristine Brand","Unknown")</f>
        <v>Unknown</v>
      </c>
      <c r="J213" s="4" t="str">
        <f>iF('Ingest Template'!A213="Standard","LF // Beverages","Competitive View")</f>
        <v>Competitive View</v>
      </c>
      <c r="K213" s="7" t="s">
        <v>35</v>
      </c>
      <c r="L213" s="8"/>
      <c r="M213" s="4"/>
      <c r="N213" s="4"/>
      <c r="O213" s="4"/>
      <c r="P213" s="4"/>
      <c r="Q213" s="4"/>
      <c r="R213" s="7" t="s">
        <v>36</v>
      </c>
      <c r="S213" s="4" t="str">
        <f>'Ingest Template'!J213</f>
        <v/>
      </c>
      <c r="T213" s="4" t="str">
        <f>'Ingest Template'!I213</f>
        <v/>
      </c>
      <c r="U213" s="4" t="str">
        <f>LOWER(SUBSTITUTE(SUBSTITUTE(SUBSTITUTE(SUBSTITUTE(SUBSTITUTE('Ingest Template'!K213,"https:",""),"www.",""),"/",""),"?hl=en",""),"instagram.com",""))</f>
        <v/>
      </c>
      <c r="V213" s="9" t="str">
        <f>'Ingest Template'!L213</f>
        <v/>
      </c>
      <c r="W213" s="9" t="str">
        <f>'Ingest Template'!M213</f>
        <v/>
      </c>
      <c r="X213" s="4" t="str">
        <f>SUBSTITUTE(SUBSTITUTE(SUBSTITUTE('Ingest Template'!N213,"http:",""),"https:",""),"/","")</f>
        <v/>
      </c>
      <c r="Y213" s="4" t="str">
        <f t="array" ref="Y213">IF('Ingest Template'!A213="Standard",(IF(ISBLANK('Ingest Template'!O213),"", 'Ingest Template'!O213&amp;"|DAR")),(IF(ISBLANK('Ingest Template'!O213),"", 'Ingest Template'!O213&amp;"|Film Ops")))</f>
        <v/>
      </c>
      <c r="Z213" s="4"/>
      <c r="AA213" s="4" t="str">
        <f>'Ingest Template'!E213</f>
        <v/>
      </c>
      <c r="AB213" s="7"/>
      <c r="AC213" s="4" t="str">
        <f t="array" ref="AC213">IF('Ingest Template'!A213="Standard",(CONCATENATE(IF(ISBLANK('Ingest Template'!F213),"", 'Ingest Template'!F213&amp;"|DAR"),CHAR(10), IF(ISBLANK('Ingest Template'!G213),"", 'Ingest Template'!G213&amp;"|DAR"),CHAR(10), IF(ISBLANK('Ingest Template'!H213),"", 'Ingest Template'!H213&amp;"|DAR"))),(CONCATENATE(IF(ISBLANK('Ingest Template'!F213),"", 'Ingest Template'!F213&amp;"|Film Ops"),CHAR(10), IF(ISBLANK('Ingest Template'!G213),"", 'Ingest Template'!G213&amp;"|Film Ops"),CHAR(10), IF(ISBLANK('Ingest Template'!H213),"", 'Ingest Template'!H213&amp;"|Film Ops"))))</f>
        <v>
</v>
      </c>
      <c r="AD213" s="4"/>
      <c r="AE213" s="4"/>
      <c r="AF213" s="10"/>
      <c r="AG213" s="4"/>
      <c r="AH213" s="4"/>
    </row>
    <row r="214">
      <c r="A214" s="4"/>
      <c r="B214" s="4" t="str">
        <f>'Ingest Template'!B214&amp;IF('Ingest Template'!A214 = "Standard", " - DAR","")</f>
        <v/>
      </c>
      <c r="C214" s="5" t="s">
        <v>34</v>
      </c>
      <c r="D214" s="5" t="str">
        <f>CONCATENATE('Ingest Template'!C214,'Ingest Template'!D214)</f>
        <v/>
      </c>
      <c r="E214" s="4"/>
      <c r="F214" s="4"/>
      <c r="G214" s="4"/>
      <c r="H214" s="6"/>
      <c r="I214" s="6" t="str">
        <f>iF('Ingest Template'!A214="Standard","Pristine Brand","Unknown")</f>
        <v>Unknown</v>
      </c>
      <c r="J214" s="4" t="str">
        <f>iF('Ingest Template'!A214="Standard","LF // Beverages","Competitive View")</f>
        <v>Competitive View</v>
      </c>
      <c r="K214" s="7" t="s">
        <v>35</v>
      </c>
      <c r="L214" s="8"/>
      <c r="M214" s="4"/>
      <c r="N214" s="4"/>
      <c r="O214" s="4"/>
      <c r="P214" s="4"/>
      <c r="Q214" s="4"/>
      <c r="R214" s="7" t="s">
        <v>36</v>
      </c>
      <c r="S214" s="4" t="str">
        <f>'Ingest Template'!J214</f>
        <v/>
      </c>
      <c r="T214" s="4" t="str">
        <f>'Ingest Template'!I214</f>
        <v/>
      </c>
      <c r="U214" s="4" t="str">
        <f>LOWER(SUBSTITUTE(SUBSTITUTE(SUBSTITUTE(SUBSTITUTE(SUBSTITUTE('Ingest Template'!K214,"https:",""),"www.",""),"/",""),"?hl=en",""),"instagram.com",""))</f>
        <v/>
      </c>
      <c r="V214" s="9" t="str">
        <f>'Ingest Template'!L214</f>
        <v/>
      </c>
      <c r="W214" s="9" t="str">
        <f>'Ingest Template'!M214</f>
        <v/>
      </c>
      <c r="X214" s="4" t="str">
        <f>SUBSTITUTE(SUBSTITUTE(SUBSTITUTE('Ingest Template'!N214,"http:",""),"https:",""),"/","")</f>
        <v/>
      </c>
      <c r="Y214" s="4" t="str">
        <f t="array" ref="Y214">IF('Ingest Template'!A214="Standard",(IF(ISBLANK('Ingest Template'!O214),"", 'Ingest Template'!O214&amp;"|DAR")),(IF(ISBLANK('Ingest Template'!O214),"", 'Ingest Template'!O214&amp;"|Film Ops")))</f>
        <v/>
      </c>
      <c r="Z214" s="4"/>
      <c r="AA214" s="4" t="str">
        <f>'Ingest Template'!E214</f>
        <v/>
      </c>
      <c r="AB214" s="7"/>
      <c r="AC214" s="4" t="str">
        <f t="array" ref="AC214">IF('Ingest Template'!A214="Standard",(CONCATENATE(IF(ISBLANK('Ingest Template'!F214),"", 'Ingest Template'!F214&amp;"|DAR"),CHAR(10), IF(ISBLANK('Ingest Template'!G214),"", 'Ingest Template'!G214&amp;"|DAR"),CHAR(10), IF(ISBLANK('Ingest Template'!H214),"", 'Ingest Template'!H214&amp;"|DAR"))),(CONCATENATE(IF(ISBLANK('Ingest Template'!F214),"", 'Ingest Template'!F214&amp;"|Film Ops"),CHAR(10), IF(ISBLANK('Ingest Template'!G214),"", 'Ingest Template'!G214&amp;"|Film Ops"),CHAR(10), IF(ISBLANK('Ingest Template'!H214),"", 'Ingest Template'!H214&amp;"|Film Ops"))))</f>
        <v>
</v>
      </c>
      <c r="AD214" s="4"/>
      <c r="AE214" s="4"/>
      <c r="AF214" s="10"/>
      <c r="AG214" s="4"/>
      <c r="AH214" s="4"/>
    </row>
    <row r="215">
      <c r="A215" s="4"/>
      <c r="B215" s="4" t="str">
        <f>'Ingest Template'!B215&amp;IF('Ingest Template'!A215 = "Standard", " - DAR","")</f>
        <v/>
      </c>
      <c r="C215" s="5" t="s">
        <v>34</v>
      </c>
      <c r="D215" s="5" t="str">
        <f>CONCATENATE('Ingest Template'!C215,'Ingest Template'!D215)</f>
        <v/>
      </c>
      <c r="E215" s="4"/>
      <c r="F215" s="4"/>
      <c r="G215" s="4"/>
      <c r="H215" s="6"/>
      <c r="I215" s="6" t="str">
        <f>iF('Ingest Template'!A215="Standard","Pristine Brand","Unknown")</f>
        <v>Unknown</v>
      </c>
      <c r="J215" s="4" t="str">
        <f>iF('Ingest Template'!A215="Standard","LF // Beverages","Competitive View")</f>
        <v>Competitive View</v>
      </c>
      <c r="K215" s="7" t="s">
        <v>35</v>
      </c>
      <c r="L215" s="8"/>
      <c r="M215" s="4"/>
      <c r="N215" s="4"/>
      <c r="O215" s="4"/>
      <c r="P215" s="4"/>
      <c r="Q215" s="4"/>
      <c r="R215" s="7" t="s">
        <v>36</v>
      </c>
      <c r="S215" s="4" t="str">
        <f>'Ingest Template'!J215</f>
        <v/>
      </c>
      <c r="T215" s="4" t="str">
        <f>'Ingest Template'!I215</f>
        <v/>
      </c>
      <c r="U215" s="4" t="str">
        <f>LOWER(SUBSTITUTE(SUBSTITUTE(SUBSTITUTE(SUBSTITUTE(SUBSTITUTE('Ingest Template'!K215,"https:",""),"www.",""),"/",""),"?hl=en",""),"instagram.com",""))</f>
        <v/>
      </c>
      <c r="V215" s="9" t="str">
        <f>'Ingest Template'!L215</f>
        <v/>
      </c>
      <c r="W215" s="9" t="str">
        <f>'Ingest Template'!M215</f>
        <v/>
      </c>
      <c r="X215" s="4" t="str">
        <f>SUBSTITUTE(SUBSTITUTE(SUBSTITUTE('Ingest Template'!N215,"http:",""),"https:",""),"/","")</f>
        <v/>
      </c>
      <c r="Y215" s="4" t="str">
        <f t="array" ref="Y215">IF('Ingest Template'!A215="Standard",(IF(ISBLANK('Ingest Template'!O215),"", 'Ingest Template'!O215&amp;"|DAR")),(IF(ISBLANK('Ingest Template'!O215),"", 'Ingest Template'!O215&amp;"|Film Ops")))</f>
        <v/>
      </c>
      <c r="Z215" s="4"/>
      <c r="AA215" s="4" t="str">
        <f>'Ingest Template'!E215</f>
        <v/>
      </c>
      <c r="AB215" s="7"/>
      <c r="AC215" s="4" t="str">
        <f t="array" ref="AC215">IF('Ingest Template'!A215="Standard",(CONCATENATE(IF(ISBLANK('Ingest Template'!F215),"", 'Ingest Template'!F215&amp;"|DAR"),CHAR(10), IF(ISBLANK('Ingest Template'!G215),"", 'Ingest Template'!G215&amp;"|DAR"),CHAR(10), IF(ISBLANK('Ingest Template'!H215),"", 'Ingest Template'!H215&amp;"|DAR"))),(CONCATENATE(IF(ISBLANK('Ingest Template'!F215),"", 'Ingest Template'!F215&amp;"|Film Ops"),CHAR(10), IF(ISBLANK('Ingest Template'!G215),"", 'Ingest Template'!G215&amp;"|Film Ops"),CHAR(10), IF(ISBLANK('Ingest Template'!H215),"", 'Ingest Template'!H215&amp;"|Film Ops"))))</f>
        <v>
</v>
      </c>
      <c r="AD215" s="4"/>
      <c r="AE215" s="4"/>
      <c r="AF215" s="10"/>
      <c r="AG215" s="4"/>
      <c r="AH215" s="4"/>
    </row>
    <row r="216">
      <c r="A216" s="4"/>
      <c r="B216" s="4" t="str">
        <f>'Ingest Template'!B216&amp;IF('Ingest Template'!A216 = "Standard", " - DAR","")</f>
        <v/>
      </c>
      <c r="C216" s="5" t="s">
        <v>34</v>
      </c>
      <c r="D216" s="5" t="str">
        <f>CONCATENATE('Ingest Template'!C216,'Ingest Template'!D216)</f>
        <v/>
      </c>
      <c r="E216" s="4"/>
      <c r="F216" s="4"/>
      <c r="G216" s="4"/>
      <c r="H216" s="6"/>
      <c r="I216" s="6" t="str">
        <f>iF('Ingest Template'!A216="Standard","Pristine Brand","Unknown")</f>
        <v>Unknown</v>
      </c>
      <c r="J216" s="4" t="str">
        <f>iF('Ingest Template'!A216="Standard","LF // Beverages","Competitive View")</f>
        <v>Competitive View</v>
      </c>
      <c r="K216" s="7" t="s">
        <v>35</v>
      </c>
      <c r="L216" s="8"/>
      <c r="M216" s="4"/>
      <c r="N216" s="4"/>
      <c r="O216" s="4"/>
      <c r="P216" s="4"/>
      <c r="Q216" s="4"/>
      <c r="R216" s="7" t="s">
        <v>36</v>
      </c>
      <c r="S216" s="4" t="str">
        <f>'Ingest Template'!J216</f>
        <v/>
      </c>
      <c r="T216" s="4" t="str">
        <f>'Ingest Template'!I216</f>
        <v/>
      </c>
      <c r="U216" s="4" t="str">
        <f>LOWER(SUBSTITUTE(SUBSTITUTE(SUBSTITUTE(SUBSTITUTE(SUBSTITUTE('Ingest Template'!K216,"https:",""),"www.",""),"/",""),"?hl=en",""),"instagram.com",""))</f>
        <v/>
      </c>
      <c r="V216" s="9" t="str">
        <f>'Ingest Template'!L216</f>
        <v/>
      </c>
      <c r="W216" s="9" t="str">
        <f>'Ingest Template'!M216</f>
        <v/>
      </c>
      <c r="X216" s="4" t="str">
        <f>SUBSTITUTE(SUBSTITUTE(SUBSTITUTE('Ingest Template'!N216,"http:",""),"https:",""),"/","")</f>
        <v/>
      </c>
      <c r="Y216" s="4" t="str">
        <f t="array" ref="Y216">IF('Ingest Template'!A216="Standard",(IF(ISBLANK('Ingest Template'!O216),"", 'Ingest Template'!O216&amp;"|DAR")),(IF(ISBLANK('Ingest Template'!O216),"", 'Ingest Template'!O216&amp;"|Film Ops")))</f>
        <v/>
      </c>
      <c r="Z216" s="4"/>
      <c r="AA216" s="4" t="str">
        <f>'Ingest Template'!E216</f>
        <v/>
      </c>
      <c r="AB216" s="7"/>
      <c r="AC216" s="4" t="str">
        <f t="array" ref="AC216">IF('Ingest Template'!A216="Standard",(CONCATENATE(IF(ISBLANK('Ingest Template'!F216),"", 'Ingest Template'!F216&amp;"|DAR"),CHAR(10), IF(ISBLANK('Ingest Template'!G216),"", 'Ingest Template'!G216&amp;"|DAR"),CHAR(10), IF(ISBLANK('Ingest Template'!H216),"", 'Ingest Template'!H216&amp;"|DAR"))),(CONCATENATE(IF(ISBLANK('Ingest Template'!F216),"", 'Ingest Template'!F216&amp;"|Film Ops"),CHAR(10), IF(ISBLANK('Ingest Template'!G216),"", 'Ingest Template'!G216&amp;"|Film Ops"),CHAR(10), IF(ISBLANK('Ingest Template'!H216),"", 'Ingest Template'!H216&amp;"|Film Ops"))))</f>
        <v>
</v>
      </c>
      <c r="AD216" s="4"/>
      <c r="AE216" s="4"/>
      <c r="AF216" s="10"/>
      <c r="AG216" s="4"/>
      <c r="AH216" s="4"/>
    </row>
    <row r="217">
      <c r="A217" s="4"/>
      <c r="B217" s="4" t="str">
        <f>'Ingest Template'!B217&amp;IF('Ingest Template'!A217 = "Standard", " - DAR","")</f>
        <v/>
      </c>
      <c r="C217" s="5" t="s">
        <v>34</v>
      </c>
      <c r="D217" s="5" t="str">
        <f>CONCATENATE('Ingest Template'!C217,'Ingest Template'!D217)</f>
        <v/>
      </c>
      <c r="E217" s="4"/>
      <c r="F217" s="4"/>
      <c r="G217" s="4"/>
      <c r="H217" s="6"/>
      <c r="I217" s="6" t="str">
        <f>iF('Ingest Template'!A217="Standard","Pristine Brand","Unknown")</f>
        <v>Unknown</v>
      </c>
      <c r="J217" s="4" t="str">
        <f>iF('Ingest Template'!A217="Standard","LF // Beverages","Competitive View")</f>
        <v>Competitive View</v>
      </c>
      <c r="K217" s="7" t="s">
        <v>35</v>
      </c>
      <c r="L217" s="8"/>
      <c r="M217" s="4"/>
      <c r="N217" s="4"/>
      <c r="O217" s="4"/>
      <c r="P217" s="4"/>
      <c r="Q217" s="4"/>
      <c r="R217" s="7" t="s">
        <v>36</v>
      </c>
      <c r="S217" s="4" t="str">
        <f>'Ingest Template'!J217</f>
        <v/>
      </c>
      <c r="T217" s="4" t="str">
        <f>'Ingest Template'!I217</f>
        <v/>
      </c>
      <c r="U217" s="4" t="str">
        <f>LOWER(SUBSTITUTE(SUBSTITUTE(SUBSTITUTE(SUBSTITUTE(SUBSTITUTE('Ingest Template'!K217,"https:",""),"www.",""),"/",""),"?hl=en",""),"instagram.com",""))</f>
        <v/>
      </c>
      <c r="V217" s="9" t="str">
        <f>'Ingest Template'!L217</f>
        <v/>
      </c>
      <c r="W217" s="9" t="str">
        <f>'Ingest Template'!M217</f>
        <v/>
      </c>
      <c r="X217" s="4" t="str">
        <f>SUBSTITUTE(SUBSTITUTE(SUBSTITUTE('Ingest Template'!N217,"http:",""),"https:",""),"/","")</f>
        <v/>
      </c>
      <c r="Y217" s="4" t="str">
        <f t="array" ref="Y217">IF('Ingest Template'!A217="Standard",(IF(ISBLANK('Ingest Template'!O217),"", 'Ingest Template'!O217&amp;"|DAR")),(IF(ISBLANK('Ingest Template'!O217),"", 'Ingest Template'!O217&amp;"|Film Ops")))</f>
        <v/>
      </c>
      <c r="Z217" s="4"/>
      <c r="AA217" s="4" t="str">
        <f>'Ingest Template'!E217</f>
        <v/>
      </c>
      <c r="AB217" s="7"/>
      <c r="AC217" s="4" t="str">
        <f t="array" ref="AC217">IF('Ingest Template'!A217="Standard",(CONCATENATE(IF(ISBLANK('Ingest Template'!F217),"", 'Ingest Template'!F217&amp;"|DAR"),CHAR(10), IF(ISBLANK('Ingest Template'!G217),"", 'Ingest Template'!G217&amp;"|DAR"),CHAR(10), IF(ISBLANK('Ingest Template'!H217),"", 'Ingest Template'!H217&amp;"|DAR"))),(CONCATENATE(IF(ISBLANK('Ingest Template'!F217),"", 'Ingest Template'!F217&amp;"|Film Ops"),CHAR(10), IF(ISBLANK('Ingest Template'!G217),"", 'Ingest Template'!G217&amp;"|Film Ops"),CHAR(10), IF(ISBLANK('Ingest Template'!H217),"", 'Ingest Template'!H217&amp;"|Film Ops"))))</f>
        <v>
</v>
      </c>
      <c r="AD217" s="4"/>
      <c r="AE217" s="4"/>
      <c r="AF217" s="10"/>
      <c r="AG217" s="4"/>
      <c r="AH217" s="4"/>
    </row>
    <row r="218">
      <c r="A218" s="4"/>
      <c r="B218" s="4" t="str">
        <f>'Ingest Template'!B218&amp;IF('Ingest Template'!A218 = "Standard", " - DAR","")</f>
        <v/>
      </c>
      <c r="C218" s="5" t="s">
        <v>34</v>
      </c>
      <c r="D218" s="5" t="str">
        <f>CONCATENATE('Ingest Template'!C218,'Ingest Template'!D218)</f>
        <v/>
      </c>
      <c r="E218" s="4"/>
      <c r="F218" s="4"/>
      <c r="G218" s="4"/>
      <c r="H218" s="6"/>
      <c r="I218" s="6" t="str">
        <f>iF('Ingest Template'!A218="Standard","Pristine Brand","Unknown")</f>
        <v>Unknown</v>
      </c>
      <c r="J218" s="4" t="str">
        <f>iF('Ingest Template'!A218="Standard","LF // Beverages","Competitive View")</f>
        <v>Competitive View</v>
      </c>
      <c r="K218" s="7" t="s">
        <v>35</v>
      </c>
      <c r="L218" s="8"/>
      <c r="M218" s="4"/>
      <c r="N218" s="4"/>
      <c r="O218" s="4"/>
      <c r="P218" s="4"/>
      <c r="Q218" s="4"/>
      <c r="R218" s="7" t="s">
        <v>36</v>
      </c>
      <c r="S218" s="4" t="str">
        <f>'Ingest Template'!J218</f>
        <v/>
      </c>
      <c r="T218" s="4" t="str">
        <f>'Ingest Template'!I218</f>
        <v/>
      </c>
      <c r="U218" s="4" t="str">
        <f>LOWER(SUBSTITUTE(SUBSTITUTE(SUBSTITUTE(SUBSTITUTE(SUBSTITUTE('Ingest Template'!K218,"https:",""),"www.",""),"/",""),"?hl=en",""),"instagram.com",""))</f>
        <v/>
      </c>
      <c r="V218" s="9" t="str">
        <f>'Ingest Template'!L218</f>
        <v/>
      </c>
      <c r="W218" s="9" t="str">
        <f>'Ingest Template'!M218</f>
        <v/>
      </c>
      <c r="X218" s="4" t="str">
        <f>SUBSTITUTE(SUBSTITUTE(SUBSTITUTE('Ingest Template'!N218,"http:",""),"https:",""),"/","")</f>
        <v/>
      </c>
      <c r="Y218" s="4" t="str">
        <f t="array" ref="Y218">IF('Ingest Template'!A218="Standard",(IF(ISBLANK('Ingest Template'!O218),"", 'Ingest Template'!O218&amp;"|DAR")),(IF(ISBLANK('Ingest Template'!O218),"", 'Ingest Template'!O218&amp;"|Film Ops")))</f>
        <v/>
      </c>
      <c r="Z218" s="4"/>
      <c r="AA218" s="4" t="str">
        <f>'Ingest Template'!E218</f>
        <v/>
      </c>
      <c r="AB218" s="7"/>
      <c r="AC218" s="4" t="str">
        <f t="array" ref="AC218">IF('Ingest Template'!A218="Standard",(CONCATENATE(IF(ISBLANK('Ingest Template'!F218),"", 'Ingest Template'!F218&amp;"|DAR"),CHAR(10), IF(ISBLANK('Ingest Template'!G218),"", 'Ingest Template'!G218&amp;"|DAR"),CHAR(10), IF(ISBLANK('Ingest Template'!H218),"", 'Ingest Template'!H218&amp;"|DAR"))),(CONCATENATE(IF(ISBLANK('Ingest Template'!F218),"", 'Ingest Template'!F218&amp;"|Film Ops"),CHAR(10), IF(ISBLANK('Ingest Template'!G218),"", 'Ingest Template'!G218&amp;"|Film Ops"),CHAR(10), IF(ISBLANK('Ingest Template'!H218),"", 'Ingest Template'!H218&amp;"|Film Ops"))))</f>
        <v>
</v>
      </c>
      <c r="AD218" s="4"/>
      <c r="AE218" s="4"/>
      <c r="AF218" s="10"/>
      <c r="AG218" s="4"/>
      <c r="AH218" s="4"/>
    </row>
    <row r="219">
      <c r="A219" s="4"/>
      <c r="B219" s="4" t="str">
        <f>'Ingest Template'!B219&amp;IF('Ingest Template'!A219 = "Standard", " - DAR","")</f>
        <v/>
      </c>
      <c r="C219" s="5" t="s">
        <v>34</v>
      </c>
      <c r="D219" s="5" t="str">
        <f>CONCATENATE('Ingest Template'!C219,'Ingest Template'!D219)</f>
        <v/>
      </c>
      <c r="E219" s="4"/>
      <c r="F219" s="4"/>
      <c r="G219" s="4"/>
      <c r="H219" s="6"/>
      <c r="I219" s="6" t="str">
        <f>iF('Ingest Template'!A219="Standard","Pristine Brand","Unknown")</f>
        <v>Unknown</v>
      </c>
      <c r="J219" s="4" t="str">
        <f>iF('Ingest Template'!A219="Standard","LF // Beverages","Competitive View")</f>
        <v>Competitive View</v>
      </c>
      <c r="K219" s="7" t="s">
        <v>35</v>
      </c>
      <c r="L219" s="8"/>
      <c r="M219" s="4"/>
      <c r="N219" s="4"/>
      <c r="O219" s="4"/>
      <c r="P219" s="4"/>
      <c r="Q219" s="4"/>
      <c r="R219" s="7" t="s">
        <v>36</v>
      </c>
      <c r="S219" s="4" t="str">
        <f>'Ingest Template'!J219</f>
        <v/>
      </c>
      <c r="T219" s="4" t="str">
        <f>'Ingest Template'!I219</f>
        <v/>
      </c>
      <c r="U219" s="4" t="str">
        <f>LOWER(SUBSTITUTE(SUBSTITUTE(SUBSTITUTE(SUBSTITUTE(SUBSTITUTE('Ingest Template'!K219,"https:",""),"www.",""),"/",""),"?hl=en",""),"instagram.com",""))</f>
        <v/>
      </c>
      <c r="V219" s="9" t="str">
        <f>'Ingest Template'!L219</f>
        <v/>
      </c>
      <c r="W219" s="9" t="str">
        <f>'Ingest Template'!M219</f>
        <v/>
      </c>
      <c r="X219" s="4" t="str">
        <f>SUBSTITUTE(SUBSTITUTE(SUBSTITUTE('Ingest Template'!N219,"http:",""),"https:",""),"/","")</f>
        <v/>
      </c>
      <c r="Y219" s="4" t="str">
        <f t="array" ref="Y219">IF('Ingest Template'!A219="Standard",(IF(ISBLANK('Ingest Template'!O219),"", 'Ingest Template'!O219&amp;"|DAR")),(IF(ISBLANK('Ingest Template'!O219),"", 'Ingest Template'!O219&amp;"|Film Ops")))</f>
        <v/>
      </c>
      <c r="Z219" s="4"/>
      <c r="AA219" s="4" t="str">
        <f>'Ingest Template'!E219</f>
        <v/>
      </c>
      <c r="AB219" s="7"/>
      <c r="AC219" s="4" t="str">
        <f t="array" ref="AC219">IF('Ingest Template'!A219="Standard",(CONCATENATE(IF(ISBLANK('Ingest Template'!F219),"", 'Ingest Template'!F219&amp;"|DAR"),CHAR(10), IF(ISBLANK('Ingest Template'!G219),"", 'Ingest Template'!G219&amp;"|DAR"),CHAR(10), IF(ISBLANK('Ingest Template'!H219),"", 'Ingest Template'!H219&amp;"|DAR"))),(CONCATENATE(IF(ISBLANK('Ingest Template'!F219),"", 'Ingest Template'!F219&amp;"|Film Ops"),CHAR(10), IF(ISBLANK('Ingest Template'!G219),"", 'Ingest Template'!G219&amp;"|Film Ops"),CHAR(10), IF(ISBLANK('Ingest Template'!H219),"", 'Ingest Template'!H219&amp;"|Film Ops"))))</f>
        <v>
</v>
      </c>
      <c r="AD219" s="4"/>
      <c r="AE219" s="4"/>
      <c r="AF219" s="10"/>
      <c r="AG219" s="4"/>
      <c r="AH219" s="4"/>
    </row>
    <row r="220">
      <c r="A220" s="4"/>
      <c r="B220" s="4" t="str">
        <f>'Ingest Template'!B220&amp;IF('Ingest Template'!A220 = "Standard", " - DAR","")</f>
        <v/>
      </c>
      <c r="C220" s="5" t="s">
        <v>34</v>
      </c>
      <c r="D220" s="5" t="str">
        <f>CONCATENATE('Ingest Template'!C220,'Ingest Template'!D220)</f>
        <v/>
      </c>
      <c r="E220" s="4"/>
      <c r="F220" s="4"/>
      <c r="G220" s="4"/>
      <c r="H220" s="6"/>
      <c r="I220" s="6" t="str">
        <f>iF('Ingest Template'!A220="Standard","Pristine Brand","Unknown")</f>
        <v>Unknown</v>
      </c>
      <c r="J220" s="4" t="str">
        <f>iF('Ingest Template'!A220="Standard","LF // Beverages","Competitive View")</f>
        <v>Competitive View</v>
      </c>
      <c r="K220" s="7" t="s">
        <v>35</v>
      </c>
      <c r="L220" s="8"/>
      <c r="M220" s="4"/>
      <c r="N220" s="4"/>
      <c r="O220" s="4"/>
      <c r="P220" s="4"/>
      <c r="Q220" s="4"/>
      <c r="R220" s="7" t="s">
        <v>36</v>
      </c>
      <c r="S220" s="4" t="str">
        <f>'Ingest Template'!J220</f>
        <v/>
      </c>
      <c r="T220" s="4" t="str">
        <f>'Ingest Template'!I220</f>
        <v/>
      </c>
      <c r="U220" s="4" t="str">
        <f>LOWER(SUBSTITUTE(SUBSTITUTE(SUBSTITUTE(SUBSTITUTE(SUBSTITUTE('Ingest Template'!K220,"https:",""),"www.",""),"/",""),"?hl=en",""),"instagram.com",""))</f>
        <v/>
      </c>
      <c r="V220" s="9" t="str">
        <f>'Ingest Template'!L220</f>
        <v/>
      </c>
      <c r="W220" s="9" t="str">
        <f>'Ingest Template'!M220</f>
        <v/>
      </c>
      <c r="X220" s="4" t="str">
        <f>SUBSTITUTE(SUBSTITUTE(SUBSTITUTE('Ingest Template'!N220,"http:",""),"https:",""),"/","")</f>
        <v/>
      </c>
      <c r="Y220" s="4" t="str">
        <f t="array" ref="Y220">IF('Ingest Template'!A220="Standard",(IF(ISBLANK('Ingest Template'!O220),"", 'Ingest Template'!O220&amp;"|DAR")),(IF(ISBLANK('Ingest Template'!O220),"", 'Ingest Template'!O220&amp;"|Film Ops")))</f>
        <v/>
      </c>
      <c r="Z220" s="4"/>
      <c r="AA220" s="4" t="str">
        <f>'Ingest Template'!E220</f>
        <v/>
      </c>
      <c r="AB220" s="7"/>
      <c r="AC220" s="4" t="str">
        <f t="array" ref="AC220">IF('Ingest Template'!A220="Standard",(CONCATENATE(IF(ISBLANK('Ingest Template'!F220),"", 'Ingest Template'!F220&amp;"|DAR"),CHAR(10), IF(ISBLANK('Ingest Template'!G220),"", 'Ingest Template'!G220&amp;"|DAR"),CHAR(10), IF(ISBLANK('Ingest Template'!H220),"", 'Ingest Template'!H220&amp;"|DAR"))),(CONCATENATE(IF(ISBLANK('Ingest Template'!F220),"", 'Ingest Template'!F220&amp;"|Film Ops"),CHAR(10), IF(ISBLANK('Ingest Template'!G220),"", 'Ingest Template'!G220&amp;"|Film Ops"),CHAR(10), IF(ISBLANK('Ingest Template'!H220),"", 'Ingest Template'!H220&amp;"|Film Ops"))))</f>
        <v>
</v>
      </c>
      <c r="AD220" s="4"/>
      <c r="AE220" s="4"/>
      <c r="AF220" s="10"/>
      <c r="AG220" s="4"/>
      <c r="AH220" s="4"/>
    </row>
    <row r="221">
      <c r="A221" s="4"/>
      <c r="B221" s="4" t="str">
        <f>'Ingest Template'!B221&amp;IF('Ingest Template'!A221 = "Standard", " - DAR","")</f>
        <v/>
      </c>
      <c r="C221" s="5" t="s">
        <v>34</v>
      </c>
      <c r="D221" s="5" t="str">
        <f>CONCATENATE('Ingest Template'!C221,'Ingest Template'!D221)</f>
        <v/>
      </c>
      <c r="E221" s="4"/>
      <c r="F221" s="4"/>
      <c r="G221" s="4"/>
      <c r="H221" s="6"/>
      <c r="I221" s="6" t="str">
        <f>iF('Ingest Template'!A221="Standard","Pristine Brand","Unknown")</f>
        <v>Unknown</v>
      </c>
      <c r="J221" s="4" t="str">
        <f>iF('Ingest Template'!A221="Standard","LF // Beverages","Competitive View")</f>
        <v>Competitive View</v>
      </c>
      <c r="K221" s="7" t="s">
        <v>35</v>
      </c>
      <c r="L221" s="8"/>
      <c r="M221" s="4"/>
      <c r="N221" s="4"/>
      <c r="O221" s="4"/>
      <c r="P221" s="4"/>
      <c r="Q221" s="4"/>
      <c r="R221" s="7" t="s">
        <v>36</v>
      </c>
      <c r="S221" s="4" t="str">
        <f>'Ingest Template'!J221</f>
        <v/>
      </c>
      <c r="T221" s="4" t="str">
        <f>'Ingest Template'!I221</f>
        <v/>
      </c>
      <c r="U221" s="4" t="str">
        <f>LOWER(SUBSTITUTE(SUBSTITUTE(SUBSTITUTE(SUBSTITUTE(SUBSTITUTE('Ingest Template'!K221,"https:",""),"www.",""),"/",""),"?hl=en",""),"instagram.com",""))</f>
        <v/>
      </c>
      <c r="V221" s="9" t="str">
        <f>'Ingest Template'!L221</f>
        <v/>
      </c>
      <c r="W221" s="9" t="str">
        <f>'Ingest Template'!M221</f>
        <v/>
      </c>
      <c r="X221" s="4" t="str">
        <f>SUBSTITUTE(SUBSTITUTE(SUBSTITUTE('Ingest Template'!N221,"http:",""),"https:",""),"/","")</f>
        <v/>
      </c>
      <c r="Y221" s="4" t="str">
        <f t="array" ref="Y221">IF('Ingest Template'!A221="Standard",(IF(ISBLANK('Ingest Template'!O221),"", 'Ingest Template'!O221&amp;"|DAR")),(IF(ISBLANK('Ingest Template'!O221),"", 'Ingest Template'!O221&amp;"|Film Ops")))</f>
        <v/>
      </c>
      <c r="Z221" s="4"/>
      <c r="AA221" s="4" t="str">
        <f>'Ingest Template'!E221</f>
        <v/>
      </c>
      <c r="AB221" s="7"/>
      <c r="AC221" s="4" t="str">
        <f t="array" ref="AC221">IF('Ingest Template'!A221="Standard",(CONCATENATE(IF(ISBLANK('Ingest Template'!F221),"", 'Ingest Template'!F221&amp;"|DAR"),CHAR(10), IF(ISBLANK('Ingest Template'!G221),"", 'Ingest Template'!G221&amp;"|DAR"),CHAR(10), IF(ISBLANK('Ingest Template'!H221),"", 'Ingest Template'!H221&amp;"|DAR"))),(CONCATENATE(IF(ISBLANK('Ingest Template'!F221),"", 'Ingest Template'!F221&amp;"|Film Ops"),CHAR(10), IF(ISBLANK('Ingest Template'!G221),"", 'Ingest Template'!G221&amp;"|Film Ops"),CHAR(10), IF(ISBLANK('Ingest Template'!H221),"", 'Ingest Template'!H221&amp;"|Film Ops"))))</f>
        <v>
</v>
      </c>
      <c r="AD221" s="4"/>
      <c r="AE221" s="4"/>
      <c r="AF221" s="10"/>
      <c r="AG221" s="4"/>
      <c r="AH221" s="4"/>
    </row>
    <row r="222">
      <c r="A222" s="4"/>
      <c r="B222" s="4" t="str">
        <f>'Ingest Template'!B222&amp;IF('Ingest Template'!A222 = "Standard", " - DAR","")</f>
        <v/>
      </c>
      <c r="C222" s="5" t="s">
        <v>34</v>
      </c>
      <c r="D222" s="5" t="str">
        <f>CONCATENATE('Ingest Template'!C222,'Ingest Template'!D222)</f>
        <v/>
      </c>
      <c r="E222" s="4"/>
      <c r="F222" s="4"/>
      <c r="G222" s="4"/>
      <c r="H222" s="6"/>
      <c r="I222" s="6" t="str">
        <f>iF('Ingest Template'!A222="Standard","Pristine Brand","Unknown")</f>
        <v>Unknown</v>
      </c>
      <c r="J222" s="4" t="str">
        <f>iF('Ingest Template'!A222="Standard","LF // Beverages","Competitive View")</f>
        <v>Competitive View</v>
      </c>
      <c r="K222" s="7" t="s">
        <v>35</v>
      </c>
      <c r="L222" s="8"/>
      <c r="M222" s="4"/>
      <c r="N222" s="4"/>
      <c r="O222" s="4"/>
      <c r="P222" s="4"/>
      <c r="Q222" s="4"/>
      <c r="R222" s="7" t="s">
        <v>36</v>
      </c>
      <c r="S222" s="4" t="str">
        <f>'Ingest Template'!J222</f>
        <v/>
      </c>
      <c r="T222" s="4" t="str">
        <f>'Ingest Template'!I222</f>
        <v/>
      </c>
      <c r="U222" s="4" t="str">
        <f>LOWER(SUBSTITUTE(SUBSTITUTE(SUBSTITUTE(SUBSTITUTE(SUBSTITUTE('Ingest Template'!K222,"https:",""),"www.",""),"/",""),"?hl=en",""),"instagram.com",""))</f>
        <v/>
      </c>
      <c r="V222" s="9" t="str">
        <f>'Ingest Template'!L222</f>
        <v/>
      </c>
      <c r="W222" s="9" t="str">
        <f>'Ingest Template'!M222</f>
        <v/>
      </c>
      <c r="X222" s="4" t="str">
        <f>SUBSTITUTE(SUBSTITUTE(SUBSTITUTE('Ingest Template'!N222,"http:",""),"https:",""),"/","")</f>
        <v/>
      </c>
      <c r="Y222" s="4" t="str">
        <f t="array" ref="Y222">IF('Ingest Template'!A222="Standard",(IF(ISBLANK('Ingest Template'!O222),"", 'Ingest Template'!O222&amp;"|DAR")),(IF(ISBLANK('Ingest Template'!O222),"", 'Ingest Template'!O222&amp;"|Film Ops")))</f>
        <v/>
      </c>
      <c r="Z222" s="4"/>
      <c r="AA222" s="4" t="str">
        <f>'Ingest Template'!E222</f>
        <v/>
      </c>
      <c r="AB222" s="7"/>
      <c r="AC222" s="4" t="str">
        <f t="array" ref="AC222">IF('Ingest Template'!A222="Standard",(CONCATENATE(IF(ISBLANK('Ingest Template'!F222),"", 'Ingest Template'!F222&amp;"|DAR"),CHAR(10), IF(ISBLANK('Ingest Template'!G222),"", 'Ingest Template'!G222&amp;"|DAR"),CHAR(10), IF(ISBLANK('Ingest Template'!H222),"", 'Ingest Template'!H222&amp;"|DAR"))),(CONCATENATE(IF(ISBLANK('Ingest Template'!F222),"", 'Ingest Template'!F222&amp;"|Film Ops"),CHAR(10), IF(ISBLANK('Ingest Template'!G222),"", 'Ingest Template'!G222&amp;"|Film Ops"),CHAR(10), IF(ISBLANK('Ingest Template'!H222),"", 'Ingest Template'!H222&amp;"|Film Ops"))))</f>
        <v>
</v>
      </c>
      <c r="AD222" s="4"/>
      <c r="AE222" s="4"/>
      <c r="AF222" s="10"/>
      <c r="AG222" s="4"/>
      <c r="AH222" s="4"/>
    </row>
    <row r="223">
      <c r="A223" s="4"/>
      <c r="B223" s="4" t="str">
        <f>'Ingest Template'!B223&amp;IF('Ingest Template'!A223 = "Standard", " - DAR","")</f>
        <v/>
      </c>
      <c r="C223" s="5" t="s">
        <v>34</v>
      </c>
      <c r="D223" s="5" t="str">
        <f>CONCATENATE('Ingest Template'!C223,'Ingest Template'!D223)</f>
        <v/>
      </c>
      <c r="E223" s="4"/>
      <c r="F223" s="4"/>
      <c r="G223" s="4"/>
      <c r="H223" s="6"/>
      <c r="I223" s="6" t="str">
        <f>iF('Ingest Template'!A223="Standard","Pristine Brand","Unknown")</f>
        <v>Unknown</v>
      </c>
      <c r="J223" s="4" t="str">
        <f>iF('Ingest Template'!A223="Standard","LF // Beverages","Competitive View")</f>
        <v>Competitive View</v>
      </c>
      <c r="K223" s="7" t="s">
        <v>35</v>
      </c>
      <c r="L223" s="8"/>
      <c r="M223" s="4"/>
      <c r="N223" s="4"/>
      <c r="O223" s="4"/>
      <c r="P223" s="4"/>
      <c r="Q223" s="4"/>
      <c r="R223" s="7" t="s">
        <v>36</v>
      </c>
      <c r="S223" s="4" t="str">
        <f>'Ingest Template'!J223</f>
        <v/>
      </c>
      <c r="T223" s="4" t="str">
        <f>'Ingest Template'!I223</f>
        <v/>
      </c>
      <c r="U223" s="4" t="str">
        <f>LOWER(SUBSTITUTE(SUBSTITUTE(SUBSTITUTE(SUBSTITUTE(SUBSTITUTE('Ingest Template'!K223,"https:",""),"www.",""),"/",""),"?hl=en",""),"instagram.com",""))</f>
        <v/>
      </c>
      <c r="V223" s="9" t="str">
        <f>'Ingest Template'!L223</f>
        <v/>
      </c>
      <c r="W223" s="9" t="str">
        <f>'Ingest Template'!M223</f>
        <v/>
      </c>
      <c r="X223" s="4" t="str">
        <f>SUBSTITUTE(SUBSTITUTE(SUBSTITUTE('Ingest Template'!N223,"http:",""),"https:",""),"/","")</f>
        <v/>
      </c>
      <c r="Y223" s="4" t="str">
        <f t="array" ref="Y223">IF('Ingest Template'!A223="Standard",(IF(ISBLANK('Ingest Template'!O223),"", 'Ingest Template'!O223&amp;"|DAR")),(IF(ISBLANK('Ingest Template'!O223),"", 'Ingest Template'!O223&amp;"|Film Ops")))</f>
        <v/>
      </c>
      <c r="Z223" s="4"/>
      <c r="AA223" s="4" t="str">
        <f>'Ingest Template'!E223</f>
        <v/>
      </c>
      <c r="AB223" s="7"/>
      <c r="AC223" s="4" t="str">
        <f t="array" ref="AC223">IF('Ingest Template'!A223="Standard",(CONCATENATE(IF(ISBLANK('Ingest Template'!F223),"", 'Ingest Template'!F223&amp;"|DAR"),CHAR(10), IF(ISBLANK('Ingest Template'!G223),"", 'Ingest Template'!G223&amp;"|DAR"),CHAR(10), IF(ISBLANK('Ingest Template'!H223),"", 'Ingest Template'!H223&amp;"|DAR"))),(CONCATENATE(IF(ISBLANK('Ingest Template'!F223),"", 'Ingest Template'!F223&amp;"|Film Ops"),CHAR(10), IF(ISBLANK('Ingest Template'!G223),"", 'Ingest Template'!G223&amp;"|Film Ops"),CHAR(10), IF(ISBLANK('Ingest Template'!H223),"", 'Ingest Template'!H223&amp;"|Film Ops"))))</f>
        <v>
</v>
      </c>
      <c r="AD223" s="4"/>
      <c r="AE223" s="4"/>
      <c r="AF223" s="10"/>
      <c r="AG223" s="4"/>
      <c r="AH223" s="4"/>
    </row>
    <row r="224">
      <c r="A224" s="4"/>
      <c r="B224" s="4" t="str">
        <f>'Ingest Template'!B224&amp;IF('Ingest Template'!A224 = "Standard", " - DAR","")</f>
        <v/>
      </c>
      <c r="C224" s="5" t="s">
        <v>34</v>
      </c>
      <c r="D224" s="5" t="str">
        <f>CONCATENATE('Ingest Template'!C224,'Ingest Template'!D224)</f>
        <v/>
      </c>
      <c r="E224" s="4"/>
      <c r="F224" s="4"/>
      <c r="G224" s="4"/>
      <c r="H224" s="6"/>
      <c r="I224" s="6" t="str">
        <f>iF('Ingest Template'!A224="Standard","Pristine Brand","Unknown")</f>
        <v>Unknown</v>
      </c>
      <c r="J224" s="4" t="str">
        <f>iF('Ingest Template'!A224="Standard","LF // Beverages","Competitive View")</f>
        <v>Competitive View</v>
      </c>
      <c r="K224" s="7" t="s">
        <v>35</v>
      </c>
      <c r="L224" s="8"/>
      <c r="M224" s="4"/>
      <c r="N224" s="4"/>
      <c r="O224" s="4"/>
      <c r="P224" s="4"/>
      <c r="Q224" s="4"/>
      <c r="R224" s="7" t="s">
        <v>36</v>
      </c>
      <c r="S224" s="4" t="str">
        <f>'Ingest Template'!J224</f>
        <v/>
      </c>
      <c r="T224" s="4" t="str">
        <f>'Ingest Template'!I224</f>
        <v/>
      </c>
      <c r="U224" s="4" t="str">
        <f>LOWER(SUBSTITUTE(SUBSTITUTE(SUBSTITUTE(SUBSTITUTE(SUBSTITUTE('Ingest Template'!K224,"https:",""),"www.",""),"/",""),"?hl=en",""),"instagram.com",""))</f>
        <v/>
      </c>
      <c r="V224" s="9" t="str">
        <f>'Ingest Template'!L224</f>
        <v/>
      </c>
      <c r="W224" s="9" t="str">
        <f>'Ingest Template'!M224</f>
        <v/>
      </c>
      <c r="X224" s="4" t="str">
        <f>SUBSTITUTE(SUBSTITUTE(SUBSTITUTE('Ingest Template'!N224,"http:",""),"https:",""),"/","")</f>
        <v/>
      </c>
      <c r="Y224" s="4" t="str">
        <f t="array" ref="Y224">IF('Ingest Template'!A224="Standard",(IF(ISBLANK('Ingest Template'!O224),"", 'Ingest Template'!O224&amp;"|DAR")),(IF(ISBLANK('Ingest Template'!O224),"", 'Ingest Template'!O224&amp;"|Film Ops")))</f>
        <v/>
      </c>
      <c r="Z224" s="4"/>
      <c r="AA224" s="4" t="str">
        <f>'Ingest Template'!E224</f>
        <v/>
      </c>
      <c r="AB224" s="7"/>
      <c r="AC224" s="4" t="str">
        <f t="array" ref="AC224">IF('Ingest Template'!A224="Standard",(CONCATENATE(IF(ISBLANK('Ingest Template'!F224),"", 'Ingest Template'!F224&amp;"|DAR"),CHAR(10), IF(ISBLANK('Ingest Template'!G224),"", 'Ingest Template'!G224&amp;"|DAR"),CHAR(10), IF(ISBLANK('Ingest Template'!H224),"", 'Ingest Template'!H224&amp;"|DAR"))),(CONCATENATE(IF(ISBLANK('Ingest Template'!F224),"", 'Ingest Template'!F224&amp;"|Film Ops"),CHAR(10), IF(ISBLANK('Ingest Template'!G224),"", 'Ingest Template'!G224&amp;"|Film Ops"),CHAR(10), IF(ISBLANK('Ingest Template'!H224),"", 'Ingest Template'!H224&amp;"|Film Ops"))))</f>
        <v>
</v>
      </c>
      <c r="AD224" s="4"/>
      <c r="AE224" s="4"/>
      <c r="AF224" s="10"/>
      <c r="AG224" s="4"/>
      <c r="AH224" s="4"/>
    </row>
    <row r="225">
      <c r="A225" s="4"/>
      <c r="B225" s="4" t="str">
        <f>'Ingest Template'!B225&amp;IF('Ingest Template'!A225 = "Standard", " - DAR","")</f>
        <v/>
      </c>
      <c r="C225" s="5" t="s">
        <v>34</v>
      </c>
      <c r="D225" s="5" t="str">
        <f>CONCATENATE('Ingest Template'!C225,'Ingest Template'!D225)</f>
        <v/>
      </c>
      <c r="E225" s="4"/>
      <c r="F225" s="4"/>
      <c r="G225" s="4"/>
      <c r="H225" s="6"/>
      <c r="I225" s="6" t="str">
        <f>iF('Ingest Template'!A225="Standard","Pristine Brand","Unknown")</f>
        <v>Unknown</v>
      </c>
      <c r="J225" s="4" t="str">
        <f>iF('Ingest Template'!A225="Standard","LF // Beverages","Competitive View")</f>
        <v>Competitive View</v>
      </c>
      <c r="K225" s="7" t="s">
        <v>35</v>
      </c>
      <c r="L225" s="8"/>
      <c r="M225" s="4"/>
      <c r="N225" s="4"/>
      <c r="O225" s="4"/>
      <c r="P225" s="4"/>
      <c r="Q225" s="4"/>
      <c r="R225" s="7" t="s">
        <v>36</v>
      </c>
      <c r="S225" s="4" t="str">
        <f>'Ingest Template'!J225</f>
        <v/>
      </c>
      <c r="T225" s="4" t="str">
        <f>'Ingest Template'!I225</f>
        <v/>
      </c>
      <c r="U225" s="4" t="str">
        <f>LOWER(SUBSTITUTE(SUBSTITUTE(SUBSTITUTE(SUBSTITUTE(SUBSTITUTE('Ingest Template'!K225,"https:",""),"www.",""),"/",""),"?hl=en",""),"instagram.com",""))</f>
        <v/>
      </c>
      <c r="V225" s="9" t="str">
        <f>'Ingest Template'!L225</f>
        <v/>
      </c>
      <c r="W225" s="9" t="str">
        <f>'Ingest Template'!M225</f>
        <v/>
      </c>
      <c r="X225" s="4" t="str">
        <f>SUBSTITUTE(SUBSTITUTE(SUBSTITUTE('Ingest Template'!N225,"http:",""),"https:",""),"/","")</f>
        <v/>
      </c>
      <c r="Y225" s="4" t="str">
        <f t="array" ref="Y225">IF('Ingest Template'!A225="Standard",(IF(ISBLANK('Ingest Template'!O225),"", 'Ingest Template'!O225&amp;"|DAR")),(IF(ISBLANK('Ingest Template'!O225),"", 'Ingest Template'!O225&amp;"|Film Ops")))</f>
        <v/>
      </c>
      <c r="Z225" s="4"/>
      <c r="AA225" s="4" t="str">
        <f>'Ingest Template'!E225</f>
        <v/>
      </c>
      <c r="AB225" s="7"/>
      <c r="AC225" s="4" t="str">
        <f t="array" ref="AC225">IF('Ingest Template'!A225="Standard",(CONCATENATE(IF(ISBLANK('Ingest Template'!F225),"", 'Ingest Template'!F225&amp;"|DAR"),CHAR(10), IF(ISBLANK('Ingest Template'!G225),"", 'Ingest Template'!G225&amp;"|DAR"),CHAR(10), IF(ISBLANK('Ingest Template'!H225),"", 'Ingest Template'!H225&amp;"|DAR"))),(CONCATENATE(IF(ISBLANK('Ingest Template'!F225),"", 'Ingest Template'!F225&amp;"|Film Ops"),CHAR(10), IF(ISBLANK('Ingest Template'!G225),"", 'Ingest Template'!G225&amp;"|Film Ops"),CHAR(10), IF(ISBLANK('Ingest Template'!H225),"", 'Ingest Template'!H225&amp;"|Film Ops"))))</f>
        <v>
</v>
      </c>
      <c r="AD225" s="4"/>
      <c r="AE225" s="4"/>
      <c r="AF225" s="10"/>
      <c r="AG225" s="4"/>
      <c r="AH225" s="4"/>
    </row>
    <row r="226">
      <c r="A226" s="4"/>
      <c r="B226" s="4" t="str">
        <f>'Ingest Template'!B226&amp;IF('Ingest Template'!A226 = "Standard", " - DAR","")</f>
        <v/>
      </c>
      <c r="C226" s="5" t="s">
        <v>34</v>
      </c>
      <c r="D226" s="5" t="str">
        <f>CONCATENATE('Ingest Template'!C226,'Ingest Template'!D226)</f>
        <v/>
      </c>
      <c r="E226" s="4"/>
      <c r="F226" s="4"/>
      <c r="G226" s="4"/>
      <c r="H226" s="6"/>
      <c r="I226" s="6" t="str">
        <f>iF('Ingest Template'!A226="Standard","Pristine Brand","Unknown")</f>
        <v>Unknown</v>
      </c>
      <c r="J226" s="4" t="str">
        <f>iF('Ingest Template'!A226="Standard","LF // Beverages","Competitive View")</f>
        <v>Competitive View</v>
      </c>
      <c r="K226" s="7" t="s">
        <v>35</v>
      </c>
      <c r="L226" s="8"/>
      <c r="M226" s="4"/>
      <c r="N226" s="4"/>
      <c r="O226" s="4"/>
      <c r="P226" s="4"/>
      <c r="Q226" s="4"/>
      <c r="R226" s="7" t="s">
        <v>36</v>
      </c>
      <c r="S226" s="4" t="str">
        <f>'Ingest Template'!J226</f>
        <v/>
      </c>
      <c r="T226" s="4" t="str">
        <f>'Ingest Template'!I226</f>
        <v/>
      </c>
      <c r="U226" s="4" t="str">
        <f>LOWER(SUBSTITUTE(SUBSTITUTE(SUBSTITUTE(SUBSTITUTE(SUBSTITUTE('Ingest Template'!K226,"https:",""),"www.",""),"/",""),"?hl=en",""),"instagram.com",""))</f>
        <v/>
      </c>
      <c r="V226" s="9" t="str">
        <f>'Ingest Template'!L226</f>
        <v/>
      </c>
      <c r="W226" s="9" t="str">
        <f>'Ingest Template'!M226</f>
        <v/>
      </c>
      <c r="X226" s="4" t="str">
        <f>SUBSTITUTE(SUBSTITUTE(SUBSTITUTE('Ingest Template'!N226,"http:",""),"https:",""),"/","")</f>
        <v/>
      </c>
      <c r="Y226" s="4" t="str">
        <f t="array" ref="Y226">IF('Ingest Template'!A226="Standard",(IF(ISBLANK('Ingest Template'!O226),"", 'Ingest Template'!O226&amp;"|DAR")),(IF(ISBLANK('Ingest Template'!O226),"", 'Ingest Template'!O226&amp;"|Film Ops")))</f>
        <v/>
      </c>
      <c r="Z226" s="4"/>
      <c r="AA226" s="4" t="str">
        <f>'Ingest Template'!E226</f>
        <v/>
      </c>
      <c r="AB226" s="7"/>
      <c r="AC226" s="4" t="str">
        <f t="array" ref="AC226">IF('Ingest Template'!A226="Standard",(CONCATENATE(IF(ISBLANK('Ingest Template'!F226),"", 'Ingest Template'!F226&amp;"|DAR"),CHAR(10), IF(ISBLANK('Ingest Template'!G226),"", 'Ingest Template'!G226&amp;"|DAR"),CHAR(10), IF(ISBLANK('Ingest Template'!H226),"", 'Ingest Template'!H226&amp;"|DAR"))),(CONCATENATE(IF(ISBLANK('Ingest Template'!F226),"", 'Ingest Template'!F226&amp;"|Film Ops"),CHAR(10), IF(ISBLANK('Ingest Template'!G226),"", 'Ingest Template'!G226&amp;"|Film Ops"),CHAR(10), IF(ISBLANK('Ingest Template'!H226),"", 'Ingest Template'!H226&amp;"|Film Ops"))))</f>
        <v>
</v>
      </c>
      <c r="AD226" s="4"/>
      <c r="AE226" s="4"/>
      <c r="AF226" s="10"/>
      <c r="AG226" s="4"/>
      <c r="AH226" s="4"/>
    </row>
    <row r="227">
      <c r="A227" s="4"/>
      <c r="B227" s="4" t="str">
        <f>'Ingest Template'!B227&amp;IF('Ingest Template'!A227 = "Standard", " - DAR","")</f>
        <v/>
      </c>
      <c r="C227" s="5" t="s">
        <v>34</v>
      </c>
      <c r="D227" s="5" t="str">
        <f>CONCATENATE('Ingest Template'!C227,'Ingest Template'!D227)</f>
        <v/>
      </c>
      <c r="E227" s="4"/>
      <c r="F227" s="4"/>
      <c r="G227" s="4"/>
      <c r="H227" s="6"/>
      <c r="I227" s="6" t="str">
        <f>iF('Ingest Template'!A227="Standard","Pristine Brand","Unknown")</f>
        <v>Unknown</v>
      </c>
      <c r="J227" s="4" t="str">
        <f>iF('Ingest Template'!A227="Standard","LF // Beverages","Competitive View")</f>
        <v>Competitive View</v>
      </c>
      <c r="K227" s="7" t="s">
        <v>35</v>
      </c>
      <c r="L227" s="8"/>
      <c r="M227" s="4"/>
      <c r="N227" s="4"/>
      <c r="O227" s="4"/>
      <c r="P227" s="4"/>
      <c r="Q227" s="4"/>
      <c r="R227" s="7" t="s">
        <v>36</v>
      </c>
      <c r="S227" s="4" t="str">
        <f>'Ingest Template'!J227</f>
        <v/>
      </c>
      <c r="T227" s="4" t="str">
        <f>'Ingest Template'!I227</f>
        <v/>
      </c>
      <c r="U227" s="4" t="str">
        <f>LOWER(SUBSTITUTE(SUBSTITUTE(SUBSTITUTE(SUBSTITUTE(SUBSTITUTE('Ingest Template'!K227,"https:",""),"www.",""),"/",""),"?hl=en",""),"instagram.com",""))</f>
        <v/>
      </c>
      <c r="V227" s="9" t="str">
        <f>'Ingest Template'!L227</f>
        <v/>
      </c>
      <c r="W227" s="9" t="str">
        <f>'Ingest Template'!M227</f>
        <v/>
      </c>
      <c r="X227" s="4" t="str">
        <f>SUBSTITUTE(SUBSTITUTE(SUBSTITUTE('Ingest Template'!N227,"http:",""),"https:",""),"/","")</f>
        <v/>
      </c>
      <c r="Y227" s="4" t="str">
        <f t="array" ref="Y227">IF('Ingest Template'!A227="Standard",(IF(ISBLANK('Ingest Template'!O227),"", 'Ingest Template'!O227&amp;"|DAR")),(IF(ISBLANK('Ingest Template'!O227),"", 'Ingest Template'!O227&amp;"|Film Ops")))</f>
        <v/>
      </c>
      <c r="Z227" s="4"/>
      <c r="AA227" s="4" t="str">
        <f>'Ingest Template'!E227</f>
        <v/>
      </c>
      <c r="AB227" s="7"/>
      <c r="AC227" s="4" t="str">
        <f t="array" ref="AC227">IF('Ingest Template'!A227="Standard",(CONCATENATE(IF(ISBLANK('Ingest Template'!F227),"", 'Ingest Template'!F227&amp;"|DAR"),CHAR(10), IF(ISBLANK('Ingest Template'!G227),"", 'Ingest Template'!G227&amp;"|DAR"),CHAR(10), IF(ISBLANK('Ingest Template'!H227),"", 'Ingest Template'!H227&amp;"|DAR"))),(CONCATENATE(IF(ISBLANK('Ingest Template'!F227),"", 'Ingest Template'!F227&amp;"|Film Ops"),CHAR(10), IF(ISBLANK('Ingest Template'!G227),"", 'Ingest Template'!G227&amp;"|Film Ops"),CHAR(10), IF(ISBLANK('Ingest Template'!H227),"", 'Ingest Template'!H227&amp;"|Film Ops"))))</f>
        <v>
</v>
      </c>
      <c r="AD227" s="4"/>
      <c r="AE227" s="4"/>
      <c r="AF227" s="10"/>
      <c r="AG227" s="4"/>
      <c r="AH227" s="4"/>
    </row>
    <row r="228">
      <c r="A228" s="4"/>
      <c r="B228" s="4" t="str">
        <f>'Ingest Template'!B228&amp;IF('Ingest Template'!A228 = "Standard", " - DAR","")</f>
        <v/>
      </c>
      <c r="C228" s="5" t="s">
        <v>34</v>
      </c>
      <c r="D228" s="5" t="str">
        <f>CONCATENATE('Ingest Template'!C228,'Ingest Template'!D228)</f>
        <v/>
      </c>
      <c r="E228" s="4"/>
      <c r="F228" s="4"/>
      <c r="G228" s="4"/>
      <c r="H228" s="6"/>
      <c r="I228" s="6" t="str">
        <f>iF('Ingest Template'!A228="Standard","Pristine Brand","Unknown")</f>
        <v>Unknown</v>
      </c>
      <c r="J228" s="4" t="str">
        <f>iF('Ingest Template'!A228="Standard","LF // Beverages","Competitive View")</f>
        <v>Competitive View</v>
      </c>
      <c r="K228" s="7" t="s">
        <v>35</v>
      </c>
      <c r="L228" s="8"/>
      <c r="M228" s="4"/>
      <c r="N228" s="4"/>
      <c r="O228" s="4"/>
      <c r="P228" s="4"/>
      <c r="Q228" s="4"/>
      <c r="R228" s="7" t="s">
        <v>36</v>
      </c>
      <c r="S228" s="4" t="str">
        <f>'Ingest Template'!J228</f>
        <v/>
      </c>
      <c r="T228" s="4" t="str">
        <f>'Ingest Template'!I228</f>
        <v/>
      </c>
      <c r="U228" s="4" t="str">
        <f>LOWER(SUBSTITUTE(SUBSTITUTE(SUBSTITUTE(SUBSTITUTE(SUBSTITUTE('Ingest Template'!K228,"https:",""),"www.",""),"/",""),"?hl=en",""),"instagram.com",""))</f>
        <v/>
      </c>
      <c r="V228" s="9" t="str">
        <f>'Ingest Template'!L228</f>
        <v/>
      </c>
      <c r="W228" s="9" t="str">
        <f>'Ingest Template'!M228</f>
        <v/>
      </c>
      <c r="X228" s="4" t="str">
        <f>SUBSTITUTE(SUBSTITUTE(SUBSTITUTE('Ingest Template'!N228,"http:",""),"https:",""),"/","")</f>
        <v/>
      </c>
      <c r="Y228" s="4" t="str">
        <f t="array" ref="Y228">IF('Ingest Template'!A228="Standard",(IF(ISBLANK('Ingest Template'!O228),"", 'Ingest Template'!O228&amp;"|DAR")),(IF(ISBLANK('Ingest Template'!O228),"", 'Ingest Template'!O228&amp;"|Film Ops")))</f>
        <v/>
      </c>
      <c r="Z228" s="4"/>
      <c r="AA228" s="4" t="str">
        <f>'Ingest Template'!E228</f>
        <v/>
      </c>
      <c r="AB228" s="7"/>
      <c r="AC228" s="4" t="str">
        <f t="array" ref="AC228">IF('Ingest Template'!A228="Standard",(CONCATENATE(IF(ISBLANK('Ingest Template'!F228),"", 'Ingest Template'!F228&amp;"|DAR"),CHAR(10), IF(ISBLANK('Ingest Template'!G228),"", 'Ingest Template'!G228&amp;"|DAR"),CHAR(10), IF(ISBLANK('Ingest Template'!H228),"", 'Ingest Template'!H228&amp;"|DAR"))),(CONCATENATE(IF(ISBLANK('Ingest Template'!F228),"", 'Ingest Template'!F228&amp;"|Film Ops"),CHAR(10), IF(ISBLANK('Ingest Template'!G228),"", 'Ingest Template'!G228&amp;"|Film Ops"),CHAR(10), IF(ISBLANK('Ingest Template'!H228),"", 'Ingest Template'!H228&amp;"|Film Ops"))))</f>
        <v>
</v>
      </c>
      <c r="AD228" s="4"/>
      <c r="AE228" s="4"/>
      <c r="AF228" s="10"/>
      <c r="AG228" s="4"/>
      <c r="AH228" s="4"/>
    </row>
    <row r="229">
      <c r="A229" s="4"/>
      <c r="B229" s="4" t="str">
        <f>'Ingest Template'!B229&amp;IF('Ingest Template'!A229 = "Standard", " - DAR","")</f>
        <v/>
      </c>
      <c r="C229" s="5" t="s">
        <v>34</v>
      </c>
      <c r="D229" s="5" t="str">
        <f>CONCATENATE('Ingest Template'!C229,'Ingest Template'!D229)</f>
        <v/>
      </c>
      <c r="E229" s="4"/>
      <c r="F229" s="4"/>
      <c r="G229" s="4"/>
      <c r="H229" s="6"/>
      <c r="I229" s="6" t="str">
        <f>iF('Ingest Template'!A229="Standard","Pristine Brand","Unknown")</f>
        <v>Unknown</v>
      </c>
      <c r="J229" s="4" t="str">
        <f>iF('Ingest Template'!A229="Standard","LF // Beverages","Competitive View")</f>
        <v>Competitive View</v>
      </c>
      <c r="K229" s="7" t="s">
        <v>35</v>
      </c>
      <c r="L229" s="8"/>
      <c r="M229" s="4"/>
      <c r="N229" s="4"/>
      <c r="O229" s="4"/>
      <c r="P229" s="4"/>
      <c r="Q229" s="4"/>
      <c r="R229" s="7" t="s">
        <v>36</v>
      </c>
      <c r="S229" s="4" t="str">
        <f>'Ingest Template'!J229</f>
        <v/>
      </c>
      <c r="T229" s="4" t="str">
        <f>'Ingest Template'!I229</f>
        <v/>
      </c>
      <c r="U229" s="4" t="str">
        <f>LOWER(SUBSTITUTE(SUBSTITUTE(SUBSTITUTE(SUBSTITUTE(SUBSTITUTE('Ingest Template'!K229,"https:",""),"www.",""),"/",""),"?hl=en",""),"instagram.com",""))</f>
        <v/>
      </c>
      <c r="V229" s="9" t="str">
        <f>'Ingest Template'!L229</f>
        <v/>
      </c>
      <c r="W229" s="9" t="str">
        <f>'Ingest Template'!M229</f>
        <v/>
      </c>
      <c r="X229" s="4" t="str">
        <f>SUBSTITUTE(SUBSTITUTE(SUBSTITUTE('Ingest Template'!N229,"http:",""),"https:",""),"/","")</f>
        <v/>
      </c>
      <c r="Y229" s="4" t="str">
        <f t="array" ref="Y229">IF('Ingest Template'!A229="Standard",(IF(ISBLANK('Ingest Template'!O229),"", 'Ingest Template'!O229&amp;"|DAR")),(IF(ISBLANK('Ingest Template'!O229),"", 'Ingest Template'!O229&amp;"|Film Ops")))</f>
        <v/>
      </c>
      <c r="Z229" s="4"/>
      <c r="AA229" s="4" t="str">
        <f>'Ingest Template'!E229</f>
        <v/>
      </c>
      <c r="AB229" s="7"/>
      <c r="AC229" s="4" t="str">
        <f t="array" ref="AC229">IF('Ingest Template'!A229="Standard",(CONCATENATE(IF(ISBLANK('Ingest Template'!F229),"", 'Ingest Template'!F229&amp;"|DAR"),CHAR(10), IF(ISBLANK('Ingest Template'!G229),"", 'Ingest Template'!G229&amp;"|DAR"),CHAR(10), IF(ISBLANK('Ingest Template'!H229),"", 'Ingest Template'!H229&amp;"|DAR"))),(CONCATENATE(IF(ISBLANK('Ingest Template'!F229),"", 'Ingest Template'!F229&amp;"|Film Ops"),CHAR(10), IF(ISBLANK('Ingest Template'!G229),"", 'Ingest Template'!G229&amp;"|Film Ops"),CHAR(10), IF(ISBLANK('Ingest Template'!H229),"", 'Ingest Template'!H229&amp;"|Film Ops"))))</f>
        <v>
</v>
      </c>
      <c r="AD229" s="4"/>
      <c r="AE229" s="4"/>
      <c r="AF229" s="10"/>
      <c r="AG229" s="4"/>
      <c r="AH229" s="4"/>
    </row>
    <row r="230">
      <c r="A230" s="4"/>
      <c r="B230" s="4" t="str">
        <f>'Ingest Template'!B230&amp;IF('Ingest Template'!A230 = "Standard", " - DAR","")</f>
        <v/>
      </c>
      <c r="C230" s="5" t="s">
        <v>34</v>
      </c>
      <c r="D230" s="5" t="str">
        <f>CONCATENATE('Ingest Template'!C230,'Ingest Template'!D230)</f>
        <v/>
      </c>
      <c r="E230" s="4"/>
      <c r="F230" s="4"/>
      <c r="G230" s="4"/>
      <c r="H230" s="6"/>
      <c r="I230" s="6" t="str">
        <f>iF('Ingest Template'!A230="Standard","Pristine Brand","Unknown")</f>
        <v>Unknown</v>
      </c>
      <c r="J230" s="4" t="str">
        <f>iF('Ingest Template'!A230="Standard","LF // Beverages","Competitive View")</f>
        <v>Competitive View</v>
      </c>
      <c r="K230" s="7" t="s">
        <v>35</v>
      </c>
      <c r="L230" s="8"/>
      <c r="M230" s="4"/>
      <c r="N230" s="4"/>
      <c r="O230" s="4"/>
      <c r="P230" s="4"/>
      <c r="Q230" s="4"/>
      <c r="R230" s="7" t="s">
        <v>36</v>
      </c>
      <c r="S230" s="4" t="str">
        <f>'Ingest Template'!J230</f>
        <v/>
      </c>
      <c r="T230" s="4" t="str">
        <f>'Ingest Template'!I230</f>
        <v/>
      </c>
      <c r="U230" s="4" t="str">
        <f>LOWER(SUBSTITUTE(SUBSTITUTE(SUBSTITUTE(SUBSTITUTE(SUBSTITUTE('Ingest Template'!K230,"https:",""),"www.",""),"/",""),"?hl=en",""),"instagram.com",""))</f>
        <v/>
      </c>
      <c r="V230" s="9" t="str">
        <f>'Ingest Template'!L230</f>
        <v/>
      </c>
      <c r="W230" s="9" t="str">
        <f>'Ingest Template'!M230</f>
        <v/>
      </c>
      <c r="X230" s="4" t="str">
        <f>SUBSTITUTE(SUBSTITUTE(SUBSTITUTE('Ingest Template'!N230,"http:",""),"https:",""),"/","")</f>
        <v/>
      </c>
      <c r="Y230" s="4" t="str">
        <f t="array" ref="Y230">IF('Ingest Template'!A230="Standard",(IF(ISBLANK('Ingest Template'!O230),"", 'Ingest Template'!O230&amp;"|DAR")),(IF(ISBLANK('Ingest Template'!O230),"", 'Ingest Template'!O230&amp;"|Film Ops")))</f>
        <v/>
      </c>
      <c r="Z230" s="4"/>
      <c r="AA230" s="4" t="str">
        <f>'Ingest Template'!E230</f>
        <v/>
      </c>
      <c r="AB230" s="7"/>
      <c r="AC230" s="4" t="str">
        <f t="array" ref="AC230">IF('Ingest Template'!A230="Standard",(CONCATENATE(IF(ISBLANK('Ingest Template'!F230),"", 'Ingest Template'!F230&amp;"|DAR"),CHAR(10), IF(ISBLANK('Ingest Template'!G230),"", 'Ingest Template'!G230&amp;"|DAR"),CHAR(10), IF(ISBLANK('Ingest Template'!H230),"", 'Ingest Template'!H230&amp;"|DAR"))),(CONCATENATE(IF(ISBLANK('Ingest Template'!F230),"", 'Ingest Template'!F230&amp;"|Film Ops"),CHAR(10), IF(ISBLANK('Ingest Template'!G230),"", 'Ingest Template'!G230&amp;"|Film Ops"),CHAR(10), IF(ISBLANK('Ingest Template'!H230),"", 'Ingest Template'!H230&amp;"|Film Ops"))))</f>
        <v>
</v>
      </c>
      <c r="AD230" s="4"/>
      <c r="AE230" s="4"/>
      <c r="AF230" s="10"/>
      <c r="AG230" s="4"/>
      <c r="AH230" s="4"/>
    </row>
    <row r="231">
      <c r="A231" s="4"/>
      <c r="B231" s="4" t="str">
        <f>'Ingest Template'!B231&amp;IF('Ingest Template'!A231 = "Standard", " - DAR","")</f>
        <v/>
      </c>
      <c r="C231" s="5" t="s">
        <v>34</v>
      </c>
      <c r="D231" s="5" t="str">
        <f>CONCATENATE('Ingest Template'!C231,'Ingest Template'!D231)</f>
        <v/>
      </c>
      <c r="E231" s="4"/>
      <c r="F231" s="4"/>
      <c r="G231" s="4"/>
      <c r="H231" s="6"/>
      <c r="I231" s="6" t="str">
        <f>iF('Ingest Template'!A231="Standard","Pristine Brand","Unknown")</f>
        <v>Unknown</v>
      </c>
      <c r="J231" s="4" t="str">
        <f>iF('Ingest Template'!A231="Standard","LF // Beverages","Competitive View")</f>
        <v>Competitive View</v>
      </c>
      <c r="K231" s="7" t="s">
        <v>35</v>
      </c>
      <c r="L231" s="8"/>
      <c r="M231" s="4"/>
      <c r="N231" s="4"/>
      <c r="O231" s="4"/>
      <c r="P231" s="4"/>
      <c r="Q231" s="4"/>
      <c r="R231" s="7" t="s">
        <v>36</v>
      </c>
      <c r="S231" s="4" t="str">
        <f>'Ingest Template'!J231</f>
        <v/>
      </c>
      <c r="T231" s="4" t="str">
        <f>'Ingest Template'!I231</f>
        <v/>
      </c>
      <c r="U231" s="4" t="str">
        <f>LOWER(SUBSTITUTE(SUBSTITUTE(SUBSTITUTE(SUBSTITUTE(SUBSTITUTE('Ingest Template'!K231,"https:",""),"www.",""),"/",""),"?hl=en",""),"instagram.com",""))</f>
        <v/>
      </c>
      <c r="V231" s="9" t="str">
        <f>'Ingest Template'!L231</f>
        <v/>
      </c>
      <c r="W231" s="9" t="str">
        <f>'Ingest Template'!M231</f>
        <v/>
      </c>
      <c r="X231" s="4" t="str">
        <f>SUBSTITUTE(SUBSTITUTE(SUBSTITUTE('Ingest Template'!N231,"http:",""),"https:",""),"/","")</f>
        <v/>
      </c>
      <c r="Y231" s="4" t="str">
        <f t="array" ref="Y231">IF('Ingest Template'!A231="Standard",(IF(ISBLANK('Ingest Template'!O231),"", 'Ingest Template'!O231&amp;"|DAR")),(IF(ISBLANK('Ingest Template'!O231),"", 'Ingest Template'!O231&amp;"|Film Ops")))</f>
        <v/>
      </c>
      <c r="Z231" s="4"/>
      <c r="AA231" s="4" t="str">
        <f>'Ingest Template'!E231</f>
        <v/>
      </c>
      <c r="AB231" s="7"/>
      <c r="AC231" s="4" t="str">
        <f t="array" ref="AC231">IF('Ingest Template'!A231="Standard",(CONCATENATE(IF(ISBLANK('Ingest Template'!F231),"", 'Ingest Template'!F231&amp;"|DAR"),CHAR(10), IF(ISBLANK('Ingest Template'!G231),"", 'Ingest Template'!G231&amp;"|DAR"),CHAR(10), IF(ISBLANK('Ingest Template'!H231),"", 'Ingest Template'!H231&amp;"|DAR"))),(CONCATENATE(IF(ISBLANK('Ingest Template'!F231),"", 'Ingest Template'!F231&amp;"|Film Ops"),CHAR(10), IF(ISBLANK('Ingest Template'!G231),"", 'Ingest Template'!G231&amp;"|Film Ops"),CHAR(10), IF(ISBLANK('Ingest Template'!H231),"", 'Ingest Template'!H231&amp;"|Film Ops"))))</f>
        <v>
</v>
      </c>
      <c r="AD231" s="4"/>
      <c r="AE231" s="4"/>
      <c r="AF231" s="10"/>
      <c r="AG231" s="4"/>
      <c r="AH231" s="4"/>
    </row>
    <row r="232">
      <c r="A232" s="4"/>
      <c r="B232" s="4" t="str">
        <f>'Ingest Template'!B232&amp;IF('Ingest Template'!A232 = "Standard", " - DAR","")</f>
        <v/>
      </c>
      <c r="C232" s="5" t="s">
        <v>34</v>
      </c>
      <c r="D232" s="5" t="str">
        <f>CONCATENATE('Ingest Template'!C232,'Ingest Template'!D232)</f>
        <v/>
      </c>
      <c r="E232" s="4"/>
      <c r="F232" s="4"/>
      <c r="G232" s="4"/>
      <c r="H232" s="6"/>
      <c r="I232" s="6" t="str">
        <f>iF('Ingest Template'!A232="Standard","Pristine Brand","Unknown")</f>
        <v>Unknown</v>
      </c>
      <c r="J232" s="4" t="str">
        <f>iF('Ingest Template'!A232="Standard","LF // Beverages","Competitive View")</f>
        <v>Competitive View</v>
      </c>
      <c r="K232" s="7" t="s">
        <v>35</v>
      </c>
      <c r="L232" s="8"/>
      <c r="M232" s="4"/>
      <c r="N232" s="4"/>
      <c r="O232" s="4"/>
      <c r="P232" s="4"/>
      <c r="Q232" s="4"/>
      <c r="R232" s="7" t="s">
        <v>36</v>
      </c>
      <c r="S232" s="4" t="str">
        <f>'Ingest Template'!J232</f>
        <v/>
      </c>
      <c r="T232" s="4" t="str">
        <f>'Ingest Template'!I232</f>
        <v/>
      </c>
      <c r="U232" s="4" t="str">
        <f>LOWER(SUBSTITUTE(SUBSTITUTE(SUBSTITUTE(SUBSTITUTE(SUBSTITUTE('Ingest Template'!K232,"https:",""),"www.",""),"/",""),"?hl=en",""),"instagram.com",""))</f>
        <v/>
      </c>
      <c r="V232" s="9" t="str">
        <f>'Ingest Template'!L232</f>
        <v/>
      </c>
      <c r="W232" s="9" t="str">
        <f>'Ingest Template'!M232</f>
        <v/>
      </c>
      <c r="X232" s="4" t="str">
        <f>SUBSTITUTE(SUBSTITUTE(SUBSTITUTE('Ingest Template'!N232,"http:",""),"https:",""),"/","")</f>
        <v/>
      </c>
      <c r="Y232" s="4" t="str">
        <f t="array" ref="Y232">IF('Ingest Template'!A232="Standard",(IF(ISBLANK('Ingest Template'!O232),"", 'Ingest Template'!O232&amp;"|DAR")),(IF(ISBLANK('Ingest Template'!O232),"", 'Ingest Template'!O232&amp;"|Film Ops")))</f>
        <v/>
      </c>
      <c r="Z232" s="4"/>
      <c r="AA232" s="4" t="str">
        <f>'Ingest Template'!E232</f>
        <v/>
      </c>
      <c r="AB232" s="7"/>
      <c r="AC232" s="4" t="str">
        <f t="array" ref="AC232">IF('Ingest Template'!A232="Standard",(CONCATENATE(IF(ISBLANK('Ingest Template'!F232),"", 'Ingest Template'!F232&amp;"|DAR"),CHAR(10), IF(ISBLANK('Ingest Template'!G232),"", 'Ingest Template'!G232&amp;"|DAR"),CHAR(10), IF(ISBLANK('Ingest Template'!H232),"", 'Ingest Template'!H232&amp;"|DAR"))),(CONCATENATE(IF(ISBLANK('Ingest Template'!F232),"", 'Ingest Template'!F232&amp;"|Film Ops"),CHAR(10), IF(ISBLANK('Ingest Template'!G232),"", 'Ingest Template'!G232&amp;"|Film Ops"),CHAR(10), IF(ISBLANK('Ingest Template'!H232),"", 'Ingest Template'!H232&amp;"|Film Ops"))))</f>
        <v>
</v>
      </c>
      <c r="AD232" s="4"/>
      <c r="AE232" s="4"/>
      <c r="AF232" s="10"/>
      <c r="AG232" s="4"/>
      <c r="AH232" s="4"/>
    </row>
    <row r="233">
      <c r="A233" s="4"/>
      <c r="B233" s="4" t="str">
        <f>'Ingest Template'!B233&amp;IF('Ingest Template'!A233 = "Standard", " - DAR","")</f>
        <v/>
      </c>
      <c r="C233" s="5" t="s">
        <v>34</v>
      </c>
      <c r="D233" s="5" t="str">
        <f>CONCATENATE('Ingest Template'!C233,'Ingest Template'!D233)</f>
        <v/>
      </c>
      <c r="E233" s="4"/>
      <c r="F233" s="4"/>
      <c r="G233" s="4"/>
      <c r="H233" s="6"/>
      <c r="I233" s="6" t="str">
        <f>iF('Ingest Template'!A233="Standard","Pristine Brand","Unknown")</f>
        <v>Unknown</v>
      </c>
      <c r="J233" s="4" t="str">
        <f>iF('Ingest Template'!A233="Standard","LF // Beverages","Competitive View")</f>
        <v>Competitive View</v>
      </c>
      <c r="K233" s="7" t="s">
        <v>35</v>
      </c>
      <c r="L233" s="8"/>
      <c r="M233" s="4"/>
      <c r="N233" s="4"/>
      <c r="O233" s="4"/>
      <c r="P233" s="4"/>
      <c r="Q233" s="4"/>
      <c r="R233" s="7" t="s">
        <v>36</v>
      </c>
      <c r="S233" s="4" t="str">
        <f>'Ingest Template'!J233</f>
        <v/>
      </c>
      <c r="T233" s="4" t="str">
        <f>'Ingest Template'!I233</f>
        <v/>
      </c>
      <c r="U233" s="4" t="str">
        <f>LOWER(SUBSTITUTE(SUBSTITUTE(SUBSTITUTE(SUBSTITUTE(SUBSTITUTE('Ingest Template'!K233,"https:",""),"www.",""),"/",""),"?hl=en",""),"instagram.com",""))</f>
        <v/>
      </c>
      <c r="V233" s="9" t="str">
        <f>'Ingest Template'!L233</f>
        <v/>
      </c>
      <c r="W233" s="9" t="str">
        <f>'Ingest Template'!M233</f>
        <v/>
      </c>
      <c r="X233" s="4" t="str">
        <f>SUBSTITUTE(SUBSTITUTE(SUBSTITUTE('Ingest Template'!N233,"http:",""),"https:",""),"/","")</f>
        <v/>
      </c>
      <c r="Y233" s="4" t="str">
        <f t="array" ref="Y233">IF('Ingest Template'!A233="Standard",(IF(ISBLANK('Ingest Template'!O233),"", 'Ingest Template'!O233&amp;"|DAR")),(IF(ISBLANK('Ingest Template'!O233),"", 'Ingest Template'!O233&amp;"|Film Ops")))</f>
        <v/>
      </c>
      <c r="Z233" s="4"/>
      <c r="AA233" s="4" t="str">
        <f>'Ingest Template'!E233</f>
        <v/>
      </c>
      <c r="AB233" s="7"/>
      <c r="AC233" s="4" t="str">
        <f t="array" ref="AC233">IF('Ingest Template'!A233="Standard",(CONCATENATE(IF(ISBLANK('Ingest Template'!F233),"", 'Ingest Template'!F233&amp;"|DAR"),CHAR(10), IF(ISBLANK('Ingest Template'!G233),"", 'Ingest Template'!G233&amp;"|DAR"),CHAR(10), IF(ISBLANK('Ingest Template'!H233),"", 'Ingest Template'!H233&amp;"|DAR"))),(CONCATENATE(IF(ISBLANK('Ingest Template'!F233),"", 'Ingest Template'!F233&amp;"|Film Ops"),CHAR(10), IF(ISBLANK('Ingest Template'!G233),"", 'Ingest Template'!G233&amp;"|Film Ops"),CHAR(10), IF(ISBLANK('Ingest Template'!H233),"", 'Ingest Template'!H233&amp;"|Film Ops"))))</f>
        <v>
</v>
      </c>
      <c r="AD233" s="4"/>
      <c r="AE233" s="4"/>
      <c r="AF233" s="10"/>
      <c r="AG233" s="4"/>
      <c r="AH233" s="4"/>
    </row>
    <row r="234">
      <c r="A234" s="4"/>
      <c r="B234" s="4" t="str">
        <f>'Ingest Template'!B234&amp;IF('Ingest Template'!A234 = "Standard", " - DAR","")</f>
        <v/>
      </c>
      <c r="C234" s="5" t="s">
        <v>34</v>
      </c>
      <c r="D234" s="5" t="str">
        <f>CONCATENATE('Ingest Template'!C234,'Ingest Template'!D234)</f>
        <v/>
      </c>
      <c r="E234" s="4"/>
      <c r="F234" s="4"/>
      <c r="G234" s="4"/>
      <c r="H234" s="6"/>
      <c r="I234" s="6" t="str">
        <f>iF('Ingest Template'!A234="Standard","Pristine Brand","Unknown")</f>
        <v>Unknown</v>
      </c>
      <c r="J234" s="4" t="str">
        <f>iF('Ingest Template'!A234="Standard","LF // Beverages","Competitive View")</f>
        <v>Competitive View</v>
      </c>
      <c r="K234" s="7" t="s">
        <v>35</v>
      </c>
      <c r="L234" s="8"/>
      <c r="M234" s="4"/>
      <c r="N234" s="4"/>
      <c r="O234" s="4"/>
      <c r="P234" s="4"/>
      <c r="Q234" s="4"/>
      <c r="R234" s="7" t="s">
        <v>36</v>
      </c>
      <c r="S234" s="4" t="str">
        <f>'Ingest Template'!J234</f>
        <v/>
      </c>
      <c r="T234" s="4" t="str">
        <f>'Ingest Template'!I234</f>
        <v/>
      </c>
      <c r="U234" s="4" t="str">
        <f>LOWER(SUBSTITUTE(SUBSTITUTE(SUBSTITUTE(SUBSTITUTE(SUBSTITUTE('Ingest Template'!K234,"https:",""),"www.",""),"/",""),"?hl=en",""),"instagram.com",""))</f>
        <v/>
      </c>
      <c r="V234" s="9" t="str">
        <f>'Ingest Template'!L234</f>
        <v/>
      </c>
      <c r="W234" s="9" t="str">
        <f>'Ingest Template'!M234</f>
        <v/>
      </c>
      <c r="X234" s="4" t="str">
        <f>SUBSTITUTE(SUBSTITUTE(SUBSTITUTE('Ingest Template'!N234,"http:",""),"https:",""),"/","")</f>
        <v/>
      </c>
      <c r="Y234" s="4" t="str">
        <f t="array" ref="Y234">IF('Ingest Template'!A234="Standard",(IF(ISBLANK('Ingest Template'!O234),"", 'Ingest Template'!O234&amp;"|DAR")),(IF(ISBLANK('Ingest Template'!O234),"", 'Ingest Template'!O234&amp;"|Film Ops")))</f>
        <v/>
      </c>
      <c r="Z234" s="4"/>
      <c r="AA234" s="4" t="str">
        <f>'Ingest Template'!E234</f>
        <v/>
      </c>
      <c r="AB234" s="7"/>
      <c r="AC234" s="4" t="str">
        <f t="array" ref="AC234">IF('Ingest Template'!A234="Standard",(CONCATENATE(IF(ISBLANK('Ingest Template'!F234),"", 'Ingest Template'!F234&amp;"|DAR"),CHAR(10), IF(ISBLANK('Ingest Template'!G234),"", 'Ingest Template'!G234&amp;"|DAR"),CHAR(10), IF(ISBLANK('Ingest Template'!H234),"", 'Ingest Template'!H234&amp;"|DAR"))),(CONCATENATE(IF(ISBLANK('Ingest Template'!F234),"", 'Ingest Template'!F234&amp;"|Film Ops"),CHAR(10), IF(ISBLANK('Ingest Template'!G234),"", 'Ingest Template'!G234&amp;"|Film Ops"),CHAR(10), IF(ISBLANK('Ingest Template'!H234),"", 'Ingest Template'!H234&amp;"|Film Ops"))))</f>
        <v>
</v>
      </c>
      <c r="AD234" s="4"/>
      <c r="AE234" s="4"/>
      <c r="AF234" s="10"/>
      <c r="AG234" s="4"/>
      <c r="AH234" s="4"/>
    </row>
    <row r="235">
      <c r="A235" s="4"/>
      <c r="B235" s="4" t="str">
        <f>'Ingest Template'!B235&amp;IF('Ingest Template'!A235 = "Standard", " - DAR","")</f>
        <v/>
      </c>
      <c r="C235" s="5" t="s">
        <v>34</v>
      </c>
      <c r="D235" s="5" t="str">
        <f>CONCATENATE('Ingest Template'!C235,'Ingest Template'!D235)</f>
        <v/>
      </c>
      <c r="E235" s="4"/>
      <c r="F235" s="4"/>
      <c r="G235" s="4"/>
      <c r="H235" s="6"/>
      <c r="I235" s="6" t="str">
        <f>iF('Ingest Template'!A235="Standard","Pristine Brand","Unknown")</f>
        <v>Unknown</v>
      </c>
      <c r="J235" s="4" t="str">
        <f>iF('Ingest Template'!A235="Standard","LF // Beverages","Competitive View")</f>
        <v>Competitive View</v>
      </c>
      <c r="K235" s="7" t="s">
        <v>35</v>
      </c>
      <c r="L235" s="8"/>
      <c r="M235" s="4"/>
      <c r="N235" s="4"/>
      <c r="O235" s="4"/>
      <c r="P235" s="4"/>
      <c r="Q235" s="4"/>
      <c r="R235" s="7" t="s">
        <v>36</v>
      </c>
      <c r="S235" s="4" t="str">
        <f>'Ingest Template'!J235</f>
        <v/>
      </c>
      <c r="T235" s="4" t="str">
        <f>'Ingest Template'!I235</f>
        <v/>
      </c>
      <c r="U235" s="4" t="str">
        <f>LOWER(SUBSTITUTE(SUBSTITUTE(SUBSTITUTE(SUBSTITUTE(SUBSTITUTE('Ingest Template'!K235,"https:",""),"www.",""),"/",""),"?hl=en",""),"instagram.com",""))</f>
        <v/>
      </c>
      <c r="V235" s="9" t="str">
        <f>'Ingest Template'!L235</f>
        <v/>
      </c>
      <c r="W235" s="9" t="str">
        <f>'Ingest Template'!M235</f>
        <v/>
      </c>
      <c r="X235" s="4" t="str">
        <f>SUBSTITUTE(SUBSTITUTE(SUBSTITUTE('Ingest Template'!N235,"http:",""),"https:",""),"/","")</f>
        <v/>
      </c>
      <c r="Y235" s="4" t="str">
        <f t="array" ref="Y235">IF('Ingest Template'!A235="Standard",(IF(ISBLANK('Ingest Template'!O235),"", 'Ingest Template'!O235&amp;"|DAR")),(IF(ISBLANK('Ingest Template'!O235),"", 'Ingest Template'!O235&amp;"|Film Ops")))</f>
        <v/>
      </c>
      <c r="Z235" s="4"/>
      <c r="AA235" s="4" t="str">
        <f>'Ingest Template'!E235</f>
        <v/>
      </c>
      <c r="AB235" s="7"/>
      <c r="AC235" s="4" t="str">
        <f t="array" ref="AC235">IF('Ingest Template'!A235="Standard",(CONCATENATE(IF(ISBLANK('Ingest Template'!F235),"", 'Ingest Template'!F235&amp;"|DAR"),CHAR(10), IF(ISBLANK('Ingest Template'!G235),"", 'Ingest Template'!G235&amp;"|DAR"),CHAR(10), IF(ISBLANK('Ingest Template'!H235),"", 'Ingest Template'!H235&amp;"|DAR"))),(CONCATENATE(IF(ISBLANK('Ingest Template'!F235),"", 'Ingest Template'!F235&amp;"|Film Ops"),CHAR(10), IF(ISBLANK('Ingest Template'!G235),"", 'Ingest Template'!G235&amp;"|Film Ops"),CHAR(10), IF(ISBLANK('Ingest Template'!H235),"", 'Ingest Template'!H235&amp;"|Film Ops"))))</f>
        <v>
</v>
      </c>
      <c r="AD235" s="4"/>
      <c r="AE235" s="4"/>
      <c r="AF235" s="10"/>
      <c r="AG235" s="4"/>
      <c r="AH235" s="4"/>
    </row>
    <row r="236">
      <c r="A236" s="4"/>
      <c r="B236" s="4" t="str">
        <f>'Ingest Template'!B236&amp;IF('Ingest Template'!A236 = "Standard", " - DAR","")</f>
        <v/>
      </c>
      <c r="C236" s="5" t="s">
        <v>34</v>
      </c>
      <c r="D236" s="5" t="str">
        <f>CONCATENATE('Ingest Template'!C236,'Ingest Template'!D236)</f>
        <v/>
      </c>
      <c r="E236" s="4"/>
      <c r="F236" s="4"/>
      <c r="G236" s="4"/>
      <c r="H236" s="6"/>
      <c r="I236" s="6" t="str">
        <f>iF('Ingest Template'!A236="Standard","Pristine Brand","Unknown")</f>
        <v>Unknown</v>
      </c>
      <c r="J236" s="4" t="str">
        <f>iF('Ingest Template'!A236="Standard","LF // Beverages","Competitive View")</f>
        <v>Competitive View</v>
      </c>
      <c r="K236" s="7" t="s">
        <v>35</v>
      </c>
      <c r="L236" s="8"/>
      <c r="M236" s="4"/>
      <c r="N236" s="4"/>
      <c r="O236" s="4"/>
      <c r="P236" s="4"/>
      <c r="Q236" s="4"/>
      <c r="R236" s="7" t="s">
        <v>36</v>
      </c>
      <c r="S236" s="4" t="str">
        <f>'Ingest Template'!J236</f>
        <v/>
      </c>
      <c r="T236" s="4" t="str">
        <f>'Ingest Template'!I236</f>
        <v/>
      </c>
      <c r="U236" s="4" t="str">
        <f>LOWER(SUBSTITUTE(SUBSTITUTE(SUBSTITUTE(SUBSTITUTE(SUBSTITUTE('Ingest Template'!K236,"https:",""),"www.",""),"/",""),"?hl=en",""),"instagram.com",""))</f>
        <v/>
      </c>
      <c r="V236" s="9" t="str">
        <f>'Ingest Template'!L236</f>
        <v/>
      </c>
      <c r="W236" s="9" t="str">
        <f>'Ingest Template'!M236</f>
        <v/>
      </c>
      <c r="X236" s="4" t="str">
        <f>SUBSTITUTE(SUBSTITUTE(SUBSTITUTE('Ingest Template'!N236,"http:",""),"https:",""),"/","")</f>
        <v/>
      </c>
      <c r="Y236" s="4" t="str">
        <f t="array" ref="Y236">IF('Ingest Template'!A236="Standard",(IF(ISBLANK('Ingest Template'!O236),"", 'Ingest Template'!O236&amp;"|DAR")),(IF(ISBLANK('Ingest Template'!O236),"", 'Ingest Template'!O236&amp;"|Film Ops")))</f>
        <v/>
      </c>
      <c r="Z236" s="4"/>
      <c r="AA236" s="4" t="str">
        <f>'Ingest Template'!E236</f>
        <v/>
      </c>
      <c r="AB236" s="7"/>
      <c r="AC236" s="4" t="str">
        <f t="array" ref="AC236">IF('Ingest Template'!A236="Standard",(CONCATENATE(IF(ISBLANK('Ingest Template'!F236),"", 'Ingest Template'!F236&amp;"|DAR"),CHAR(10), IF(ISBLANK('Ingest Template'!G236),"", 'Ingest Template'!G236&amp;"|DAR"),CHAR(10), IF(ISBLANK('Ingest Template'!H236),"", 'Ingest Template'!H236&amp;"|DAR"))),(CONCATENATE(IF(ISBLANK('Ingest Template'!F236),"", 'Ingest Template'!F236&amp;"|Film Ops"),CHAR(10), IF(ISBLANK('Ingest Template'!G236),"", 'Ingest Template'!G236&amp;"|Film Ops"),CHAR(10), IF(ISBLANK('Ingest Template'!H236),"", 'Ingest Template'!H236&amp;"|Film Ops"))))</f>
        <v>
</v>
      </c>
      <c r="AD236" s="4"/>
      <c r="AE236" s="4"/>
      <c r="AF236" s="10"/>
      <c r="AG236" s="4"/>
      <c r="AH236" s="4"/>
    </row>
    <row r="237">
      <c r="A237" s="4"/>
      <c r="B237" s="4" t="str">
        <f>'Ingest Template'!B237&amp;IF('Ingest Template'!A237 = "Standard", " - DAR","")</f>
        <v/>
      </c>
      <c r="C237" s="5" t="s">
        <v>34</v>
      </c>
      <c r="D237" s="5" t="str">
        <f>CONCATENATE('Ingest Template'!C237,'Ingest Template'!D237)</f>
        <v/>
      </c>
      <c r="E237" s="4"/>
      <c r="F237" s="4"/>
      <c r="G237" s="4"/>
      <c r="H237" s="6"/>
      <c r="I237" s="6" t="str">
        <f>iF('Ingest Template'!A237="Standard","Pristine Brand","Unknown")</f>
        <v>Unknown</v>
      </c>
      <c r="J237" s="4" t="str">
        <f>iF('Ingest Template'!A237="Standard","LF // Beverages","Competitive View")</f>
        <v>Competitive View</v>
      </c>
      <c r="K237" s="7" t="s">
        <v>35</v>
      </c>
      <c r="L237" s="8"/>
      <c r="M237" s="4"/>
      <c r="N237" s="4"/>
      <c r="O237" s="4"/>
      <c r="P237" s="4"/>
      <c r="Q237" s="4"/>
      <c r="R237" s="7" t="s">
        <v>36</v>
      </c>
      <c r="S237" s="4" t="str">
        <f>'Ingest Template'!J237</f>
        <v/>
      </c>
      <c r="T237" s="4" t="str">
        <f>'Ingest Template'!I237</f>
        <v/>
      </c>
      <c r="U237" s="4" t="str">
        <f>LOWER(SUBSTITUTE(SUBSTITUTE(SUBSTITUTE(SUBSTITUTE(SUBSTITUTE('Ingest Template'!K237,"https:",""),"www.",""),"/",""),"?hl=en",""),"instagram.com",""))</f>
        <v/>
      </c>
      <c r="V237" s="9" t="str">
        <f>'Ingest Template'!L237</f>
        <v/>
      </c>
      <c r="W237" s="9" t="str">
        <f>'Ingest Template'!M237</f>
        <v/>
      </c>
      <c r="X237" s="4" t="str">
        <f>SUBSTITUTE(SUBSTITUTE(SUBSTITUTE('Ingest Template'!N237,"http:",""),"https:",""),"/","")</f>
        <v/>
      </c>
      <c r="Y237" s="4" t="str">
        <f t="array" ref="Y237">IF('Ingest Template'!A237="Standard",(IF(ISBLANK('Ingest Template'!O237),"", 'Ingest Template'!O237&amp;"|DAR")),(IF(ISBLANK('Ingest Template'!O237),"", 'Ingest Template'!O237&amp;"|Film Ops")))</f>
        <v/>
      </c>
      <c r="Z237" s="4"/>
      <c r="AA237" s="4" t="str">
        <f>'Ingest Template'!E237</f>
        <v/>
      </c>
      <c r="AB237" s="7"/>
      <c r="AC237" s="4" t="str">
        <f t="array" ref="AC237">IF('Ingest Template'!A237="Standard",(CONCATENATE(IF(ISBLANK('Ingest Template'!F237),"", 'Ingest Template'!F237&amp;"|DAR"),CHAR(10), IF(ISBLANK('Ingest Template'!G237),"", 'Ingest Template'!G237&amp;"|DAR"),CHAR(10), IF(ISBLANK('Ingest Template'!H237),"", 'Ingest Template'!H237&amp;"|DAR"))),(CONCATENATE(IF(ISBLANK('Ingest Template'!F237),"", 'Ingest Template'!F237&amp;"|Film Ops"),CHAR(10), IF(ISBLANK('Ingest Template'!G237),"", 'Ingest Template'!G237&amp;"|Film Ops"),CHAR(10), IF(ISBLANK('Ingest Template'!H237),"", 'Ingest Template'!H237&amp;"|Film Ops"))))</f>
        <v>
</v>
      </c>
      <c r="AD237" s="4"/>
      <c r="AE237" s="4"/>
      <c r="AF237" s="10"/>
      <c r="AG237" s="4"/>
      <c r="AH237" s="4"/>
    </row>
    <row r="238">
      <c r="A238" s="4"/>
      <c r="B238" s="4" t="str">
        <f>'Ingest Template'!B238&amp;IF('Ingest Template'!A238 = "Standard", " - DAR","")</f>
        <v/>
      </c>
      <c r="C238" s="5" t="s">
        <v>34</v>
      </c>
      <c r="D238" s="5" t="str">
        <f>CONCATENATE('Ingest Template'!C238,'Ingest Template'!D238)</f>
        <v/>
      </c>
      <c r="E238" s="4"/>
      <c r="F238" s="4"/>
      <c r="G238" s="4"/>
      <c r="H238" s="6"/>
      <c r="I238" s="6" t="str">
        <f>iF('Ingest Template'!A238="Standard","Pristine Brand","Unknown")</f>
        <v>Unknown</v>
      </c>
      <c r="J238" s="4" t="str">
        <f>iF('Ingest Template'!A238="Standard","LF // Beverages","Competitive View")</f>
        <v>Competitive View</v>
      </c>
      <c r="K238" s="7" t="s">
        <v>35</v>
      </c>
      <c r="L238" s="8"/>
      <c r="M238" s="4"/>
      <c r="N238" s="4"/>
      <c r="O238" s="4"/>
      <c r="P238" s="4"/>
      <c r="Q238" s="4"/>
      <c r="R238" s="7" t="s">
        <v>36</v>
      </c>
      <c r="S238" s="4" t="str">
        <f>'Ingest Template'!J238</f>
        <v/>
      </c>
      <c r="T238" s="4" t="str">
        <f>'Ingest Template'!I238</f>
        <v/>
      </c>
      <c r="U238" s="4" t="str">
        <f>LOWER(SUBSTITUTE(SUBSTITUTE(SUBSTITUTE(SUBSTITUTE(SUBSTITUTE('Ingest Template'!K238,"https:",""),"www.",""),"/",""),"?hl=en",""),"instagram.com",""))</f>
        <v/>
      </c>
      <c r="V238" s="9" t="str">
        <f>'Ingest Template'!L238</f>
        <v/>
      </c>
      <c r="W238" s="9" t="str">
        <f>'Ingest Template'!M238</f>
        <v/>
      </c>
      <c r="X238" s="4" t="str">
        <f>SUBSTITUTE(SUBSTITUTE(SUBSTITUTE('Ingest Template'!N238,"http:",""),"https:",""),"/","")</f>
        <v/>
      </c>
      <c r="Y238" s="4" t="str">
        <f t="array" ref="Y238">IF('Ingest Template'!A238="Standard",(IF(ISBLANK('Ingest Template'!O238),"", 'Ingest Template'!O238&amp;"|DAR")),(IF(ISBLANK('Ingest Template'!O238),"", 'Ingest Template'!O238&amp;"|Film Ops")))</f>
        <v/>
      </c>
      <c r="Z238" s="4"/>
      <c r="AA238" s="4" t="str">
        <f>'Ingest Template'!E238</f>
        <v/>
      </c>
      <c r="AB238" s="7"/>
      <c r="AC238" s="4" t="str">
        <f t="array" ref="AC238">IF('Ingest Template'!A238="Standard",(CONCATENATE(IF(ISBLANK('Ingest Template'!F238),"", 'Ingest Template'!F238&amp;"|DAR"),CHAR(10), IF(ISBLANK('Ingest Template'!G238),"", 'Ingest Template'!G238&amp;"|DAR"),CHAR(10), IF(ISBLANK('Ingest Template'!H238),"", 'Ingest Template'!H238&amp;"|DAR"))),(CONCATENATE(IF(ISBLANK('Ingest Template'!F238),"", 'Ingest Template'!F238&amp;"|Film Ops"),CHAR(10), IF(ISBLANK('Ingest Template'!G238),"", 'Ingest Template'!G238&amp;"|Film Ops"),CHAR(10), IF(ISBLANK('Ingest Template'!H238),"", 'Ingest Template'!H238&amp;"|Film Ops"))))</f>
        <v>
</v>
      </c>
      <c r="AD238" s="4"/>
      <c r="AE238" s="4"/>
      <c r="AF238" s="10"/>
      <c r="AG238" s="4"/>
      <c r="AH238" s="4"/>
    </row>
    <row r="239">
      <c r="A239" s="4"/>
      <c r="B239" s="4" t="str">
        <f>'Ingest Template'!B239&amp;IF('Ingest Template'!A239 = "Standard", " - DAR","")</f>
        <v/>
      </c>
      <c r="C239" s="5" t="s">
        <v>34</v>
      </c>
      <c r="D239" s="5" t="str">
        <f>CONCATENATE('Ingest Template'!C239,'Ingest Template'!D239)</f>
        <v/>
      </c>
      <c r="E239" s="4"/>
      <c r="F239" s="4"/>
      <c r="G239" s="4"/>
      <c r="H239" s="6"/>
      <c r="I239" s="6" t="str">
        <f>iF('Ingest Template'!A239="Standard","Pristine Brand","Unknown")</f>
        <v>Unknown</v>
      </c>
      <c r="J239" s="4" t="str">
        <f>iF('Ingest Template'!A239="Standard","LF // Beverages","Competitive View")</f>
        <v>Competitive View</v>
      </c>
      <c r="K239" s="7" t="s">
        <v>35</v>
      </c>
      <c r="L239" s="8"/>
      <c r="M239" s="4"/>
      <c r="N239" s="4"/>
      <c r="O239" s="4"/>
      <c r="P239" s="4"/>
      <c r="Q239" s="4"/>
      <c r="R239" s="7" t="s">
        <v>36</v>
      </c>
      <c r="S239" s="4" t="str">
        <f>'Ingest Template'!J239</f>
        <v/>
      </c>
      <c r="T239" s="4" t="str">
        <f>'Ingest Template'!I239</f>
        <v/>
      </c>
      <c r="U239" s="4" t="str">
        <f>LOWER(SUBSTITUTE(SUBSTITUTE(SUBSTITUTE(SUBSTITUTE(SUBSTITUTE('Ingest Template'!K239,"https:",""),"www.",""),"/",""),"?hl=en",""),"instagram.com",""))</f>
        <v/>
      </c>
      <c r="V239" s="9" t="str">
        <f>'Ingest Template'!L239</f>
        <v/>
      </c>
      <c r="W239" s="9" t="str">
        <f>'Ingest Template'!M239</f>
        <v/>
      </c>
      <c r="X239" s="4" t="str">
        <f>SUBSTITUTE(SUBSTITUTE(SUBSTITUTE('Ingest Template'!N239,"http:",""),"https:",""),"/","")</f>
        <v/>
      </c>
      <c r="Y239" s="4" t="str">
        <f t="array" ref="Y239">IF('Ingest Template'!A239="Standard",(IF(ISBLANK('Ingest Template'!O239),"", 'Ingest Template'!O239&amp;"|DAR")),(IF(ISBLANK('Ingest Template'!O239),"", 'Ingest Template'!O239&amp;"|Film Ops")))</f>
        <v/>
      </c>
      <c r="Z239" s="4"/>
      <c r="AA239" s="4" t="str">
        <f>'Ingest Template'!E239</f>
        <v/>
      </c>
      <c r="AB239" s="7"/>
      <c r="AC239" s="4" t="str">
        <f t="array" ref="AC239">IF('Ingest Template'!A239="Standard",(CONCATENATE(IF(ISBLANK('Ingest Template'!F239),"", 'Ingest Template'!F239&amp;"|DAR"),CHAR(10), IF(ISBLANK('Ingest Template'!G239),"", 'Ingest Template'!G239&amp;"|DAR"),CHAR(10), IF(ISBLANK('Ingest Template'!H239),"", 'Ingest Template'!H239&amp;"|DAR"))),(CONCATENATE(IF(ISBLANK('Ingest Template'!F239),"", 'Ingest Template'!F239&amp;"|Film Ops"),CHAR(10), IF(ISBLANK('Ingest Template'!G239),"", 'Ingest Template'!G239&amp;"|Film Ops"),CHAR(10), IF(ISBLANK('Ingest Template'!H239),"", 'Ingest Template'!H239&amp;"|Film Ops"))))</f>
        <v>
</v>
      </c>
      <c r="AD239" s="4"/>
      <c r="AE239" s="4"/>
      <c r="AF239" s="10"/>
      <c r="AG239" s="4"/>
      <c r="AH239" s="4"/>
    </row>
    <row r="240">
      <c r="A240" s="4"/>
      <c r="B240" s="4" t="str">
        <f>'Ingest Template'!B240&amp;IF('Ingest Template'!A240 = "Standard", " - DAR","")</f>
        <v/>
      </c>
      <c r="C240" s="5" t="s">
        <v>34</v>
      </c>
      <c r="D240" s="5" t="str">
        <f>CONCATENATE('Ingest Template'!C240,'Ingest Template'!D240)</f>
        <v/>
      </c>
      <c r="E240" s="4"/>
      <c r="F240" s="4"/>
      <c r="G240" s="4"/>
      <c r="H240" s="6"/>
      <c r="I240" s="6" t="str">
        <f>iF('Ingest Template'!A240="Standard","Pristine Brand","Unknown")</f>
        <v>Unknown</v>
      </c>
      <c r="J240" s="4" t="str">
        <f>iF('Ingest Template'!A240="Standard","LF // Beverages","Competitive View")</f>
        <v>Competitive View</v>
      </c>
      <c r="K240" s="7" t="s">
        <v>35</v>
      </c>
      <c r="L240" s="8"/>
      <c r="M240" s="4"/>
      <c r="N240" s="4"/>
      <c r="O240" s="4"/>
      <c r="P240" s="4"/>
      <c r="Q240" s="4"/>
      <c r="R240" s="7" t="s">
        <v>36</v>
      </c>
      <c r="S240" s="4" t="str">
        <f>'Ingest Template'!J240</f>
        <v/>
      </c>
      <c r="T240" s="4" t="str">
        <f>'Ingest Template'!I240</f>
        <v/>
      </c>
      <c r="U240" s="4" t="str">
        <f>LOWER(SUBSTITUTE(SUBSTITUTE(SUBSTITUTE(SUBSTITUTE(SUBSTITUTE('Ingest Template'!K240,"https:",""),"www.",""),"/",""),"?hl=en",""),"instagram.com",""))</f>
        <v/>
      </c>
      <c r="V240" s="9" t="str">
        <f>'Ingest Template'!L240</f>
        <v/>
      </c>
      <c r="W240" s="9" t="str">
        <f>'Ingest Template'!M240</f>
        <v/>
      </c>
      <c r="X240" s="4" t="str">
        <f>SUBSTITUTE(SUBSTITUTE(SUBSTITUTE('Ingest Template'!N240,"http:",""),"https:",""),"/","")</f>
        <v/>
      </c>
      <c r="Y240" s="4" t="str">
        <f t="array" ref="Y240">IF('Ingest Template'!A240="Standard",(IF(ISBLANK('Ingest Template'!O240),"", 'Ingest Template'!O240&amp;"|DAR")),(IF(ISBLANK('Ingest Template'!O240),"", 'Ingest Template'!O240&amp;"|Film Ops")))</f>
        <v/>
      </c>
      <c r="Z240" s="4"/>
      <c r="AA240" s="4" t="str">
        <f>'Ingest Template'!E240</f>
        <v/>
      </c>
      <c r="AB240" s="7"/>
      <c r="AC240" s="4" t="str">
        <f t="array" ref="AC240">IF('Ingest Template'!A240="Standard",(CONCATENATE(IF(ISBLANK('Ingest Template'!F240),"", 'Ingest Template'!F240&amp;"|DAR"),CHAR(10), IF(ISBLANK('Ingest Template'!G240),"", 'Ingest Template'!G240&amp;"|DAR"),CHAR(10), IF(ISBLANK('Ingest Template'!H240),"", 'Ingest Template'!H240&amp;"|DAR"))),(CONCATENATE(IF(ISBLANK('Ingest Template'!F240),"", 'Ingest Template'!F240&amp;"|Film Ops"),CHAR(10), IF(ISBLANK('Ingest Template'!G240),"", 'Ingest Template'!G240&amp;"|Film Ops"),CHAR(10), IF(ISBLANK('Ingest Template'!H240),"", 'Ingest Template'!H240&amp;"|Film Ops"))))</f>
        <v>
</v>
      </c>
      <c r="AD240" s="4"/>
      <c r="AE240" s="4"/>
      <c r="AF240" s="10"/>
      <c r="AG240" s="4"/>
      <c r="AH240" s="4"/>
    </row>
    <row r="241">
      <c r="A241" s="4"/>
      <c r="B241" s="4" t="str">
        <f>'Ingest Template'!B241&amp;IF('Ingest Template'!A241 = "Standard", " - DAR","")</f>
        <v/>
      </c>
      <c r="C241" s="5" t="s">
        <v>34</v>
      </c>
      <c r="D241" s="5" t="str">
        <f>CONCATENATE('Ingest Template'!C241,'Ingest Template'!D241)</f>
        <v/>
      </c>
      <c r="E241" s="4"/>
      <c r="F241" s="4"/>
      <c r="G241" s="4"/>
      <c r="H241" s="6"/>
      <c r="I241" s="6" t="str">
        <f>iF('Ingest Template'!A241="Standard","Pristine Brand","Unknown")</f>
        <v>Unknown</v>
      </c>
      <c r="J241" s="4" t="str">
        <f>iF('Ingest Template'!A241="Standard","LF // Beverages","Competitive View")</f>
        <v>Competitive View</v>
      </c>
      <c r="K241" s="7" t="s">
        <v>35</v>
      </c>
      <c r="L241" s="8"/>
      <c r="M241" s="4"/>
      <c r="N241" s="4"/>
      <c r="O241" s="4"/>
      <c r="P241" s="4"/>
      <c r="Q241" s="4"/>
      <c r="R241" s="7" t="s">
        <v>36</v>
      </c>
      <c r="S241" s="4" t="str">
        <f>'Ingest Template'!J241</f>
        <v/>
      </c>
      <c r="T241" s="4" t="str">
        <f>'Ingest Template'!I241</f>
        <v/>
      </c>
      <c r="U241" s="4" t="str">
        <f>LOWER(SUBSTITUTE(SUBSTITUTE(SUBSTITUTE(SUBSTITUTE(SUBSTITUTE('Ingest Template'!K241,"https:",""),"www.",""),"/",""),"?hl=en",""),"instagram.com",""))</f>
        <v/>
      </c>
      <c r="V241" s="9" t="str">
        <f>'Ingest Template'!L241</f>
        <v/>
      </c>
      <c r="W241" s="9" t="str">
        <f>'Ingest Template'!M241</f>
        <v/>
      </c>
      <c r="X241" s="4" t="str">
        <f>SUBSTITUTE(SUBSTITUTE(SUBSTITUTE('Ingest Template'!N241,"http:",""),"https:",""),"/","")</f>
        <v/>
      </c>
      <c r="Y241" s="4" t="str">
        <f t="array" ref="Y241">IF('Ingest Template'!A241="Standard",(IF(ISBLANK('Ingest Template'!O241),"", 'Ingest Template'!O241&amp;"|DAR")),(IF(ISBLANK('Ingest Template'!O241),"", 'Ingest Template'!O241&amp;"|Film Ops")))</f>
        <v/>
      </c>
      <c r="Z241" s="4"/>
      <c r="AA241" s="4" t="str">
        <f>'Ingest Template'!E241</f>
        <v/>
      </c>
      <c r="AB241" s="7"/>
      <c r="AC241" s="4" t="str">
        <f t="array" ref="AC241">IF('Ingest Template'!A241="Standard",(CONCATENATE(IF(ISBLANK('Ingest Template'!F241),"", 'Ingest Template'!F241&amp;"|DAR"),CHAR(10), IF(ISBLANK('Ingest Template'!G241),"", 'Ingest Template'!G241&amp;"|DAR"),CHAR(10), IF(ISBLANK('Ingest Template'!H241),"", 'Ingest Template'!H241&amp;"|DAR"))),(CONCATENATE(IF(ISBLANK('Ingest Template'!F241),"", 'Ingest Template'!F241&amp;"|Film Ops"),CHAR(10), IF(ISBLANK('Ingest Template'!G241),"", 'Ingest Template'!G241&amp;"|Film Ops"),CHAR(10), IF(ISBLANK('Ingest Template'!H241),"", 'Ingest Template'!H241&amp;"|Film Ops"))))</f>
        <v>
</v>
      </c>
      <c r="AD241" s="4"/>
      <c r="AE241" s="4"/>
      <c r="AF241" s="10"/>
      <c r="AG241" s="4"/>
      <c r="AH241" s="4"/>
    </row>
    <row r="242">
      <c r="A242" s="4"/>
      <c r="B242" s="4" t="str">
        <f>'Ingest Template'!B242&amp;IF('Ingest Template'!A242 = "Standard", " - DAR","")</f>
        <v/>
      </c>
      <c r="C242" s="5" t="s">
        <v>34</v>
      </c>
      <c r="D242" s="5" t="str">
        <f>CONCATENATE('Ingest Template'!C242,'Ingest Template'!D242)</f>
        <v/>
      </c>
      <c r="E242" s="4"/>
      <c r="F242" s="4"/>
      <c r="G242" s="4"/>
      <c r="H242" s="6"/>
      <c r="I242" s="6" t="str">
        <f>iF('Ingest Template'!A242="Standard","Pristine Brand","Unknown")</f>
        <v>Unknown</v>
      </c>
      <c r="J242" s="4" t="str">
        <f>iF('Ingest Template'!A242="Standard","LF // Beverages","Competitive View")</f>
        <v>Competitive View</v>
      </c>
      <c r="K242" s="7" t="s">
        <v>35</v>
      </c>
      <c r="L242" s="8"/>
      <c r="M242" s="4"/>
      <c r="N242" s="4"/>
      <c r="O242" s="4"/>
      <c r="P242" s="4"/>
      <c r="Q242" s="4"/>
      <c r="R242" s="7" t="s">
        <v>36</v>
      </c>
      <c r="S242" s="4" t="str">
        <f>'Ingest Template'!J242</f>
        <v/>
      </c>
      <c r="T242" s="4" t="str">
        <f>'Ingest Template'!I242</f>
        <v/>
      </c>
      <c r="U242" s="4" t="str">
        <f>LOWER(SUBSTITUTE(SUBSTITUTE(SUBSTITUTE(SUBSTITUTE(SUBSTITUTE('Ingest Template'!K242,"https:",""),"www.",""),"/",""),"?hl=en",""),"instagram.com",""))</f>
        <v/>
      </c>
      <c r="V242" s="9" t="str">
        <f>'Ingest Template'!L242</f>
        <v/>
      </c>
      <c r="W242" s="9" t="str">
        <f>'Ingest Template'!M242</f>
        <v/>
      </c>
      <c r="X242" s="4" t="str">
        <f>SUBSTITUTE(SUBSTITUTE(SUBSTITUTE('Ingest Template'!N242,"http:",""),"https:",""),"/","")</f>
        <v/>
      </c>
      <c r="Y242" s="4" t="str">
        <f t="array" ref="Y242">IF('Ingest Template'!A242="Standard",(IF(ISBLANK('Ingest Template'!O242),"", 'Ingest Template'!O242&amp;"|DAR")),(IF(ISBLANK('Ingest Template'!O242),"", 'Ingest Template'!O242&amp;"|Film Ops")))</f>
        <v/>
      </c>
      <c r="Z242" s="4"/>
      <c r="AA242" s="4" t="str">
        <f>'Ingest Template'!E242</f>
        <v/>
      </c>
      <c r="AB242" s="7"/>
      <c r="AC242" s="4" t="str">
        <f t="array" ref="AC242">IF('Ingest Template'!A242="Standard",(CONCATENATE(IF(ISBLANK('Ingest Template'!F242),"", 'Ingest Template'!F242&amp;"|DAR"),CHAR(10), IF(ISBLANK('Ingest Template'!G242),"", 'Ingest Template'!G242&amp;"|DAR"),CHAR(10), IF(ISBLANK('Ingest Template'!H242),"", 'Ingest Template'!H242&amp;"|DAR"))),(CONCATENATE(IF(ISBLANK('Ingest Template'!F242),"", 'Ingest Template'!F242&amp;"|Film Ops"),CHAR(10), IF(ISBLANK('Ingest Template'!G242),"", 'Ingest Template'!G242&amp;"|Film Ops"),CHAR(10), IF(ISBLANK('Ingest Template'!H242),"", 'Ingest Template'!H242&amp;"|Film Ops"))))</f>
        <v>
</v>
      </c>
      <c r="AD242" s="4"/>
      <c r="AE242" s="4"/>
      <c r="AF242" s="10"/>
      <c r="AG242" s="4"/>
      <c r="AH242" s="4"/>
    </row>
    <row r="243">
      <c r="A243" s="4"/>
      <c r="B243" s="4" t="str">
        <f>'Ingest Template'!B243&amp;IF('Ingest Template'!A243 = "Standard", " - DAR","")</f>
        <v/>
      </c>
      <c r="C243" s="5" t="s">
        <v>34</v>
      </c>
      <c r="D243" s="5" t="str">
        <f>CONCATENATE('Ingest Template'!C243,'Ingest Template'!D243)</f>
        <v/>
      </c>
      <c r="E243" s="4"/>
      <c r="F243" s="4"/>
      <c r="G243" s="4"/>
      <c r="H243" s="6"/>
      <c r="I243" s="6" t="str">
        <f>iF('Ingest Template'!A243="Standard","Pristine Brand","Unknown")</f>
        <v>Unknown</v>
      </c>
      <c r="J243" s="4" t="str">
        <f>iF('Ingest Template'!A243="Standard","LF // Beverages","Competitive View")</f>
        <v>Competitive View</v>
      </c>
      <c r="K243" s="7" t="s">
        <v>35</v>
      </c>
      <c r="L243" s="8"/>
      <c r="M243" s="4"/>
      <c r="N243" s="4"/>
      <c r="O243" s="4"/>
      <c r="P243" s="4"/>
      <c r="Q243" s="4"/>
      <c r="R243" s="7" t="s">
        <v>36</v>
      </c>
      <c r="S243" s="4" t="str">
        <f>'Ingest Template'!J243</f>
        <v/>
      </c>
      <c r="T243" s="4" t="str">
        <f>'Ingest Template'!I243</f>
        <v/>
      </c>
      <c r="U243" s="4" t="str">
        <f>LOWER(SUBSTITUTE(SUBSTITUTE(SUBSTITUTE(SUBSTITUTE(SUBSTITUTE('Ingest Template'!K243,"https:",""),"www.",""),"/",""),"?hl=en",""),"instagram.com",""))</f>
        <v/>
      </c>
      <c r="V243" s="9" t="str">
        <f>'Ingest Template'!L243</f>
        <v/>
      </c>
      <c r="W243" s="9" t="str">
        <f>'Ingest Template'!M243</f>
        <v/>
      </c>
      <c r="X243" s="4" t="str">
        <f>SUBSTITUTE(SUBSTITUTE(SUBSTITUTE('Ingest Template'!N243,"http:",""),"https:",""),"/","")</f>
        <v/>
      </c>
      <c r="Y243" s="4" t="str">
        <f t="array" ref="Y243">IF('Ingest Template'!A243="Standard",(IF(ISBLANK('Ingest Template'!O243),"", 'Ingest Template'!O243&amp;"|DAR")),(IF(ISBLANK('Ingest Template'!O243),"", 'Ingest Template'!O243&amp;"|Film Ops")))</f>
        <v/>
      </c>
      <c r="Z243" s="4"/>
      <c r="AA243" s="4" t="str">
        <f>'Ingest Template'!E243</f>
        <v/>
      </c>
      <c r="AB243" s="7"/>
      <c r="AC243" s="4" t="str">
        <f t="array" ref="AC243">IF('Ingest Template'!A243="Standard",(CONCATENATE(IF(ISBLANK('Ingest Template'!F243),"", 'Ingest Template'!F243&amp;"|DAR"),CHAR(10), IF(ISBLANK('Ingest Template'!G243),"", 'Ingest Template'!G243&amp;"|DAR"),CHAR(10), IF(ISBLANK('Ingest Template'!H243),"", 'Ingest Template'!H243&amp;"|DAR"))),(CONCATENATE(IF(ISBLANK('Ingest Template'!F243),"", 'Ingest Template'!F243&amp;"|Film Ops"),CHAR(10), IF(ISBLANK('Ingest Template'!G243),"", 'Ingest Template'!G243&amp;"|Film Ops"),CHAR(10), IF(ISBLANK('Ingest Template'!H243),"", 'Ingest Template'!H243&amp;"|Film Ops"))))</f>
        <v>
</v>
      </c>
      <c r="AD243" s="4"/>
      <c r="AE243" s="4"/>
      <c r="AF243" s="10"/>
      <c r="AG243" s="4"/>
      <c r="AH243" s="4"/>
    </row>
    <row r="244">
      <c r="A244" s="4"/>
      <c r="B244" s="4" t="str">
        <f>'Ingest Template'!B244&amp;IF('Ingest Template'!A244 = "Standard", " - DAR","")</f>
        <v/>
      </c>
      <c r="C244" s="5" t="s">
        <v>34</v>
      </c>
      <c r="D244" s="5" t="str">
        <f>CONCATENATE('Ingest Template'!C244,'Ingest Template'!D244)</f>
        <v/>
      </c>
      <c r="E244" s="4"/>
      <c r="F244" s="4"/>
      <c r="G244" s="4"/>
      <c r="H244" s="6"/>
      <c r="I244" s="6" t="str">
        <f>iF('Ingest Template'!A244="Standard","Pristine Brand","Unknown")</f>
        <v>Unknown</v>
      </c>
      <c r="J244" s="4" t="str">
        <f>iF('Ingest Template'!A244="Standard","LF // Beverages","Competitive View")</f>
        <v>Competitive View</v>
      </c>
      <c r="K244" s="7" t="s">
        <v>35</v>
      </c>
      <c r="L244" s="8"/>
      <c r="M244" s="4"/>
      <c r="N244" s="4"/>
      <c r="O244" s="4"/>
      <c r="P244" s="4"/>
      <c r="Q244" s="4"/>
      <c r="R244" s="7" t="s">
        <v>36</v>
      </c>
      <c r="S244" s="4" t="str">
        <f>'Ingest Template'!J244</f>
        <v/>
      </c>
      <c r="T244" s="4" t="str">
        <f>'Ingest Template'!I244</f>
        <v/>
      </c>
      <c r="U244" s="4" t="str">
        <f>LOWER(SUBSTITUTE(SUBSTITUTE(SUBSTITUTE(SUBSTITUTE(SUBSTITUTE('Ingest Template'!K244,"https:",""),"www.",""),"/",""),"?hl=en",""),"instagram.com",""))</f>
        <v/>
      </c>
      <c r="V244" s="9" t="str">
        <f>'Ingest Template'!L244</f>
        <v/>
      </c>
      <c r="W244" s="9" t="str">
        <f>'Ingest Template'!M244</f>
        <v/>
      </c>
      <c r="X244" s="4" t="str">
        <f>SUBSTITUTE(SUBSTITUTE(SUBSTITUTE('Ingest Template'!N244,"http:",""),"https:",""),"/","")</f>
        <v/>
      </c>
      <c r="Y244" s="4" t="str">
        <f t="array" ref="Y244">IF('Ingest Template'!A244="Standard",(IF(ISBLANK('Ingest Template'!O244),"", 'Ingest Template'!O244&amp;"|DAR")),(IF(ISBLANK('Ingest Template'!O244),"", 'Ingest Template'!O244&amp;"|Film Ops")))</f>
        <v/>
      </c>
      <c r="Z244" s="4"/>
      <c r="AA244" s="4" t="str">
        <f>'Ingest Template'!E244</f>
        <v/>
      </c>
      <c r="AB244" s="7"/>
      <c r="AC244" s="4" t="str">
        <f t="array" ref="AC244">IF('Ingest Template'!A244="Standard",(CONCATENATE(IF(ISBLANK('Ingest Template'!F244),"", 'Ingest Template'!F244&amp;"|DAR"),CHAR(10), IF(ISBLANK('Ingest Template'!G244),"", 'Ingest Template'!G244&amp;"|DAR"),CHAR(10), IF(ISBLANK('Ingest Template'!H244),"", 'Ingest Template'!H244&amp;"|DAR"))),(CONCATENATE(IF(ISBLANK('Ingest Template'!F244),"", 'Ingest Template'!F244&amp;"|Film Ops"),CHAR(10), IF(ISBLANK('Ingest Template'!G244),"", 'Ingest Template'!G244&amp;"|Film Ops"),CHAR(10), IF(ISBLANK('Ingest Template'!H244),"", 'Ingest Template'!H244&amp;"|Film Ops"))))</f>
        <v>
</v>
      </c>
      <c r="AD244" s="4"/>
      <c r="AE244" s="4"/>
      <c r="AF244" s="10"/>
      <c r="AG244" s="4"/>
      <c r="AH244" s="4"/>
    </row>
    <row r="245">
      <c r="A245" s="4"/>
      <c r="B245" s="4" t="str">
        <f>'Ingest Template'!B245&amp;IF('Ingest Template'!A245 = "Standard", " - DAR","")</f>
        <v/>
      </c>
      <c r="C245" s="5" t="s">
        <v>34</v>
      </c>
      <c r="D245" s="5" t="str">
        <f>CONCATENATE('Ingest Template'!C245,'Ingest Template'!D245)</f>
        <v/>
      </c>
      <c r="E245" s="4"/>
      <c r="F245" s="4"/>
      <c r="G245" s="4"/>
      <c r="H245" s="6"/>
      <c r="I245" s="6" t="str">
        <f>iF('Ingest Template'!A245="Standard","Pristine Brand","Unknown")</f>
        <v>Unknown</v>
      </c>
      <c r="J245" s="4" t="str">
        <f>iF('Ingest Template'!A245="Standard","LF // Beverages","Competitive View")</f>
        <v>Competitive View</v>
      </c>
      <c r="K245" s="7" t="s">
        <v>35</v>
      </c>
      <c r="L245" s="8"/>
      <c r="M245" s="4"/>
      <c r="N245" s="4"/>
      <c r="O245" s="4"/>
      <c r="P245" s="4"/>
      <c r="Q245" s="4"/>
      <c r="R245" s="7" t="s">
        <v>36</v>
      </c>
      <c r="S245" s="4" t="str">
        <f>'Ingest Template'!J245</f>
        <v/>
      </c>
      <c r="T245" s="4" t="str">
        <f>'Ingest Template'!I245</f>
        <v/>
      </c>
      <c r="U245" s="4" t="str">
        <f>LOWER(SUBSTITUTE(SUBSTITUTE(SUBSTITUTE(SUBSTITUTE(SUBSTITUTE('Ingest Template'!K245,"https:",""),"www.",""),"/",""),"?hl=en",""),"instagram.com",""))</f>
        <v/>
      </c>
      <c r="V245" s="9" t="str">
        <f>'Ingest Template'!L245</f>
        <v/>
      </c>
      <c r="W245" s="9" t="str">
        <f>'Ingest Template'!M245</f>
        <v/>
      </c>
      <c r="X245" s="4" t="str">
        <f>SUBSTITUTE(SUBSTITUTE(SUBSTITUTE('Ingest Template'!N245,"http:",""),"https:",""),"/","")</f>
        <v/>
      </c>
      <c r="Y245" s="4" t="str">
        <f t="array" ref="Y245">IF('Ingest Template'!A245="Standard",(IF(ISBLANK('Ingest Template'!O245),"", 'Ingest Template'!O245&amp;"|DAR")),(IF(ISBLANK('Ingest Template'!O245),"", 'Ingest Template'!O245&amp;"|Film Ops")))</f>
        <v/>
      </c>
      <c r="Z245" s="4"/>
      <c r="AA245" s="4" t="str">
        <f>'Ingest Template'!E245</f>
        <v/>
      </c>
      <c r="AB245" s="7"/>
      <c r="AC245" s="4" t="str">
        <f t="array" ref="AC245">IF('Ingest Template'!A245="Standard",(CONCATENATE(IF(ISBLANK('Ingest Template'!F245),"", 'Ingest Template'!F245&amp;"|DAR"),CHAR(10), IF(ISBLANK('Ingest Template'!G245),"", 'Ingest Template'!G245&amp;"|DAR"),CHAR(10), IF(ISBLANK('Ingest Template'!H245),"", 'Ingest Template'!H245&amp;"|DAR"))),(CONCATENATE(IF(ISBLANK('Ingest Template'!F245),"", 'Ingest Template'!F245&amp;"|Film Ops"),CHAR(10), IF(ISBLANK('Ingest Template'!G245),"", 'Ingest Template'!G245&amp;"|Film Ops"),CHAR(10), IF(ISBLANK('Ingest Template'!H245),"", 'Ingest Template'!H245&amp;"|Film Ops"))))</f>
        <v>
</v>
      </c>
      <c r="AD245" s="4"/>
      <c r="AE245" s="4"/>
      <c r="AF245" s="10"/>
      <c r="AG245" s="4"/>
      <c r="AH245" s="4"/>
    </row>
    <row r="246">
      <c r="A246" s="4"/>
      <c r="B246" s="4" t="str">
        <f>'Ingest Template'!B246&amp;IF('Ingest Template'!A246 = "Standard", " - DAR","")</f>
        <v/>
      </c>
      <c r="C246" s="5" t="s">
        <v>34</v>
      </c>
      <c r="D246" s="5" t="str">
        <f>CONCATENATE('Ingest Template'!C246,'Ingest Template'!D246)</f>
        <v/>
      </c>
      <c r="E246" s="4"/>
      <c r="F246" s="4"/>
      <c r="G246" s="4"/>
      <c r="H246" s="6"/>
      <c r="I246" s="6" t="str">
        <f>iF('Ingest Template'!A246="Standard","Pristine Brand","Unknown")</f>
        <v>Unknown</v>
      </c>
      <c r="J246" s="4" t="str">
        <f>iF('Ingest Template'!A246="Standard","LF // Beverages","Competitive View")</f>
        <v>Competitive View</v>
      </c>
      <c r="K246" s="7" t="s">
        <v>35</v>
      </c>
      <c r="L246" s="8"/>
      <c r="M246" s="4"/>
      <c r="N246" s="4"/>
      <c r="O246" s="4"/>
      <c r="P246" s="4"/>
      <c r="Q246" s="4"/>
      <c r="R246" s="7" t="s">
        <v>36</v>
      </c>
      <c r="S246" s="4" t="str">
        <f>'Ingest Template'!J246</f>
        <v/>
      </c>
      <c r="T246" s="4" t="str">
        <f>'Ingest Template'!I246</f>
        <v/>
      </c>
      <c r="U246" s="4" t="str">
        <f>LOWER(SUBSTITUTE(SUBSTITUTE(SUBSTITUTE(SUBSTITUTE(SUBSTITUTE('Ingest Template'!K246,"https:",""),"www.",""),"/",""),"?hl=en",""),"instagram.com",""))</f>
        <v/>
      </c>
      <c r="V246" s="9" t="str">
        <f>'Ingest Template'!L246</f>
        <v/>
      </c>
      <c r="W246" s="9" t="str">
        <f>'Ingest Template'!M246</f>
        <v/>
      </c>
      <c r="X246" s="4" t="str">
        <f>SUBSTITUTE(SUBSTITUTE(SUBSTITUTE('Ingest Template'!N246,"http:",""),"https:",""),"/","")</f>
        <v/>
      </c>
      <c r="Y246" s="4" t="str">
        <f t="array" ref="Y246">IF('Ingest Template'!A246="Standard",(IF(ISBLANK('Ingest Template'!O246),"", 'Ingest Template'!O246&amp;"|DAR")),(IF(ISBLANK('Ingest Template'!O246),"", 'Ingest Template'!O246&amp;"|Film Ops")))</f>
        <v/>
      </c>
      <c r="Z246" s="4"/>
      <c r="AA246" s="4" t="str">
        <f>'Ingest Template'!E246</f>
        <v/>
      </c>
      <c r="AB246" s="7"/>
      <c r="AC246" s="4" t="str">
        <f t="array" ref="AC246">IF('Ingest Template'!A246="Standard",(CONCATENATE(IF(ISBLANK('Ingest Template'!F246),"", 'Ingest Template'!F246&amp;"|DAR"),CHAR(10), IF(ISBLANK('Ingest Template'!G246),"", 'Ingest Template'!G246&amp;"|DAR"),CHAR(10), IF(ISBLANK('Ingest Template'!H246),"", 'Ingest Template'!H246&amp;"|DAR"))),(CONCATENATE(IF(ISBLANK('Ingest Template'!F246),"", 'Ingest Template'!F246&amp;"|Film Ops"),CHAR(10), IF(ISBLANK('Ingest Template'!G246),"", 'Ingest Template'!G246&amp;"|Film Ops"),CHAR(10), IF(ISBLANK('Ingest Template'!H246),"", 'Ingest Template'!H246&amp;"|Film Ops"))))</f>
        <v>
</v>
      </c>
      <c r="AD246" s="4"/>
      <c r="AE246" s="4"/>
      <c r="AF246" s="10"/>
      <c r="AG246" s="4"/>
      <c r="AH246" s="4"/>
    </row>
    <row r="247">
      <c r="A247" s="4"/>
      <c r="B247" s="4" t="str">
        <f>'Ingest Template'!B247&amp;IF('Ingest Template'!A247 = "Standard", " - DAR","")</f>
        <v/>
      </c>
      <c r="C247" s="5" t="s">
        <v>34</v>
      </c>
      <c r="D247" s="5" t="str">
        <f>CONCATENATE('Ingest Template'!C247,'Ingest Template'!D247)</f>
        <v/>
      </c>
      <c r="E247" s="4"/>
      <c r="F247" s="4"/>
      <c r="G247" s="4"/>
      <c r="H247" s="6"/>
      <c r="I247" s="6" t="str">
        <f>iF('Ingest Template'!A247="Standard","Pristine Brand","Unknown")</f>
        <v>Unknown</v>
      </c>
      <c r="J247" s="4" t="str">
        <f>iF('Ingest Template'!A247="Standard","LF // Beverages","Competitive View")</f>
        <v>Competitive View</v>
      </c>
      <c r="K247" s="7" t="s">
        <v>35</v>
      </c>
      <c r="L247" s="8"/>
      <c r="M247" s="4"/>
      <c r="N247" s="4"/>
      <c r="O247" s="4"/>
      <c r="P247" s="4"/>
      <c r="Q247" s="4"/>
      <c r="R247" s="7" t="s">
        <v>36</v>
      </c>
      <c r="S247" s="4" t="str">
        <f>'Ingest Template'!J247</f>
        <v/>
      </c>
      <c r="T247" s="4" t="str">
        <f>'Ingest Template'!I247</f>
        <v/>
      </c>
      <c r="U247" s="4" t="str">
        <f>LOWER(SUBSTITUTE(SUBSTITUTE(SUBSTITUTE(SUBSTITUTE(SUBSTITUTE('Ingest Template'!K247,"https:",""),"www.",""),"/",""),"?hl=en",""),"instagram.com",""))</f>
        <v/>
      </c>
      <c r="V247" s="9" t="str">
        <f>'Ingest Template'!L247</f>
        <v/>
      </c>
      <c r="W247" s="9" t="str">
        <f>'Ingest Template'!M247</f>
        <v/>
      </c>
      <c r="X247" s="4" t="str">
        <f>SUBSTITUTE(SUBSTITUTE(SUBSTITUTE('Ingest Template'!N247,"http:",""),"https:",""),"/","")</f>
        <v/>
      </c>
      <c r="Y247" s="4" t="str">
        <f t="array" ref="Y247">IF('Ingest Template'!A247="Standard",(IF(ISBLANK('Ingest Template'!O247),"", 'Ingest Template'!O247&amp;"|DAR")),(IF(ISBLANK('Ingest Template'!O247),"", 'Ingest Template'!O247&amp;"|Film Ops")))</f>
        <v/>
      </c>
      <c r="Z247" s="4"/>
      <c r="AA247" s="4" t="str">
        <f>'Ingest Template'!E247</f>
        <v/>
      </c>
      <c r="AB247" s="7"/>
      <c r="AC247" s="4" t="str">
        <f t="array" ref="AC247">IF('Ingest Template'!A247="Standard",(CONCATENATE(IF(ISBLANK('Ingest Template'!F247),"", 'Ingest Template'!F247&amp;"|DAR"),CHAR(10), IF(ISBLANK('Ingest Template'!G247),"", 'Ingest Template'!G247&amp;"|DAR"),CHAR(10), IF(ISBLANK('Ingest Template'!H247),"", 'Ingest Template'!H247&amp;"|DAR"))),(CONCATENATE(IF(ISBLANK('Ingest Template'!F247),"", 'Ingest Template'!F247&amp;"|Film Ops"),CHAR(10), IF(ISBLANK('Ingest Template'!G247),"", 'Ingest Template'!G247&amp;"|Film Ops"),CHAR(10), IF(ISBLANK('Ingest Template'!H247),"", 'Ingest Template'!H247&amp;"|Film Ops"))))</f>
        <v>
</v>
      </c>
      <c r="AD247" s="4"/>
      <c r="AE247" s="4"/>
      <c r="AF247" s="10"/>
      <c r="AG247" s="4"/>
      <c r="AH247" s="4"/>
    </row>
    <row r="248">
      <c r="A248" s="4"/>
      <c r="B248" s="4" t="str">
        <f>'Ingest Template'!B248&amp;IF('Ingest Template'!A248 = "Standard", " - DAR","")</f>
        <v/>
      </c>
      <c r="C248" s="5" t="s">
        <v>34</v>
      </c>
      <c r="D248" s="5" t="str">
        <f>CONCATENATE('Ingest Template'!C248,'Ingest Template'!D248)</f>
        <v/>
      </c>
      <c r="E248" s="4"/>
      <c r="F248" s="4"/>
      <c r="G248" s="4"/>
      <c r="H248" s="6"/>
      <c r="I248" s="6" t="str">
        <f>iF('Ingest Template'!A248="Standard","Pristine Brand","Unknown")</f>
        <v>Unknown</v>
      </c>
      <c r="J248" s="4" t="str">
        <f>iF('Ingest Template'!A248="Standard","LF // Beverages","Competitive View")</f>
        <v>Competitive View</v>
      </c>
      <c r="K248" s="7" t="s">
        <v>35</v>
      </c>
      <c r="L248" s="8"/>
      <c r="M248" s="4"/>
      <c r="N248" s="4"/>
      <c r="O248" s="4"/>
      <c r="P248" s="4"/>
      <c r="Q248" s="4"/>
      <c r="R248" s="7" t="s">
        <v>36</v>
      </c>
      <c r="S248" s="4" t="str">
        <f>'Ingest Template'!J248</f>
        <v/>
      </c>
      <c r="T248" s="4" t="str">
        <f>'Ingest Template'!I248</f>
        <v/>
      </c>
      <c r="U248" s="4" t="str">
        <f>LOWER(SUBSTITUTE(SUBSTITUTE(SUBSTITUTE(SUBSTITUTE(SUBSTITUTE('Ingest Template'!K248,"https:",""),"www.",""),"/",""),"?hl=en",""),"instagram.com",""))</f>
        <v/>
      </c>
      <c r="V248" s="9" t="str">
        <f>'Ingest Template'!L248</f>
        <v/>
      </c>
      <c r="W248" s="9" t="str">
        <f>'Ingest Template'!M248</f>
        <v/>
      </c>
      <c r="X248" s="4" t="str">
        <f>SUBSTITUTE(SUBSTITUTE(SUBSTITUTE('Ingest Template'!N248,"http:",""),"https:",""),"/","")</f>
        <v/>
      </c>
      <c r="Y248" s="4" t="str">
        <f t="array" ref="Y248">IF('Ingest Template'!A248="Standard",(IF(ISBLANK('Ingest Template'!O248),"", 'Ingest Template'!O248&amp;"|DAR")),(IF(ISBLANK('Ingest Template'!O248),"", 'Ingest Template'!O248&amp;"|Film Ops")))</f>
        <v/>
      </c>
      <c r="Z248" s="4"/>
      <c r="AA248" s="4" t="str">
        <f>'Ingest Template'!E248</f>
        <v/>
      </c>
      <c r="AB248" s="7"/>
      <c r="AC248" s="4" t="str">
        <f t="array" ref="AC248">IF('Ingest Template'!A248="Standard",(CONCATENATE(IF(ISBLANK('Ingest Template'!F248),"", 'Ingest Template'!F248&amp;"|DAR"),CHAR(10), IF(ISBLANK('Ingest Template'!G248),"", 'Ingest Template'!G248&amp;"|DAR"),CHAR(10), IF(ISBLANK('Ingest Template'!H248),"", 'Ingest Template'!H248&amp;"|DAR"))),(CONCATENATE(IF(ISBLANK('Ingest Template'!F248),"", 'Ingest Template'!F248&amp;"|Film Ops"),CHAR(10), IF(ISBLANK('Ingest Template'!G248),"", 'Ingest Template'!G248&amp;"|Film Ops"),CHAR(10), IF(ISBLANK('Ingest Template'!H248),"", 'Ingest Template'!H248&amp;"|Film Ops"))))</f>
        <v>
</v>
      </c>
      <c r="AD248" s="4"/>
      <c r="AE248" s="4"/>
      <c r="AF248" s="10"/>
      <c r="AG248" s="4"/>
      <c r="AH248" s="4"/>
    </row>
    <row r="249">
      <c r="A249" s="4"/>
      <c r="B249" s="4" t="str">
        <f>'Ingest Template'!B249&amp;IF('Ingest Template'!A249 = "Standard", " - DAR","")</f>
        <v/>
      </c>
      <c r="C249" s="5" t="s">
        <v>34</v>
      </c>
      <c r="D249" s="5" t="str">
        <f>CONCATENATE('Ingest Template'!C249,'Ingest Template'!D249)</f>
        <v/>
      </c>
      <c r="E249" s="4"/>
      <c r="F249" s="4"/>
      <c r="G249" s="4"/>
      <c r="H249" s="6"/>
      <c r="I249" s="6" t="str">
        <f>iF('Ingest Template'!A249="Standard","Pristine Brand","Unknown")</f>
        <v>Unknown</v>
      </c>
      <c r="J249" s="4" t="str">
        <f>iF('Ingest Template'!A249="Standard","LF // Beverages","Competitive View")</f>
        <v>Competitive View</v>
      </c>
      <c r="K249" s="7" t="s">
        <v>35</v>
      </c>
      <c r="L249" s="8"/>
      <c r="M249" s="4"/>
      <c r="N249" s="4"/>
      <c r="O249" s="4"/>
      <c r="P249" s="4"/>
      <c r="Q249" s="4"/>
      <c r="R249" s="7" t="s">
        <v>36</v>
      </c>
      <c r="S249" s="4" t="str">
        <f>'Ingest Template'!J249</f>
        <v/>
      </c>
      <c r="T249" s="4" t="str">
        <f>'Ingest Template'!I249</f>
        <v/>
      </c>
      <c r="U249" s="4" t="str">
        <f>LOWER(SUBSTITUTE(SUBSTITUTE(SUBSTITUTE(SUBSTITUTE(SUBSTITUTE('Ingest Template'!K249,"https:",""),"www.",""),"/",""),"?hl=en",""),"instagram.com",""))</f>
        <v/>
      </c>
      <c r="V249" s="9" t="str">
        <f>'Ingest Template'!L249</f>
        <v/>
      </c>
      <c r="W249" s="9" t="str">
        <f>'Ingest Template'!M249</f>
        <v/>
      </c>
      <c r="X249" s="4" t="str">
        <f>SUBSTITUTE(SUBSTITUTE(SUBSTITUTE('Ingest Template'!N249,"http:",""),"https:",""),"/","")</f>
        <v/>
      </c>
      <c r="Y249" s="4" t="str">
        <f t="array" ref="Y249">IF('Ingest Template'!A249="Standard",(IF(ISBLANK('Ingest Template'!O249),"", 'Ingest Template'!O249&amp;"|DAR")),(IF(ISBLANK('Ingest Template'!O249),"", 'Ingest Template'!O249&amp;"|Film Ops")))</f>
        <v/>
      </c>
      <c r="Z249" s="4"/>
      <c r="AA249" s="4" t="str">
        <f>'Ingest Template'!E249</f>
        <v/>
      </c>
      <c r="AB249" s="7"/>
      <c r="AC249" s="4" t="str">
        <f t="array" ref="AC249">IF('Ingest Template'!A249="Standard",(CONCATENATE(IF(ISBLANK('Ingest Template'!F249),"", 'Ingest Template'!F249&amp;"|DAR"),CHAR(10), IF(ISBLANK('Ingest Template'!G249),"", 'Ingest Template'!G249&amp;"|DAR"),CHAR(10), IF(ISBLANK('Ingest Template'!H249),"", 'Ingest Template'!H249&amp;"|DAR"))),(CONCATENATE(IF(ISBLANK('Ingest Template'!F249),"", 'Ingest Template'!F249&amp;"|Film Ops"),CHAR(10), IF(ISBLANK('Ingest Template'!G249),"", 'Ingest Template'!G249&amp;"|Film Ops"),CHAR(10), IF(ISBLANK('Ingest Template'!H249),"", 'Ingest Template'!H249&amp;"|Film Ops"))))</f>
        <v>
</v>
      </c>
      <c r="AD249" s="4"/>
      <c r="AE249" s="4"/>
      <c r="AF249" s="10"/>
      <c r="AG249" s="4"/>
      <c r="AH249" s="4"/>
    </row>
    <row r="250">
      <c r="A250" s="4"/>
      <c r="B250" s="4" t="str">
        <f>'Ingest Template'!B250&amp;IF('Ingest Template'!A250 = "Standard", " - DAR","")</f>
        <v/>
      </c>
      <c r="C250" s="5" t="s">
        <v>34</v>
      </c>
      <c r="D250" s="5" t="str">
        <f>CONCATENATE('Ingest Template'!C250,'Ingest Template'!D250)</f>
        <v/>
      </c>
      <c r="E250" s="4"/>
      <c r="F250" s="4"/>
      <c r="G250" s="4"/>
      <c r="H250" s="6"/>
      <c r="I250" s="6" t="str">
        <f>iF('Ingest Template'!A250="Standard","Pristine Brand","Unknown")</f>
        <v>Unknown</v>
      </c>
      <c r="J250" s="4" t="str">
        <f>iF('Ingest Template'!A250="Standard","LF // Beverages","Competitive View")</f>
        <v>Competitive View</v>
      </c>
      <c r="K250" s="7" t="s">
        <v>35</v>
      </c>
      <c r="L250" s="8"/>
      <c r="M250" s="4"/>
      <c r="N250" s="4"/>
      <c r="O250" s="4"/>
      <c r="P250" s="4"/>
      <c r="Q250" s="4"/>
      <c r="R250" s="7" t="s">
        <v>36</v>
      </c>
      <c r="S250" s="4" t="str">
        <f>'Ingest Template'!J250</f>
        <v/>
      </c>
      <c r="T250" s="4" t="str">
        <f>'Ingest Template'!I250</f>
        <v/>
      </c>
      <c r="U250" s="4" t="str">
        <f>LOWER(SUBSTITUTE(SUBSTITUTE(SUBSTITUTE(SUBSTITUTE(SUBSTITUTE('Ingest Template'!K250,"https:",""),"www.",""),"/",""),"?hl=en",""),"instagram.com",""))</f>
        <v/>
      </c>
      <c r="V250" s="9" t="str">
        <f>'Ingest Template'!L250</f>
        <v/>
      </c>
      <c r="W250" s="9" t="str">
        <f>'Ingest Template'!M250</f>
        <v/>
      </c>
      <c r="X250" s="4" t="str">
        <f>SUBSTITUTE(SUBSTITUTE(SUBSTITUTE('Ingest Template'!N250,"http:",""),"https:",""),"/","")</f>
        <v/>
      </c>
      <c r="Y250" s="4" t="str">
        <f t="array" ref="Y250">IF('Ingest Template'!A250="Standard",(IF(ISBLANK('Ingest Template'!O250),"", 'Ingest Template'!O250&amp;"|DAR")),(IF(ISBLANK('Ingest Template'!O250),"", 'Ingest Template'!O250&amp;"|Film Ops")))</f>
        <v/>
      </c>
      <c r="Z250" s="4"/>
      <c r="AA250" s="4" t="str">
        <f>'Ingest Template'!E250</f>
        <v/>
      </c>
      <c r="AB250" s="7"/>
      <c r="AC250" s="4" t="str">
        <f t="array" ref="AC250">IF('Ingest Template'!A250="Standard",(CONCATENATE(IF(ISBLANK('Ingest Template'!F250),"", 'Ingest Template'!F250&amp;"|DAR"),CHAR(10), IF(ISBLANK('Ingest Template'!G250),"", 'Ingest Template'!G250&amp;"|DAR"),CHAR(10), IF(ISBLANK('Ingest Template'!H250),"", 'Ingest Template'!H250&amp;"|DAR"))),(CONCATENATE(IF(ISBLANK('Ingest Template'!F250),"", 'Ingest Template'!F250&amp;"|Film Ops"),CHAR(10), IF(ISBLANK('Ingest Template'!G250),"", 'Ingest Template'!G250&amp;"|Film Ops"),CHAR(10), IF(ISBLANK('Ingest Template'!H250),"", 'Ingest Template'!H250&amp;"|Film Ops"))))</f>
        <v>
</v>
      </c>
      <c r="AD250" s="4"/>
      <c r="AE250" s="4"/>
      <c r="AF250" s="10"/>
      <c r="AG250" s="4"/>
      <c r="AH250" s="4"/>
    </row>
    <row r="251">
      <c r="A251" s="4"/>
      <c r="B251" s="4" t="str">
        <f>'Ingest Template'!B251&amp;IF('Ingest Template'!A251 = "Standard", " - DAR","")</f>
        <v/>
      </c>
      <c r="C251" s="5" t="s">
        <v>34</v>
      </c>
      <c r="D251" s="5" t="str">
        <f>CONCATENATE('Ingest Template'!C251,'Ingest Template'!D251)</f>
        <v/>
      </c>
      <c r="E251" s="4"/>
      <c r="F251" s="4"/>
      <c r="G251" s="4"/>
      <c r="H251" s="6"/>
      <c r="I251" s="6" t="str">
        <f>iF('Ingest Template'!A251="Standard","Pristine Brand","Unknown")</f>
        <v>Unknown</v>
      </c>
      <c r="J251" s="4" t="str">
        <f>iF('Ingest Template'!A251="Standard","LF // Beverages","Competitive View")</f>
        <v>Competitive View</v>
      </c>
      <c r="K251" s="7" t="s">
        <v>35</v>
      </c>
      <c r="L251" s="8"/>
      <c r="M251" s="4"/>
      <c r="N251" s="4"/>
      <c r="O251" s="4"/>
      <c r="P251" s="4"/>
      <c r="Q251" s="4"/>
      <c r="R251" s="7" t="s">
        <v>36</v>
      </c>
      <c r="S251" s="4" t="str">
        <f>'Ingest Template'!J251</f>
        <v/>
      </c>
      <c r="T251" s="4" t="str">
        <f>'Ingest Template'!I251</f>
        <v/>
      </c>
      <c r="U251" s="4" t="str">
        <f>LOWER(SUBSTITUTE(SUBSTITUTE(SUBSTITUTE(SUBSTITUTE(SUBSTITUTE('Ingest Template'!K251,"https:",""),"www.",""),"/",""),"?hl=en",""),"instagram.com",""))</f>
        <v/>
      </c>
      <c r="V251" s="9" t="str">
        <f>'Ingest Template'!L251</f>
        <v/>
      </c>
      <c r="W251" s="9" t="str">
        <f>'Ingest Template'!M251</f>
        <v/>
      </c>
      <c r="X251" s="4" t="str">
        <f>SUBSTITUTE(SUBSTITUTE(SUBSTITUTE('Ingest Template'!N251,"http:",""),"https:",""),"/","")</f>
        <v/>
      </c>
      <c r="Y251" s="4" t="str">
        <f t="array" ref="Y251">IF('Ingest Template'!A251="Standard",(IF(ISBLANK('Ingest Template'!O251),"", 'Ingest Template'!O251&amp;"|DAR")),(IF(ISBLANK('Ingest Template'!O251),"", 'Ingest Template'!O251&amp;"|Film Ops")))</f>
        <v/>
      </c>
      <c r="Z251" s="4"/>
      <c r="AA251" s="4" t="str">
        <f>'Ingest Template'!E251</f>
        <v/>
      </c>
      <c r="AB251" s="7"/>
      <c r="AC251" s="4" t="str">
        <f t="array" ref="AC251">IF('Ingest Template'!A251="Standard",(CONCATENATE(IF(ISBLANK('Ingest Template'!F251),"", 'Ingest Template'!F251&amp;"|DAR"),CHAR(10), IF(ISBLANK('Ingest Template'!G251),"", 'Ingest Template'!G251&amp;"|DAR"),CHAR(10), IF(ISBLANK('Ingest Template'!H251),"", 'Ingest Template'!H251&amp;"|DAR"))),(CONCATENATE(IF(ISBLANK('Ingest Template'!F251),"", 'Ingest Template'!F251&amp;"|Film Ops"),CHAR(10), IF(ISBLANK('Ingest Template'!G251),"", 'Ingest Template'!G251&amp;"|Film Ops"),CHAR(10), IF(ISBLANK('Ingest Template'!H251),"", 'Ingest Template'!H251&amp;"|Film Ops"))))</f>
        <v>
</v>
      </c>
      <c r="AD251" s="4"/>
      <c r="AE251" s="4"/>
      <c r="AF251" s="10"/>
      <c r="AG251" s="4"/>
      <c r="AH251" s="4"/>
    </row>
    <row r="252">
      <c r="A252" s="4"/>
      <c r="B252" s="4" t="str">
        <f>'Ingest Template'!B252&amp;IF('Ingest Template'!A252 = "Standard", " - DAR","")</f>
        <v/>
      </c>
      <c r="C252" s="5" t="s">
        <v>34</v>
      </c>
      <c r="D252" s="5" t="str">
        <f>CONCATENATE('Ingest Template'!C252,'Ingest Template'!D252)</f>
        <v/>
      </c>
      <c r="E252" s="4"/>
      <c r="F252" s="4"/>
      <c r="G252" s="4"/>
      <c r="H252" s="6"/>
      <c r="I252" s="6" t="str">
        <f>iF('Ingest Template'!A252="Standard","Pristine Brand","Unknown")</f>
        <v>Unknown</v>
      </c>
      <c r="J252" s="4" t="str">
        <f>iF('Ingest Template'!A252="Standard","LF // Beverages","Competitive View")</f>
        <v>Competitive View</v>
      </c>
      <c r="K252" s="7" t="s">
        <v>35</v>
      </c>
      <c r="L252" s="8"/>
      <c r="M252" s="4"/>
      <c r="N252" s="4"/>
      <c r="O252" s="4"/>
      <c r="P252" s="4"/>
      <c r="Q252" s="4"/>
      <c r="R252" s="7" t="s">
        <v>36</v>
      </c>
      <c r="S252" s="4" t="str">
        <f>'Ingest Template'!J252</f>
        <v/>
      </c>
      <c r="T252" s="4" t="str">
        <f>'Ingest Template'!I252</f>
        <v/>
      </c>
      <c r="U252" s="4" t="str">
        <f>LOWER(SUBSTITUTE(SUBSTITUTE(SUBSTITUTE(SUBSTITUTE(SUBSTITUTE('Ingest Template'!K252,"https:",""),"www.",""),"/",""),"?hl=en",""),"instagram.com",""))</f>
        <v/>
      </c>
      <c r="V252" s="9" t="str">
        <f>'Ingest Template'!L252</f>
        <v/>
      </c>
      <c r="W252" s="9" t="str">
        <f>'Ingest Template'!M252</f>
        <v/>
      </c>
      <c r="X252" s="4" t="str">
        <f>SUBSTITUTE(SUBSTITUTE(SUBSTITUTE('Ingest Template'!N252,"http:",""),"https:",""),"/","")</f>
        <v/>
      </c>
      <c r="Y252" s="4" t="str">
        <f t="array" ref="Y252">IF('Ingest Template'!A252="Standard",(IF(ISBLANK('Ingest Template'!O252),"", 'Ingest Template'!O252&amp;"|DAR")),(IF(ISBLANK('Ingest Template'!O252),"", 'Ingest Template'!O252&amp;"|Film Ops")))</f>
        <v/>
      </c>
      <c r="Z252" s="4"/>
      <c r="AA252" s="4" t="str">
        <f>'Ingest Template'!E252</f>
        <v/>
      </c>
      <c r="AB252" s="7"/>
      <c r="AC252" s="4" t="str">
        <f t="array" ref="AC252">IF('Ingest Template'!A252="Standard",(CONCATENATE(IF(ISBLANK('Ingest Template'!F252),"", 'Ingest Template'!F252&amp;"|DAR"),CHAR(10), IF(ISBLANK('Ingest Template'!G252),"", 'Ingest Template'!G252&amp;"|DAR"),CHAR(10), IF(ISBLANK('Ingest Template'!H252),"", 'Ingest Template'!H252&amp;"|DAR"))),(CONCATENATE(IF(ISBLANK('Ingest Template'!F252),"", 'Ingest Template'!F252&amp;"|Film Ops"),CHAR(10), IF(ISBLANK('Ingest Template'!G252),"", 'Ingest Template'!G252&amp;"|Film Ops"),CHAR(10), IF(ISBLANK('Ingest Template'!H252),"", 'Ingest Template'!H252&amp;"|Film Ops"))))</f>
        <v>
</v>
      </c>
      <c r="AD252" s="4"/>
      <c r="AE252" s="4"/>
      <c r="AF252" s="10"/>
      <c r="AG252" s="4"/>
      <c r="AH252" s="4"/>
    </row>
    <row r="253">
      <c r="A253" s="4"/>
      <c r="B253" s="4" t="str">
        <f>'Ingest Template'!B253&amp;IF('Ingest Template'!A253 = "Standard", " - DAR","")</f>
        <v/>
      </c>
      <c r="C253" s="5" t="s">
        <v>34</v>
      </c>
      <c r="D253" s="5" t="str">
        <f>CONCATENATE('Ingest Template'!C253,'Ingest Template'!D253)</f>
        <v/>
      </c>
      <c r="E253" s="4"/>
      <c r="F253" s="4"/>
      <c r="G253" s="4"/>
      <c r="H253" s="6"/>
      <c r="I253" s="6" t="str">
        <f>iF('Ingest Template'!A253="Standard","Pristine Brand","Unknown")</f>
        <v>Unknown</v>
      </c>
      <c r="J253" s="4" t="str">
        <f>iF('Ingest Template'!A253="Standard","LF // Beverages","Competitive View")</f>
        <v>Competitive View</v>
      </c>
      <c r="K253" s="7" t="s">
        <v>35</v>
      </c>
      <c r="L253" s="8"/>
      <c r="M253" s="4"/>
      <c r="N253" s="4"/>
      <c r="O253" s="4"/>
      <c r="P253" s="4"/>
      <c r="Q253" s="4"/>
      <c r="R253" s="7" t="s">
        <v>36</v>
      </c>
      <c r="S253" s="4" t="str">
        <f>'Ingest Template'!J253</f>
        <v/>
      </c>
      <c r="T253" s="4" t="str">
        <f>'Ingest Template'!I253</f>
        <v/>
      </c>
      <c r="U253" s="4" t="str">
        <f>LOWER(SUBSTITUTE(SUBSTITUTE(SUBSTITUTE(SUBSTITUTE(SUBSTITUTE('Ingest Template'!K253,"https:",""),"www.",""),"/",""),"?hl=en",""),"instagram.com",""))</f>
        <v/>
      </c>
      <c r="V253" s="9" t="str">
        <f>'Ingest Template'!L253</f>
        <v/>
      </c>
      <c r="W253" s="9" t="str">
        <f>'Ingest Template'!M253</f>
        <v/>
      </c>
      <c r="X253" s="4" t="str">
        <f>SUBSTITUTE(SUBSTITUTE(SUBSTITUTE('Ingest Template'!N253,"http:",""),"https:",""),"/","")</f>
        <v/>
      </c>
      <c r="Y253" s="4" t="str">
        <f t="array" ref="Y253">IF('Ingest Template'!A253="Standard",(IF(ISBLANK('Ingest Template'!O253),"", 'Ingest Template'!O253&amp;"|DAR")),(IF(ISBLANK('Ingest Template'!O253),"", 'Ingest Template'!O253&amp;"|Film Ops")))</f>
        <v/>
      </c>
      <c r="Z253" s="4"/>
      <c r="AA253" s="4" t="str">
        <f>'Ingest Template'!E253</f>
        <v/>
      </c>
      <c r="AB253" s="7"/>
      <c r="AC253" s="4" t="str">
        <f t="array" ref="AC253">IF('Ingest Template'!A253="Standard",(CONCATENATE(IF(ISBLANK('Ingest Template'!F253),"", 'Ingest Template'!F253&amp;"|DAR"),CHAR(10), IF(ISBLANK('Ingest Template'!G253),"", 'Ingest Template'!G253&amp;"|DAR"),CHAR(10), IF(ISBLANK('Ingest Template'!H253),"", 'Ingest Template'!H253&amp;"|DAR"))),(CONCATENATE(IF(ISBLANK('Ingest Template'!F253),"", 'Ingest Template'!F253&amp;"|Film Ops"),CHAR(10), IF(ISBLANK('Ingest Template'!G253),"", 'Ingest Template'!G253&amp;"|Film Ops"),CHAR(10), IF(ISBLANK('Ingest Template'!H253),"", 'Ingest Template'!H253&amp;"|Film Ops"))))</f>
        <v>
</v>
      </c>
      <c r="AD253" s="4"/>
      <c r="AE253" s="4"/>
      <c r="AF253" s="10"/>
      <c r="AG253" s="4"/>
      <c r="AH253" s="4"/>
    </row>
    <row r="254">
      <c r="A254" s="4"/>
      <c r="B254" s="4" t="str">
        <f>'Ingest Template'!B254&amp;IF('Ingest Template'!A254 = "Standard", " - DAR","")</f>
        <v/>
      </c>
      <c r="C254" s="5" t="s">
        <v>34</v>
      </c>
      <c r="D254" s="5" t="str">
        <f>CONCATENATE('Ingest Template'!C254,'Ingest Template'!D254)</f>
        <v/>
      </c>
      <c r="E254" s="4"/>
      <c r="F254" s="4"/>
      <c r="G254" s="4"/>
      <c r="H254" s="6"/>
      <c r="I254" s="6" t="str">
        <f>iF('Ingest Template'!A254="Standard","Pristine Brand","Unknown")</f>
        <v>Unknown</v>
      </c>
      <c r="J254" s="4" t="str">
        <f>iF('Ingest Template'!A254="Standard","LF // Beverages","Competitive View")</f>
        <v>Competitive View</v>
      </c>
      <c r="K254" s="7" t="s">
        <v>35</v>
      </c>
      <c r="L254" s="8"/>
      <c r="M254" s="4"/>
      <c r="N254" s="4"/>
      <c r="O254" s="4"/>
      <c r="P254" s="4"/>
      <c r="Q254" s="4"/>
      <c r="R254" s="7" t="s">
        <v>36</v>
      </c>
      <c r="S254" s="4" t="str">
        <f>'Ingest Template'!J254</f>
        <v/>
      </c>
      <c r="T254" s="4" t="str">
        <f>'Ingest Template'!I254</f>
        <v/>
      </c>
      <c r="U254" s="4" t="str">
        <f>LOWER(SUBSTITUTE(SUBSTITUTE(SUBSTITUTE(SUBSTITUTE(SUBSTITUTE('Ingest Template'!K254,"https:",""),"www.",""),"/",""),"?hl=en",""),"instagram.com",""))</f>
        <v/>
      </c>
      <c r="V254" s="9" t="str">
        <f>'Ingest Template'!L254</f>
        <v/>
      </c>
      <c r="W254" s="9" t="str">
        <f>'Ingest Template'!M254</f>
        <v/>
      </c>
      <c r="X254" s="4" t="str">
        <f>SUBSTITUTE(SUBSTITUTE(SUBSTITUTE('Ingest Template'!N254,"http:",""),"https:",""),"/","")</f>
        <v/>
      </c>
      <c r="Y254" s="4" t="str">
        <f t="array" ref="Y254">IF('Ingest Template'!A254="Standard",(IF(ISBLANK('Ingest Template'!O254),"", 'Ingest Template'!O254&amp;"|DAR")),(IF(ISBLANK('Ingest Template'!O254),"", 'Ingest Template'!O254&amp;"|Film Ops")))</f>
        <v/>
      </c>
      <c r="Z254" s="4"/>
      <c r="AA254" s="4" t="str">
        <f>'Ingest Template'!E254</f>
        <v/>
      </c>
      <c r="AB254" s="7"/>
      <c r="AC254" s="4" t="str">
        <f t="array" ref="AC254">IF('Ingest Template'!A254="Standard",(CONCATENATE(IF(ISBLANK('Ingest Template'!F254),"", 'Ingest Template'!F254&amp;"|DAR"),CHAR(10), IF(ISBLANK('Ingest Template'!G254),"", 'Ingest Template'!G254&amp;"|DAR"),CHAR(10), IF(ISBLANK('Ingest Template'!H254),"", 'Ingest Template'!H254&amp;"|DAR"))),(CONCATENATE(IF(ISBLANK('Ingest Template'!F254),"", 'Ingest Template'!F254&amp;"|Film Ops"),CHAR(10), IF(ISBLANK('Ingest Template'!G254),"", 'Ingest Template'!G254&amp;"|Film Ops"),CHAR(10), IF(ISBLANK('Ingest Template'!H254),"", 'Ingest Template'!H254&amp;"|Film Ops"))))</f>
        <v>
</v>
      </c>
      <c r="AD254" s="4"/>
      <c r="AE254" s="4"/>
      <c r="AF254" s="10"/>
      <c r="AG254" s="4"/>
      <c r="AH254" s="4"/>
    </row>
    <row r="255">
      <c r="A255" s="4"/>
      <c r="B255" s="4" t="str">
        <f>'Ingest Template'!B255&amp;IF('Ingest Template'!A255 = "Standard", " - DAR","")</f>
        <v/>
      </c>
      <c r="C255" s="5" t="s">
        <v>34</v>
      </c>
      <c r="D255" s="5" t="str">
        <f>CONCATENATE('Ingest Template'!C255,'Ingest Template'!D255)</f>
        <v/>
      </c>
      <c r="E255" s="4"/>
      <c r="F255" s="4"/>
      <c r="G255" s="4"/>
      <c r="H255" s="6"/>
      <c r="I255" s="6" t="str">
        <f>iF('Ingest Template'!A255="Standard","Pristine Brand","Unknown")</f>
        <v>Unknown</v>
      </c>
      <c r="J255" s="4" t="str">
        <f>iF('Ingest Template'!A255="Standard","LF // Beverages","Competitive View")</f>
        <v>Competitive View</v>
      </c>
      <c r="K255" s="7" t="s">
        <v>35</v>
      </c>
      <c r="L255" s="8"/>
      <c r="M255" s="4"/>
      <c r="N255" s="4"/>
      <c r="O255" s="4"/>
      <c r="P255" s="4"/>
      <c r="Q255" s="4"/>
      <c r="R255" s="7" t="s">
        <v>36</v>
      </c>
      <c r="S255" s="4" t="str">
        <f>'Ingest Template'!J255</f>
        <v/>
      </c>
      <c r="T255" s="4" t="str">
        <f>'Ingest Template'!I255</f>
        <v/>
      </c>
      <c r="U255" s="4" t="str">
        <f>LOWER(SUBSTITUTE(SUBSTITUTE(SUBSTITUTE(SUBSTITUTE(SUBSTITUTE('Ingest Template'!K255,"https:",""),"www.",""),"/",""),"?hl=en",""),"instagram.com",""))</f>
        <v/>
      </c>
      <c r="V255" s="9" t="str">
        <f>'Ingest Template'!L255</f>
        <v/>
      </c>
      <c r="W255" s="9" t="str">
        <f>'Ingest Template'!M255</f>
        <v/>
      </c>
      <c r="X255" s="4" t="str">
        <f>SUBSTITUTE(SUBSTITUTE(SUBSTITUTE('Ingest Template'!N255,"http:",""),"https:",""),"/","")</f>
        <v/>
      </c>
      <c r="Y255" s="4" t="str">
        <f t="array" ref="Y255">IF('Ingest Template'!A255="Standard",(IF(ISBLANK('Ingest Template'!O255),"", 'Ingest Template'!O255&amp;"|DAR")),(IF(ISBLANK('Ingest Template'!O255),"", 'Ingest Template'!O255&amp;"|Film Ops")))</f>
        <v/>
      </c>
      <c r="Z255" s="4"/>
      <c r="AA255" s="4" t="str">
        <f>'Ingest Template'!E255</f>
        <v/>
      </c>
      <c r="AB255" s="7"/>
      <c r="AC255" s="4" t="str">
        <f t="array" ref="AC255">IF('Ingest Template'!A255="Standard",(CONCATENATE(IF(ISBLANK('Ingest Template'!F255),"", 'Ingest Template'!F255&amp;"|DAR"),CHAR(10), IF(ISBLANK('Ingest Template'!G255),"", 'Ingest Template'!G255&amp;"|DAR"),CHAR(10), IF(ISBLANK('Ingest Template'!H255),"", 'Ingest Template'!H255&amp;"|DAR"))),(CONCATENATE(IF(ISBLANK('Ingest Template'!F255),"", 'Ingest Template'!F255&amp;"|Film Ops"),CHAR(10), IF(ISBLANK('Ingest Template'!G255),"", 'Ingest Template'!G255&amp;"|Film Ops"),CHAR(10), IF(ISBLANK('Ingest Template'!H255),"", 'Ingest Template'!H255&amp;"|Film Ops"))))</f>
        <v>
</v>
      </c>
      <c r="AD255" s="4"/>
      <c r="AE255" s="4"/>
      <c r="AF255" s="10"/>
      <c r="AG255" s="4"/>
      <c r="AH255" s="4"/>
    </row>
    <row r="256">
      <c r="A256" s="4"/>
      <c r="B256" s="4" t="str">
        <f>'Ingest Template'!B256&amp;IF('Ingest Template'!A256 = "Standard", " - DAR","")</f>
        <v/>
      </c>
      <c r="C256" s="5" t="s">
        <v>34</v>
      </c>
      <c r="D256" s="5" t="str">
        <f>CONCATENATE('Ingest Template'!C256,'Ingest Template'!D256)</f>
        <v/>
      </c>
      <c r="E256" s="4"/>
      <c r="F256" s="4"/>
      <c r="G256" s="4"/>
      <c r="H256" s="6"/>
      <c r="I256" s="6" t="str">
        <f>iF('Ingest Template'!A256="Standard","Pristine Brand","Unknown")</f>
        <v>Unknown</v>
      </c>
      <c r="J256" s="4" t="str">
        <f>iF('Ingest Template'!A256="Standard","LF // Beverages","Competitive View")</f>
        <v>Competitive View</v>
      </c>
      <c r="K256" s="7" t="s">
        <v>35</v>
      </c>
      <c r="L256" s="8"/>
      <c r="M256" s="4"/>
      <c r="N256" s="4"/>
      <c r="O256" s="4"/>
      <c r="P256" s="4"/>
      <c r="Q256" s="4"/>
      <c r="R256" s="7" t="s">
        <v>36</v>
      </c>
      <c r="S256" s="4" t="str">
        <f>'Ingest Template'!J256</f>
        <v/>
      </c>
      <c r="T256" s="4" t="str">
        <f>'Ingest Template'!I256</f>
        <v/>
      </c>
      <c r="U256" s="4" t="str">
        <f>LOWER(SUBSTITUTE(SUBSTITUTE(SUBSTITUTE(SUBSTITUTE(SUBSTITUTE('Ingest Template'!K256,"https:",""),"www.",""),"/",""),"?hl=en",""),"instagram.com",""))</f>
        <v/>
      </c>
      <c r="V256" s="9" t="str">
        <f>'Ingest Template'!L256</f>
        <v/>
      </c>
      <c r="W256" s="9" t="str">
        <f>'Ingest Template'!M256</f>
        <v/>
      </c>
      <c r="X256" s="4" t="str">
        <f>SUBSTITUTE(SUBSTITUTE(SUBSTITUTE('Ingest Template'!N256,"http:",""),"https:",""),"/","")</f>
        <v/>
      </c>
      <c r="Y256" s="4" t="str">
        <f t="array" ref="Y256">IF('Ingest Template'!A256="Standard",(IF(ISBLANK('Ingest Template'!O256),"", 'Ingest Template'!O256&amp;"|DAR")),(IF(ISBLANK('Ingest Template'!O256),"", 'Ingest Template'!O256&amp;"|Film Ops")))</f>
        <v/>
      </c>
      <c r="Z256" s="4"/>
      <c r="AA256" s="4" t="str">
        <f>'Ingest Template'!E256</f>
        <v/>
      </c>
      <c r="AB256" s="7"/>
      <c r="AC256" s="4" t="str">
        <f t="array" ref="AC256">IF('Ingest Template'!A256="Standard",(CONCATENATE(IF(ISBLANK('Ingest Template'!F256),"", 'Ingest Template'!F256&amp;"|DAR"),CHAR(10), IF(ISBLANK('Ingest Template'!G256),"", 'Ingest Template'!G256&amp;"|DAR"),CHAR(10), IF(ISBLANK('Ingest Template'!H256),"", 'Ingest Template'!H256&amp;"|DAR"))),(CONCATENATE(IF(ISBLANK('Ingest Template'!F256),"", 'Ingest Template'!F256&amp;"|Film Ops"),CHAR(10), IF(ISBLANK('Ingest Template'!G256),"", 'Ingest Template'!G256&amp;"|Film Ops"),CHAR(10), IF(ISBLANK('Ingest Template'!H256),"", 'Ingest Template'!H256&amp;"|Film Ops"))))</f>
        <v>
</v>
      </c>
      <c r="AD256" s="4"/>
      <c r="AE256" s="4"/>
      <c r="AF256" s="10"/>
      <c r="AG256" s="4"/>
      <c r="AH256" s="4"/>
    </row>
    <row r="257">
      <c r="A257" s="4"/>
      <c r="B257" s="4" t="str">
        <f>'Ingest Template'!B257&amp;IF('Ingest Template'!A257 = "Standard", " - DAR","")</f>
        <v/>
      </c>
      <c r="C257" s="5" t="s">
        <v>34</v>
      </c>
      <c r="D257" s="5" t="str">
        <f>CONCATENATE('Ingest Template'!C257,'Ingest Template'!D257)</f>
        <v/>
      </c>
      <c r="E257" s="4"/>
      <c r="F257" s="4"/>
      <c r="G257" s="4"/>
      <c r="H257" s="6"/>
      <c r="I257" s="6" t="str">
        <f>iF('Ingest Template'!A257="Standard","Pristine Brand","Unknown")</f>
        <v>Unknown</v>
      </c>
      <c r="J257" s="4" t="str">
        <f>iF('Ingest Template'!A257="Standard","LF // Beverages","Competitive View")</f>
        <v>Competitive View</v>
      </c>
      <c r="K257" s="7" t="s">
        <v>35</v>
      </c>
      <c r="L257" s="8"/>
      <c r="M257" s="4"/>
      <c r="N257" s="4"/>
      <c r="O257" s="4"/>
      <c r="P257" s="4"/>
      <c r="Q257" s="4"/>
      <c r="R257" s="7" t="s">
        <v>36</v>
      </c>
      <c r="S257" s="4" t="str">
        <f>'Ingest Template'!J257</f>
        <v/>
      </c>
      <c r="T257" s="4" t="str">
        <f>'Ingest Template'!I257</f>
        <v/>
      </c>
      <c r="U257" s="4" t="str">
        <f>LOWER(SUBSTITUTE(SUBSTITUTE(SUBSTITUTE(SUBSTITUTE(SUBSTITUTE('Ingest Template'!K257,"https:",""),"www.",""),"/",""),"?hl=en",""),"instagram.com",""))</f>
        <v/>
      </c>
      <c r="V257" s="9" t="str">
        <f>'Ingest Template'!L257</f>
        <v/>
      </c>
      <c r="W257" s="9" t="str">
        <f>'Ingest Template'!M257</f>
        <v/>
      </c>
      <c r="X257" s="4" t="str">
        <f>SUBSTITUTE(SUBSTITUTE(SUBSTITUTE('Ingest Template'!N257,"http:",""),"https:",""),"/","")</f>
        <v/>
      </c>
      <c r="Y257" s="4" t="str">
        <f t="array" ref="Y257">IF('Ingest Template'!A257="Standard",(IF(ISBLANK('Ingest Template'!O257),"", 'Ingest Template'!O257&amp;"|DAR")),(IF(ISBLANK('Ingest Template'!O257),"", 'Ingest Template'!O257&amp;"|Film Ops")))</f>
        <v/>
      </c>
      <c r="Z257" s="4"/>
      <c r="AA257" s="4" t="str">
        <f>'Ingest Template'!E257</f>
        <v/>
      </c>
      <c r="AB257" s="7"/>
      <c r="AC257" s="4" t="str">
        <f t="array" ref="AC257">IF('Ingest Template'!A257="Standard",(CONCATENATE(IF(ISBLANK('Ingest Template'!F257),"", 'Ingest Template'!F257&amp;"|DAR"),CHAR(10), IF(ISBLANK('Ingest Template'!G257),"", 'Ingest Template'!G257&amp;"|DAR"),CHAR(10), IF(ISBLANK('Ingest Template'!H257),"", 'Ingest Template'!H257&amp;"|DAR"))),(CONCATENATE(IF(ISBLANK('Ingest Template'!F257),"", 'Ingest Template'!F257&amp;"|Film Ops"),CHAR(10), IF(ISBLANK('Ingest Template'!G257),"", 'Ingest Template'!G257&amp;"|Film Ops"),CHAR(10), IF(ISBLANK('Ingest Template'!H257),"", 'Ingest Template'!H257&amp;"|Film Ops"))))</f>
        <v>
</v>
      </c>
      <c r="AD257" s="4"/>
      <c r="AE257" s="4"/>
      <c r="AF257" s="10"/>
      <c r="AG257" s="4"/>
      <c r="AH257" s="4"/>
    </row>
    <row r="258">
      <c r="A258" s="4"/>
      <c r="B258" s="4" t="str">
        <f>'Ingest Template'!B258&amp;IF('Ingest Template'!A258 = "Standard", " - DAR","")</f>
        <v/>
      </c>
      <c r="C258" s="5" t="s">
        <v>34</v>
      </c>
      <c r="D258" s="5" t="str">
        <f>CONCATENATE('Ingest Template'!C258,'Ingest Template'!D258)</f>
        <v/>
      </c>
      <c r="E258" s="4"/>
      <c r="F258" s="4"/>
      <c r="G258" s="4"/>
      <c r="H258" s="6"/>
      <c r="I258" s="6" t="str">
        <f>iF('Ingest Template'!A258="Standard","Pristine Brand","Unknown")</f>
        <v>Unknown</v>
      </c>
      <c r="J258" s="4" t="str">
        <f>iF('Ingest Template'!A258="Standard","LF // Beverages","Competitive View")</f>
        <v>Competitive View</v>
      </c>
      <c r="K258" s="7" t="s">
        <v>35</v>
      </c>
      <c r="L258" s="8"/>
      <c r="M258" s="4"/>
      <c r="N258" s="4"/>
      <c r="O258" s="4"/>
      <c r="P258" s="4"/>
      <c r="Q258" s="4"/>
      <c r="R258" s="7" t="s">
        <v>36</v>
      </c>
      <c r="S258" s="4" t="str">
        <f>'Ingest Template'!J258</f>
        <v/>
      </c>
      <c r="T258" s="4" t="str">
        <f>'Ingest Template'!I258</f>
        <v/>
      </c>
      <c r="U258" s="4" t="str">
        <f>LOWER(SUBSTITUTE(SUBSTITUTE(SUBSTITUTE(SUBSTITUTE(SUBSTITUTE('Ingest Template'!K258,"https:",""),"www.",""),"/",""),"?hl=en",""),"instagram.com",""))</f>
        <v/>
      </c>
      <c r="V258" s="9" t="str">
        <f>'Ingest Template'!L258</f>
        <v/>
      </c>
      <c r="W258" s="9" t="str">
        <f>'Ingest Template'!M258</f>
        <v/>
      </c>
      <c r="X258" s="4" t="str">
        <f>SUBSTITUTE(SUBSTITUTE(SUBSTITUTE('Ingest Template'!N258,"http:",""),"https:",""),"/","")</f>
        <v/>
      </c>
      <c r="Y258" s="4" t="str">
        <f t="array" ref="Y258">IF('Ingest Template'!A258="Standard",(IF(ISBLANK('Ingest Template'!O258),"", 'Ingest Template'!O258&amp;"|DAR")),(IF(ISBLANK('Ingest Template'!O258),"", 'Ingest Template'!O258&amp;"|Film Ops")))</f>
        <v/>
      </c>
      <c r="Z258" s="4"/>
      <c r="AA258" s="4" t="str">
        <f>'Ingest Template'!E258</f>
        <v/>
      </c>
      <c r="AB258" s="7"/>
      <c r="AC258" s="4" t="str">
        <f t="array" ref="AC258">IF('Ingest Template'!A258="Standard",(CONCATENATE(IF(ISBLANK('Ingest Template'!F258),"", 'Ingest Template'!F258&amp;"|DAR"),CHAR(10), IF(ISBLANK('Ingest Template'!G258),"", 'Ingest Template'!G258&amp;"|DAR"),CHAR(10), IF(ISBLANK('Ingest Template'!H258),"", 'Ingest Template'!H258&amp;"|DAR"))),(CONCATENATE(IF(ISBLANK('Ingest Template'!F258),"", 'Ingest Template'!F258&amp;"|Film Ops"),CHAR(10), IF(ISBLANK('Ingest Template'!G258),"", 'Ingest Template'!G258&amp;"|Film Ops"),CHAR(10), IF(ISBLANK('Ingest Template'!H258),"", 'Ingest Template'!H258&amp;"|Film Ops"))))</f>
        <v>
</v>
      </c>
      <c r="AD258" s="4"/>
      <c r="AE258" s="4"/>
      <c r="AF258" s="10"/>
      <c r="AG258" s="4"/>
      <c r="AH258" s="4"/>
    </row>
    <row r="259">
      <c r="A259" s="4"/>
      <c r="B259" s="4" t="str">
        <f>'Ingest Template'!B259&amp;IF('Ingest Template'!A259 = "Standard", " - DAR","")</f>
        <v/>
      </c>
      <c r="C259" s="5" t="s">
        <v>34</v>
      </c>
      <c r="D259" s="5" t="str">
        <f>CONCATENATE('Ingest Template'!C259,'Ingest Template'!D259)</f>
        <v/>
      </c>
      <c r="E259" s="4"/>
      <c r="F259" s="4"/>
      <c r="G259" s="4"/>
      <c r="H259" s="6"/>
      <c r="I259" s="6" t="str">
        <f>iF('Ingest Template'!A259="Standard","Pristine Brand","Unknown")</f>
        <v>Unknown</v>
      </c>
      <c r="J259" s="4" t="str">
        <f>iF('Ingest Template'!A259="Standard","LF // Beverages","Competitive View")</f>
        <v>Competitive View</v>
      </c>
      <c r="K259" s="7" t="s">
        <v>35</v>
      </c>
      <c r="L259" s="8"/>
      <c r="M259" s="4"/>
      <c r="N259" s="4"/>
      <c r="O259" s="4"/>
      <c r="P259" s="4"/>
      <c r="Q259" s="4"/>
      <c r="R259" s="7" t="s">
        <v>36</v>
      </c>
      <c r="S259" s="4" t="str">
        <f>'Ingest Template'!J259</f>
        <v/>
      </c>
      <c r="T259" s="4" t="str">
        <f>'Ingest Template'!I259</f>
        <v/>
      </c>
      <c r="U259" s="4" t="str">
        <f>LOWER(SUBSTITUTE(SUBSTITUTE(SUBSTITUTE(SUBSTITUTE(SUBSTITUTE('Ingest Template'!K259,"https:",""),"www.",""),"/",""),"?hl=en",""),"instagram.com",""))</f>
        <v/>
      </c>
      <c r="V259" s="9" t="str">
        <f>'Ingest Template'!L259</f>
        <v/>
      </c>
      <c r="W259" s="9" t="str">
        <f>'Ingest Template'!M259</f>
        <v/>
      </c>
      <c r="X259" s="4" t="str">
        <f>SUBSTITUTE(SUBSTITUTE(SUBSTITUTE('Ingest Template'!N259,"http:",""),"https:",""),"/","")</f>
        <v/>
      </c>
      <c r="Y259" s="4" t="str">
        <f t="array" ref="Y259">IF('Ingest Template'!A259="Standard",(IF(ISBLANK('Ingest Template'!O259),"", 'Ingest Template'!O259&amp;"|DAR")),(IF(ISBLANK('Ingest Template'!O259),"", 'Ingest Template'!O259&amp;"|Film Ops")))</f>
        <v/>
      </c>
      <c r="Z259" s="4"/>
      <c r="AA259" s="4" t="str">
        <f>'Ingest Template'!E259</f>
        <v/>
      </c>
      <c r="AB259" s="7"/>
      <c r="AC259" s="4" t="str">
        <f t="array" ref="AC259">IF('Ingest Template'!A259="Standard",(CONCATENATE(IF(ISBLANK('Ingest Template'!F259),"", 'Ingest Template'!F259&amp;"|DAR"),CHAR(10), IF(ISBLANK('Ingest Template'!G259),"", 'Ingest Template'!G259&amp;"|DAR"),CHAR(10), IF(ISBLANK('Ingest Template'!H259),"", 'Ingest Template'!H259&amp;"|DAR"))),(CONCATENATE(IF(ISBLANK('Ingest Template'!F259),"", 'Ingest Template'!F259&amp;"|Film Ops"),CHAR(10), IF(ISBLANK('Ingest Template'!G259),"", 'Ingest Template'!G259&amp;"|Film Ops"),CHAR(10), IF(ISBLANK('Ingest Template'!H259),"", 'Ingest Template'!H259&amp;"|Film Ops"))))</f>
        <v>
</v>
      </c>
      <c r="AD259" s="4"/>
      <c r="AE259" s="4"/>
      <c r="AF259" s="10"/>
      <c r="AG259" s="4"/>
      <c r="AH259" s="4"/>
    </row>
    <row r="260">
      <c r="A260" s="4"/>
      <c r="B260" s="4" t="str">
        <f>'Ingest Template'!B260&amp;IF('Ingest Template'!A260 = "Standard", " - DAR","")</f>
        <v/>
      </c>
      <c r="C260" s="5" t="s">
        <v>34</v>
      </c>
      <c r="D260" s="5" t="str">
        <f>CONCATENATE('Ingest Template'!C260,'Ingest Template'!D260)</f>
        <v/>
      </c>
      <c r="E260" s="4"/>
      <c r="F260" s="4"/>
      <c r="G260" s="4"/>
      <c r="H260" s="6"/>
      <c r="I260" s="6" t="str">
        <f>iF('Ingest Template'!A260="Standard","Pristine Brand","Unknown")</f>
        <v>Unknown</v>
      </c>
      <c r="J260" s="4" t="str">
        <f>iF('Ingest Template'!A260="Standard","LF // Beverages","Competitive View")</f>
        <v>Competitive View</v>
      </c>
      <c r="K260" s="7" t="s">
        <v>35</v>
      </c>
      <c r="L260" s="8"/>
      <c r="M260" s="4"/>
      <c r="N260" s="4"/>
      <c r="O260" s="4"/>
      <c r="P260" s="4"/>
      <c r="Q260" s="4"/>
      <c r="R260" s="7" t="s">
        <v>36</v>
      </c>
      <c r="S260" s="4" t="str">
        <f>'Ingest Template'!J260</f>
        <v/>
      </c>
      <c r="T260" s="4" t="str">
        <f>'Ingest Template'!I260</f>
        <v/>
      </c>
      <c r="U260" s="4" t="str">
        <f>LOWER(SUBSTITUTE(SUBSTITUTE(SUBSTITUTE(SUBSTITUTE(SUBSTITUTE('Ingest Template'!K260,"https:",""),"www.",""),"/",""),"?hl=en",""),"instagram.com",""))</f>
        <v/>
      </c>
      <c r="V260" s="9" t="str">
        <f>'Ingest Template'!L260</f>
        <v/>
      </c>
      <c r="W260" s="9" t="str">
        <f>'Ingest Template'!M260</f>
        <v/>
      </c>
      <c r="X260" s="4" t="str">
        <f>SUBSTITUTE(SUBSTITUTE(SUBSTITUTE('Ingest Template'!N260,"http:",""),"https:",""),"/","")</f>
        <v/>
      </c>
      <c r="Y260" s="4" t="str">
        <f t="array" ref="Y260">IF('Ingest Template'!A260="Standard",(IF(ISBLANK('Ingest Template'!O260),"", 'Ingest Template'!O260&amp;"|DAR")),(IF(ISBLANK('Ingest Template'!O260),"", 'Ingest Template'!O260&amp;"|Film Ops")))</f>
        <v/>
      </c>
      <c r="Z260" s="4"/>
      <c r="AA260" s="4" t="str">
        <f>'Ingest Template'!E260</f>
        <v/>
      </c>
      <c r="AB260" s="7"/>
      <c r="AC260" s="4" t="str">
        <f t="array" ref="AC260">IF('Ingest Template'!A260="Standard",(CONCATENATE(IF(ISBLANK('Ingest Template'!F260),"", 'Ingest Template'!F260&amp;"|DAR"),CHAR(10), IF(ISBLANK('Ingest Template'!G260),"", 'Ingest Template'!G260&amp;"|DAR"),CHAR(10), IF(ISBLANK('Ingest Template'!H260),"", 'Ingest Template'!H260&amp;"|DAR"))),(CONCATENATE(IF(ISBLANK('Ingest Template'!F260),"", 'Ingest Template'!F260&amp;"|Film Ops"),CHAR(10), IF(ISBLANK('Ingest Template'!G260),"", 'Ingest Template'!G260&amp;"|Film Ops"),CHAR(10), IF(ISBLANK('Ingest Template'!H260),"", 'Ingest Template'!H260&amp;"|Film Ops"))))</f>
        <v>
</v>
      </c>
      <c r="AD260" s="4"/>
      <c r="AE260" s="4"/>
      <c r="AF260" s="10"/>
      <c r="AG260" s="4"/>
      <c r="AH260" s="4"/>
    </row>
    <row r="261">
      <c r="A261" s="4"/>
      <c r="B261" s="4" t="str">
        <f>'Ingest Template'!B261&amp;IF('Ingest Template'!A261 = "Standard", " - DAR","")</f>
        <v/>
      </c>
      <c r="C261" s="5" t="s">
        <v>34</v>
      </c>
      <c r="D261" s="5" t="str">
        <f>CONCATENATE('Ingest Template'!C261,'Ingest Template'!D261)</f>
        <v/>
      </c>
      <c r="E261" s="4"/>
      <c r="F261" s="4"/>
      <c r="G261" s="4"/>
      <c r="H261" s="6"/>
      <c r="I261" s="6" t="str">
        <f>iF('Ingest Template'!A261="Standard","Pristine Brand","Unknown")</f>
        <v>Unknown</v>
      </c>
      <c r="J261" s="4" t="str">
        <f>iF('Ingest Template'!A261="Standard","LF // Beverages","Competitive View")</f>
        <v>Competitive View</v>
      </c>
      <c r="K261" s="7" t="s">
        <v>35</v>
      </c>
      <c r="L261" s="8"/>
      <c r="M261" s="4"/>
      <c r="N261" s="4"/>
      <c r="O261" s="4"/>
      <c r="P261" s="4"/>
      <c r="Q261" s="4"/>
      <c r="R261" s="7" t="s">
        <v>36</v>
      </c>
      <c r="S261" s="4" t="str">
        <f>'Ingest Template'!J261</f>
        <v/>
      </c>
      <c r="T261" s="4" t="str">
        <f>'Ingest Template'!I261</f>
        <v/>
      </c>
      <c r="U261" s="4" t="str">
        <f>LOWER(SUBSTITUTE(SUBSTITUTE(SUBSTITUTE(SUBSTITUTE(SUBSTITUTE('Ingest Template'!K261,"https:",""),"www.",""),"/",""),"?hl=en",""),"instagram.com",""))</f>
        <v/>
      </c>
      <c r="V261" s="9" t="str">
        <f>'Ingest Template'!L261</f>
        <v/>
      </c>
      <c r="W261" s="9" t="str">
        <f>'Ingest Template'!M261</f>
        <v/>
      </c>
      <c r="X261" s="4" t="str">
        <f>SUBSTITUTE(SUBSTITUTE(SUBSTITUTE('Ingest Template'!N261,"http:",""),"https:",""),"/","")</f>
        <v/>
      </c>
      <c r="Y261" s="4" t="str">
        <f t="array" ref="Y261">IF('Ingest Template'!A261="Standard",(IF(ISBLANK('Ingest Template'!O261),"", 'Ingest Template'!O261&amp;"|DAR")),(IF(ISBLANK('Ingest Template'!O261),"", 'Ingest Template'!O261&amp;"|Film Ops")))</f>
        <v/>
      </c>
      <c r="Z261" s="4"/>
      <c r="AA261" s="4" t="str">
        <f>'Ingest Template'!E261</f>
        <v/>
      </c>
      <c r="AB261" s="7"/>
      <c r="AC261" s="4" t="str">
        <f t="array" ref="AC261">IF('Ingest Template'!A261="Standard",(CONCATENATE(IF(ISBLANK('Ingest Template'!F261),"", 'Ingest Template'!F261&amp;"|DAR"),CHAR(10), IF(ISBLANK('Ingest Template'!G261),"", 'Ingest Template'!G261&amp;"|DAR"),CHAR(10), IF(ISBLANK('Ingest Template'!H261),"", 'Ingest Template'!H261&amp;"|DAR"))),(CONCATENATE(IF(ISBLANK('Ingest Template'!F261),"", 'Ingest Template'!F261&amp;"|Film Ops"),CHAR(10), IF(ISBLANK('Ingest Template'!G261),"", 'Ingest Template'!G261&amp;"|Film Ops"),CHAR(10), IF(ISBLANK('Ingest Template'!H261),"", 'Ingest Template'!H261&amp;"|Film Ops"))))</f>
        <v>
</v>
      </c>
      <c r="AD261" s="4"/>
      <c r="AE261" s="4"/>
      <c r="AF261" s="10"/>
      <c r="AG261" s="4"/>
      <c r="AH261" s="4"/>
    </row>
    <row r="262">
      <c r="A262" s="4"/>
      <c r="B262" s="4" t="str">
        <f>'Ingest Template'!B262&amp;IF('Ingest Template'!A262 = "Standard", " - DAR","")</f>
        <v/>
      </c>
      <c r="C262" s="5" t="s">
        <v>34</v>
      </c>
      <c r="D262" s="5" t="str">
        <f>CONCATENATE('Ingest Template'!C262,'Ingest Template'!D262)</f>
        <v/>
      </c>
      <c r="E262" s="4"/>
      <c r="F262" s="4"/>
      <c r="G262" s="4"/>
      <c r="H262" s="6"/>
      <c r="I262" s="6" t="str">
        <f>iF('Ingest Template'!A262="Standard","Pristine Brand","Unknown")</f>
        <v>Unknown</v>
      </c>
      <c r="J262" s="4" t="str">
        <f>iF('Ingest Template'!A262="Standard","LF // Beverages","Competitive View")</f>
        <v>Competitive View</v>
      </c>
      <c r="K262" s="7" t="s">
        <v>35</v>
      </c>
      <c r="L262" s="8"/>
      <c r="M262" s="4"/>
      <c r="N262" s="4"/>
      <c r="O262" s="4"/>
      <c r="P262" s="4"/>
      <c r="Q262" s="4"/>
      <c r="R262" s="7" t="s">
        <v>36</v>
      </c>
      <c r="S262" s="4" t="str">
        <f>'Ingest Template'!J262</f>
        <v/>
      </c>
      <c r="T262" s="4" t="str">
        <f>'Ingest Template'!I262</f>
        <v/>
      </c>
      <c r="U262" s="4" t="str">
        <f>LOWER(SUBSTITUTE(SUBSTITUTE(SUBSTITUTE(SUBSTITUTE(SUBSTITUTE('Ingest Template'!K262,"https:",""),"www.",""),"/",""),"?hl=en",""),"instagram.com",""))</f>
        <v/>
      </c>
      <c r="V262" s="9" t="str">
        <f>'Ingest Template'!L262</f>
        <v/>
      </c>
      <c r="W262" s="9" t="str">
        <f>'Ingest Template'!M262</f>
        <v/>
      </c>
      <c r="X262" s="4" t="str">
        <f>SUBSTITUTE(SUBSTITUTE(SUBSTITUTE('Ingest Template'!N262,"http:",""),"https:",""),"/","")</f>
        <v/>
      </c>
      <c r="Y262" s="4" t="str">
        <f t="array" ref="Y262">IF('Ingest Template'!A262="Standard",(IF(ISBLANK('Ingest Template'!O262),"", 'Ingest Template'!O262&amp;"|DAR")),(IF(ISBLANK('Ingest Template'!O262),"", 'Ingest Template'!O262&amp;"|Film Ops")))</f>
        <v/>
      </c>
      <c r="Z262" s="4"/>
      <c r="AA262" s="4" t="str">
        <f>'Ingest Template'!E262</f>
        <v/>
      </c>
      <c r="AB262" s="7"/>
      <c r="AC262" s="4" t="str">
        <f t="array" ref="AC262">IF('Ingest Template'!A262="Standard",(CONCATENATE(IF(ISBLANK('Ingest Template'!F262),"", 'Ingest Template'!F262&amp;"|DAR"),CHAR(10), IF(ISBLANK('Ingest Template'!G262),"", 'Ingest Template'!G262&amp;"|DAR"),CHAR(10), IF(ISBLANK('Ingest Template'!H262),"", 'Ingest Template'!H262&amp;"|DAR"))),(CONCATENATE(IF(ISBLANK('Ingest Template'!F262),"", 'Ingest Template'!F262&amp;"|Film Ops"),CHAR(10), IF(ISBLANK('Ingest Template'!G262),"", 'Ingest Template'!G262&amp;"|Film Ops"),CHAR(10), IF(ISBLANK('Ingest Template'!H262),"", 'Ingest Template'!H262&amp;"|Film Ops"))))</f>
        <v>
</v>
      </c>
      <c r="AD262" s="4"/>
      <c r="AE262" s="4"/>
      <c r="AF262" s="10"/>
      <c r="AG262" s="4"/>
      <c r="AH262" s="4"/>
    </row>
    <row r="263">
      <c r="A263" s="4"/>
      <c r="B263" s="4" t="str">
        <f>'Ingest Template'!B263&amp;IF('Ingest Template'!A263 = "Standard", " - DAR","")</f>
        <v/>
      </c>
      <c r="C263" s="5" t="s">
        <v>34</v>
      </c>
      <c r="D263" s="5" t="str">
        <f>CONCATENATE('Ingest Template'!C263,'Ingest Template'!D263)</f>
        <v/>
      </c>
      <c r="E263" s="4"/>
      <c r="F263" s="4"/>
      <c r="G263" s="4"/>
      <c r="H263" s="6"/>
      <c r="I263" s="6" t="str">
        <f>iF('Ingest Template'!A263="Standard","Pristine Brand","Unknown")</f>
        <v>Unknown</v>
      </c>
      <c r="J263" s="4" t="str">
        <f>iF('Ingest Template'!A263="Standard","LF // Beverages","Competitive View")</f>
        <v>Competitive View</v>
      </c>
      <c r="K263" s="7" t="s">
        <v>35</v>
      </c>
      <c r="L263" s="8"/>
      <c r="M263" s="4"/>
      <c r="N263" s="4"/>
      <c r="O263" s="4"/>
      <c r="P263" s="4"/>
      <c r="Q263" s="4"/>
      <c r="R263" s="7" t="s">
        <v>36</v>
      </c>
      <c r="S263" s="4" t="str">
        <f>'Ingest Template'!J263</f>
        <v/>
      </c>
      <c r="T263" s="4" t="str">
        <f>'Ingest Template'!I263</f>
        <v/>
      </c>
      <c r="U263" s="4" t="str">
        <f>LOWER(SUBSTITUTE(SUBSTITUTE(SUBSTITUTE(SUBSTITUTE(SUBSTITUTE('Ingest Template'!K263,"https:",""),"www.",""),"/",""),"?hl=en",""),"instagram.com",""))</f>
        <v/>
      </c>
      <c r="V263" s="9" t="str">
        <f>'Ingest Template'!L263</f>
        <v/>
      </c>
      <c r="W263" s="9" t="str">
        <f>'Ingest Template'!M263</f>
        <v/>
      </c>
      <c r="X263" s="4" t="str">
        <f>SUBSTITUTE(SUBSTITUTE(SUBSTITUTE('Ingest Template'!N263,"http:",""),"https:",""),"/","")</f>
        <v/>
      </c>
      <c r="Y263" s="4" t="str">
        <f t="array" ref="Y263">IF('Ingest Template'!A263="Standard",(IF(ISBLANK('Ingest Template'!O263),"", 'Ingest Template'!O263&amp;"|DAR")),(IF(ISBLANK('Ingest Template'!O263),"", 'Ingest Template'!O263&amp;"|Film Ops")))</f>
        <v/>
      </c>
      <c r="Z263" s="4"/>
      <c r="AA263" s="4" t="str">
        <f>'Ingest Template'!E263</f>
        <v/>
      </c>
      <c r="AB263" s="7"/>
      <c r="AC263" s="4" t="str">
        <f t="array" ref="AC263">IF('Ingest Template'!A263="Standard",(CONCATENATE(IF(ISBLANK('Ingest Template'!F263),"", 'Ingest Template'!F263&amp;"|DAR"),CHAR(10), IF(ISBLANK('Ingest Template'!G263),"", 'Ingest Template'!G263&amp;"|DAR"),CHAR(10), IF(ISBLANK('Ingest Template'!H263),"", 'Ingest Template'!H263&amp;"|DAR"))),(CONCATENATE(IF(ISBLANK('Ingest Template'!F263),"", 'Ingest Template'!F263&amp;"|Film Ops"),CHAR(10), IF(ISBLANK('Ingest Template'!G263),"", 'Ingest Template'!G263&amp;"|Film Ops"),CHAR(10), IF(ISBLANK('Ingest Template'!H263),"", 'Ingest Template'!H263&amp;"|Film Ops"))))</f>
        <v>
</v>
      </c>
      <c r="AD263" s="4"/>
      <c r="AE263" s="4"/>
      <c r="AF263" s="10"/>
      <c r="AG263" s="4"/>
      <c r="AH263" s="4"/>
    </row>
    <row r="264">
      <c r="A264" s="4"/>
      <c r="B264" s="4" t="str">
        <f>'Ingest Template'!B264&amp;IF('Ingest Template'!A264 = "Standard", " - DAR","")</f>
        <v/>
      </c>
      <c r="C264" s="5" t="s">
        <v>34</v>
      </c>
      <c r="D264" s="5" t="str">
        <f>CONCATENATE('Ingest Template'!C264,'Ingest Template'!D264)</f>
        <v/>
      </c>
      <c r="E264" s="4"/>
      <c r="F264" s="4"/>
      <c r="G264" s="4"/>
      <c r="H264" s="6"/>
      <c r="I264" s="6" t="str">
        <f>iF('Ingest Template'!A264="Standard","Pristine Brand","Unknown")</f>
        <v>Unknown</v>
      </c>
      <c r="J264" s="4" t="str">
        <f>iF('Ingest Template'!A264="Standard","LF // Beverages","Competitive View")</f>
        <v>Competitive View</v>
      </c>
      <c r="K264" s="7" t="s">
        <v>35</v>
      </c>
      <c r="L264" s="8"/>
      <c r="M264" s="4"/>
      <c r="N264" s="4"/>
      <c r="O264" s="4"/>
      <c r="P264" s="4"/>
      <c r="Q264" s="4"/>
      <c r="R264" s="7" t="s">
        <v>36</v>
      </c>
      <c r="S264" s="4" t="str">
        <f>'Ingest Template'!J264</f>
        <v/>
      </c>
      <c r="T264" s="4" t="str">
        <f>'Ingest Template'!I264</f>
        <v/>
      </c>
      <c r="U264" s="4" t="str">
        <f>LOWER(SUBSTITUTE(SUBSTITUTE(SUBSTITUTE(SUBSTITUTE(SUBSTITUTE('Ingest Template'!K264,"https:",""),"www.",""),"/",""),"?hl=en",""),"instagram.com",""))</f>
        <v/>
      </c>
      <c r="V264" s="9" t="str">
        <f>'Ingest Template'!L264</f>
        <v/>
      </c>
      <c r="W264" s="9" t="str">
        <f>'Ingest Template'!M264</f>
        <v/>
      </c>
      <c r="X264" s="4" t="str">
        <f>SUBSTITUTE(SUBSTITUTE(SUBSTITUTE('Ingest Template'!N264,"http:",""),"https:",""),"/","")</f>
        <v/>
      </c>
      <c r="Y264" s="4" t="str">
        <f t="array" ref="Y264">IF('Ingest Template'!A264="Standard",(IF(ISBLANK('Ingest Template'!O264),"", 'Ingest Template'!O264&amp;"|DAR")),(IF(ISBLANK('Ingest Template'!O264),"", 'Ingest Template'!O264&amp;"|Film Ops")))</f>
        <v/>
      </c>
      <c r="Z264" s="4"/>
      <c r="AA264" s="4" t="str">
        <f>'Ingest Template'!E264</f>
        <v/>
      </c>
      <c r="AB264" s="7"/>
      <c r="AC264" s="4" t="str">
        <f t="array" ref="AC264">IF('Ingest Template'!A264="Standard",(CONCATENATE(IF(ISBLANK('Ingest Template'!F264),"", 'Ingest Template'!F264&amp;"|DAR"),CHAR(10), IF(ISBLANK('Ingest Template'!G264),"", 'Ingest Template'!G264&amp;"|DAR"),CHAR(10), IF(ISBLANK('Ingest Template'!H264),"", 'Ingest Template'!H264&amp;"|DAR"))),(CONCATENATE(IF(ISBLANK('Ingest Template'!F264),"", 'Ingest Template'!F264&amp;"|Film Ops"),CHAR(10), IF(ISBLANK('Ingest Template'!G264),"", 'Ingest Template'!G264&amp;"|Film Ops"),CHAR(10), IF(ISBLANK('Ingest Template'!H264),"", 'Ingest Template'!H264&amp;"|Film Ops"))))</f>
        <v>
</v>
      </c>
      <c r="AD264" s="4"/>
      <c r="AE264" s="4"/>
      <c r="AF264" s="10"/>
      <c r="AG264" s="4"/>
      <c r="AH264" s="4"/>
    </row>
    <row r="265">
      <c r="A265" s="4"/>
      <c r="B265" s="4" t="str">
        <f>'Ingest Template'!B265&amp;IF('Ingest Template'!A265 = "Standard", " - DAR","")</f>
        <v/>
      </c>
      <c r="C265" s="5" t="s">
        <v>34</v>
      </c>
      <c r="D265" s="5" t="str">
        <f>CONCATENATE('Ingest Template'!C265,'Ingest Template'!D265)</f>
        <v/>
      </c>
      <c r="E265" s="4"/>
      <c r="F265" s="4"/>
      <c r="G265" s="4"/>
      <c r="H265" s="6"/>
      <c r="I265" s="6" t="str">
        <f>iF('Ingest Template'!A265="Standard","Pristine Brand","Unknown")</f>
        <v>Unknown</v>
      </c>
      <c r="J265" s="4" t="str">
        <f>iF('Ingest Template'!A265="Standard","LF // Beverages","Competitive View")</f>
        <v>Competitive View</v>
      </c>
      <c r="K265" s="7" t="s">
        <v>35</v>
      </c>
      <c r="L265" s="8"/>
      <c r="M265" s="4"/>
      <c r="N265" s="4"/>
      <c r="O265" s="4"/>
      <c r="P265" s="4"/>
      <c r="Q265" s="4"/>
      <c r="R265" s="7" t="s">
        <v>36</v>
      </c>
      <c r="S265" s="4" t="str">
        <f>'Ingest Template'!J265</f>
        <v/>
      </c>
      <c r="T265" s="4" t="str">
        <f>'Ingest Template'!I265</f>
        <v/>
      </c>
      <c r="U265" s="4" t="str">
        <f>LOWER(SUBSTITUTE(SUBSTITUTE(SUBSTITUTE(SUBSTITUTE(SUBSTITUTE('Ingest Template'!K265,"https:",""),"www.",""),"/",""),"?hl=en",""),"instagram.com",""))</f>
        <v/>
      </c>
      <c r="V265" s="9" t="str">
        <f>'Ingest Template'!L265</f>
        <v/>
      </c>
      <c r="W265" s="9" t="str">
        <f>'Ingest Template'!M265</f>
        <v/>
      </c>
      <c r="X265" s="4" t="str">
        <f>SUBSTITUTE(SUBSTITUTE(SUBSTITUTE('Ingest Template'!N265,"http:",""),"https:",""),"/","")</f>
        <v/>
      </c>
      <c r="Y265" s="4" t="str">
        <f t="array" ref="Y265">IF('Ingest Template'!A265="Standard",(IF(ISBLANK('Ingest Template'!O265),"", 'Ingest Template'!O265&amp;"|DAR")),(IF(ISBLANK('Ingest Template'!O265),"", 'Ingest Template'!O265&amp;"|Film Ops")))</f>
        <v/>
      </c>
      <c r="Z265" s="4"/>
      <c r="AA265" s="4" t="str">
        <f>'Ingest Template'!E265</f>
        <v/>
      </c>
      <c r="AB265" s="7"/>
      <c r="AC265" s="4" t="str">
        <f t="array" ref="AC265">IF('Ingest Template'!A265="Standard",(CONCATENATE(IF(ISBLANK('Ingest Template'!F265),"", 'Ingest Template'!F265&amp;"|DAR"),CHAR(10), IF(ISBLANK('Ingest Template'!G265),"", 'Ingest Template'!G265&amp;"|DAR"),CHAR(10), IF(ISBLANK('Ingest Template'!H265),"", 'Ingest Template'!H265&amp;"|DAR"))),(CONCATENATE(IF(ISBLANK('Ingest Template'!F265),"", 'Ingest Template'!F265&amp;"|Film Ops"),CHAR(10), IF(ISBLANK('Ingest Template'!G265),"", 'Ingest Template'!G265&amp;"|Film Ops"),CHAR(10), IF(ISBLANK('Ingest Template'!H265),"", 'Ingest Template'!H265&amp;"|Film Ops"))))</f>
        <v>
</v>
      </c>
      <c r="AD265" s="4"/>
      <c r="AE265" s="4"/>
      <c r="AF265" s="10"/>
      <c r="AG265" s="4"/>
      <c r="AH265" s="4"/>
    </row>
    <row r="266">
      <c r="A266" s="4"/>
      <c r="B266" s="4" t="str">
        <f>'Ingest Template'!B266&amp;IF('Ingest Template'!A266 = "Standard", " - DAR","")</f>
        <v/>
      </c>
      <c r="C266" s="5" t="s">
        <v>34</v>
      </c>
      <c r="D266" s="5" t="str">
        <f>CONCATENATE('Ingest Template'!C266,'Ingest Template'!D266)</f>
        <v/>
      </c>
      <c r="E266" s="4"/>
      <c r="F266" s="4"/>
      <c r="G266" s="4"/>
      <c r="H266" s="6"/>
      <c r="I266" s="6" t="str">
        <f>iF('Ingest Template'!A266="Standard","Pristine Brand","Unknown")</f>
        <v>Unknown</v>
      </c>
      <c r="J266" s="4" t="str">
        <f>iF('Ingest Template'!A266="Standard","LF // Beverages","Competitive View")</f>
        <v>Competitive View</v>
      </c>
      <c r="K266" s="7" t="s">
        <v>35</v>
      </c>
      <c r="L266" s="8"/>
      <c r="M266" s="4"/>
      <c r="N266" s="4"/>
      <c r="O266" s="4"/>
      <c r="P266" s="4"/>
      <c r="Q266" s="4"/>
      <c r="R266" s="7" t="s">
        <v>36</v>
      </c>
      <c r="S266" s="4" t="str">
        <f>'Ingest Template'!J266</f>
        <v/>
      </c>
      <c r="T266" s="4" t="str">
        <f>'Ingest Template'!I266</f>
        <v/>
      </c>
      <c r="U266" s="4" t="str">
        <f>LOWER(SUBSTITUTE(SUBSTITUTE(SUBSTITUTE(SUBSTITUTE(SUBSTITUTE('Ingest Template'!K266,"https:",""),"www.",""),"/",""),"?hl=en",""),"instagram.com",""))</f>
        <v/>
      </c>
      <c r="V266" s="9" t="str">
        <f>'Ingest Template'!L266</f>
        <v/>
      </c>
      <c r="W266" s="9" t="str">
        <f>'Ingest Template'!M266</f>
        <v/>
      </c>
      <c r="X266" s="4" t="str">
        <f>SUBSTITUTE(SUBSTITUTE(SUBSTITUTE('Ingest Template'!N266,"http:",""),"https:",""),"/","")</f>
        <v/>
      </c>
      <c r="Y266" s="4" t="str">
        <f t="array" ref="Y266">IF('Ingest Template'!A266="Standard",(IF(ISBLANK('Ingest Template'!O266),"", 'Ingest Template'!O266&amp;"|DAR")),(IF(ISBLANK('Ingest Template'!O266),"", 'Ingest Template'!O266&amp;"|Film Ops")))</f>
        <v/>
      </c>
      <c r="Z266" s="4"/>
      <c r="AA266" s="4" t="str">
        <f>'Ingest Template'!E266</f>
        <v/>
      </c>
      <c r="AB266" s="7"/>
      <c r="AC266" s="4" t="str">
        <f t="array" ref="AC266">IF('Ingest Template'!A266="Standard",(CONCATENATE(IF(ISBLANK('Ingest Template'!F266),"", 'Ingest Template'!F266&amp;"|DAR"),CHAR(10), IF(ISBLANK('Ingest Template'!G266),"", 'Ingest Template'!G266&amp;"|DAR"),CHAR(10), IF(ISBLANK('Ingest Template'!H266),"", 'Ingest Template'!H266&amp;"|DAR"))),(CONCATENATE(IF(ISBLANK('Ingest Template'!F266),"", 'Ingest Template'!F266&amp;"|Film Ops"),CHAR(10), IF(ISBLANK('Ingest Template'!G266),"", 'Ingest Template'!G266&amp;"|Film Ops"),CHAR(10), IF(ISBLANK('Ingest Template'!H266),"", 'Ingest Template'!H266&amp;"|Film Ops"))))</f>
        <v>
</v>
      </c>
      <c r="AD266" s="4"/>
      <c r="AE266" s="4"/>
      <c r="AF266" s="10"/>
      <c r="AG266" s="4"/>
      <c r="AH266" s="4"/>
    </row>
    <row r="267">
      <c r="A267" s="4"/>
      <c r="B267" s="4" t="str">
        <f>'Ingest Template'!B267&amp;IF('Ingest Template'!A267 = "Standard", " - DAR","")</f>
        <v/>
      </c>
      <c r="C267" s="5" t="s">
        <v>34</v>
      </c>
      <c r="D267" s="5" t="str">
        <f>CONCATENATE('Ingest Template'!C267,'Ingest Template'!D267)</f>
        <v/>
      </c>
      <c r="E267" s="4"/>
      <c r="F267" s="4"/>
      <c r="G267" s="4"/>
      <c r="H267" s="6"/>
      <c r="I267" s="6" t="str">
        <f>iF('Ingest Template'!A267="Standard","Pristine Brand","Unknown")</f>
        <v>Unknown</v>
      </c>
      <c r="J267" s="4" t="str">
        <f>iF('Ingest Template'!A267="Standard","LF // Beverages","Competitive View")</f>
        <v>Competitive View</v>
      </c>
      <c r="K267" s="7" t="s">
        <v>35</v>
      </c>
      <c r="L267" s="8"/>
      <c r="M267" s="4"/>
      <c r="N267" s="4"/>
      <c r="O267" s="4"/>
      <c r="P267" s="4"/>
      <c r="Q267" s="4"/>
      <c r="R267" s="7" t="s">
        <v>36</v>
      </c>
      <c r="S267" s="4" t="str">
        <f>'Ingest Template'!J267</f>
        <v/>
      </c>
      <c r="T267" s="4" t="str">
        <f>'Ingest Template'!I267</f>
        <v/>
      </c>
      <c r="U267" s="4" t="str">
        <f>LOWER(SUBSTITUTE(SUBSTITUTE(SUBSTITUTE(SUBSTITUTE(SUBSTITUTE('Ingest Template'!K267,"https:",""),"www.",""),"/",""),"?hl=en",""),"instagram.com",""))</f>
        <v/>
      </c>
      <c r="V267" s="9" t="str">
        <f>'Ingest Template'!L267</f>
        <v/>
      </c>
      <c r="W267" s="9" t="str">
        <f>'Ingest Template'!M267</f>
        <v/>
      </c>
      <c r="X267" s="4" t="str">
        <f>SUBSTITUTE(SUBSTITUTE(SUBSTITUTE('Ingest Template'!N267,"http:",""),"https:",""),"/","")</f>
        <v/>
      </c>
      <c r="Y267" s="4" t="str">
        <f t="array" ref="Y267">IF('Ingest Template'!A267="Standard",(IF(ISBLANK('Ingest Template'!O267),"", 'Ingest Template'!O267&amp;"|DAR")),(IF(ISBLANK('Ingest Template'!O267),"", 'Ingest Template'!O267&amp;"|Film Ops")))</f>
        <v/>
      </c>
      <c r="Z267" s="4"/>
      <c r="AA267" s="4" t="str">
        <f>'Ingest Template'!E267</f>
        <v/>
      </c>
      <c r="AB267" s="7"/>
      <c r="AC267" s="4" t="str">
        <f t="array" ref="AC267">IF('Ingest Template'!A267="Standard",(CONCATENATE(IF(ISBLANK('Ingest Template'!F267),"", 'Ingest Template'!F267&amp;"|DAR"),CHAR(10), IF(ISBLANK('Ingest Template'!G267),"", 'Ingest Template'!G267&amp;"|DAR"),CHAR(10), IF(ISBLANK('Ingest Template'!H267),"", 'Ingest Template'!H267&amp;"|DAR"))),(CONCATENATE(IF(ISBLANK('Ingest Template'!F267),"", 'Ingest Template'!F267&amp;"|Film Ops"),CHAR(10), IF(ISBLANK('Ingest Template'!G267),"", 'Ingest Template'!G267&amp;"|Film Ops"),CHAR(10), IF(ISBLANK('Ingest Template'!H267),"", 'Ingest Template'!H267&amp;"|Film Ops"))))</f>
        <v>
</v>
      </c>
      <c r="AD267" s="4"/>
      <c r="AE267" s="4"/>
      <c r="AF267" s="10"/>
      <c r="AG267" s="4"/>
      <c r="AH267" s="4"/>
    </row>
    <row r="268">
      <c r="A268" s="4"/>
      <c r="B268" s="4" t="str">
        <f>'Ingest Template'!B268&amp;IF('Ingest Template'!A268 = "Standard", " - DAR","")</f>
        <v/>
      </c>
      <c r="C268" s="5" t="s">
        <v>34</v>
      </c>
      <c r="D268" s="5" t="str">
        <f>CONCATENATE('Ingest Template'!C268,'Ingest Template'!D268)</f>
        <v/>
      </c>
      <c r="E268" s="4"/>
      <c r="F268" s="4"/>
      <c r="G268" s="4"/>
      <c r="H268" s="6"/>
      <c r="I268" s="6" t="str">
        <f>iF('Ingest Template'!A268="Standard","Pristine Brand","Unknown")</f>
        <v>Unknown</v>
      </c>
      <c r="J268" s="4" t="str">
        <f>iF('Ingest Template'!A268="Standard","LF // Beverages","Competitive View")</f>
        <v>Competitive View</v>
      </c>
      <c r="K268" s="7" t="s">
        <v>35</v>
      </c>
      <c r="L268" s="8"/>
      <c r="M268" s="4"/>
      <c r="N268" s="4"/>
      <c r="O268" s="4"/>
      <c r="P268" s="4"/>
      <c r="Q268" s="4"/>
      <c r="R268" s="7" t="s">
        <v>36</v>
      </c>
      <c r="S268" s="4" t="str">
        <f>'Ingest Template'!J268</f>
        <v/>
      </c>
      <c r="T268" s="4" t="str">
        <f>'Ingest Template'!I268</f>
        <v/>
      </c>
      <c r="U268" s="4" t="str">
        <f>LOWER(SUBSTITUTE(SUBSTITUTE(SUBSTITUTE(SUBSTITUTE(SUBSTITUTE('Ingest Template'!K268,"https:",""),"www.",""),"/",""),"?hl=en",""),"instagram.com",""))</f>
        <v/>
      </c>
      <c r="V268" s="9" t="str">
        <f>'Ingest Template'!L268</f>
        <v/>
      </c>
      <c r="W268" s="9" t="str">
        <f>'Ingest Template'!M268</f>
        <v/>
      </c>
      <c r="X268" s="4" t="str">
        <f>SUBSTITUTE(SUBSTITUTE(SUBSTITUTE('Ingest Template'!N268,"http:",""),"https:",""),"/","")</f>
        <v/>
      </c>
      <c r="Y268" s="4" t="str">
        <f t="array" ref="Y268">IF('Ingest Template'!A268="Standard",(IF(ISBLANK('Ingest Template'!O268),"", 'Ingest Template'!O268&amp;"|DAR")),(IF(ISBLANK('Ingest Template'!O268),"", 'Ingest Template'!O268&amp;"|Film Ops")))</f>
        <v/>
      </c>
      <c r="Z268" s="4"/>
      <c r="AA268" s="4" t="str">
        <f>'Ingest Template'!E268</f>
        <v/>
      </c>
      <c r="AB268" s="7"/>
      <c r="AC268" s="4" t="str">
        <f t="array" ref="AC268">IF('Ingest Template'!A268="Standard",(CONCATENATE(IF(ISBLANK('Ingest Template'!F268),"", 'Ingest Template'!F268&amp;"|DAR"),CHAR(10), IF(ISBLANK('Ingest Template'!G268),"", 'Ingest Template'!G268&amp;"|DAR"),CHAR(10), IF(ISBLANK('Ingest Template'!H268),"", 'Ingest Template'!H268&amp;"|DAR"))),(CONCATENATE(IF(ISBLANK('Ingest Template'!F268),"", 'Ingest Template'!F268&amp;"|Film Ops"),CHAR(10), IF(ISBLANK('Ingest Template'!G268),"", 'Ingest Template'!G268&amp;"|Film Ops"),CHAR(10), IF(ISBLANK('Ingest Template'!H268),"", 'Ingest Template'!H268&amp;"|Film Ops"))))</f>
        <v>
</v>
      </c>
      <c r="AD268" s="4"/>
      <c r="AE268" s="4"/>
      <c r="AF268" s="10"/>
      <c r="AG268" s="4"/>
      <c r="AH268" s="4"/>
    </row>
    <row r="269">
      <c r="A269" s="4"/>
      <c r="B269" s="4" t="str">
        <f>'Ingest Template'!B269&amp;IF('Ingest Template'!A269 = "Standard", " - DAR","")</f>
        <v/>
      </c>
      <c r="C269" s="5" t="s">
        <v>34</v>
      </c>
      <c r="D269" s="5" t="str">
        <f>CONCATENATE('Ingest Template'!C269,'Ingest Template'!D269)</f>
        <v/>
      </c>
      <c r="E269" s="4"/>
      <c r="F269" s="4"/>
      <c r="G269" s="4"/>
      <c r="H269" s="6"/>
      <c r="I269" s="6" t="str">
        <f>iF('Ingest Template'!A269="Standard","Pristine Brand","Unknown")</f>
        <v>Unknown</v>
      </c>
      <c r="J269" s="4" t="str">
        <f>iF('Ingest Template'!A269="Standard","LF // Beverages","Competitive View")</f>
        <v>Competitive View</v>
      </c>
      <c r="K269" s="7" t="s">
        <v>35</v>
      </c>
      <c r="L269" s="8"/>
      <c r="M269" s="4"/>
      <c r="N269" s="4"/>
      <c r="O269" s="4"/>
      <c r="P269" s="4"/>
      <c r="Q269" s="4"/>
      <c r="R269" s="7" t="s">
        <v>36</v>
      </c>
      <c r="S269" s="4" t="str">
        <f>'Ingest Template'!J269</f>
        <v/>
      </c>
      <c r="T269" s="4" t="str">
        <f>'Ingest Template'!I269</f>
        <v/>
      </c>
      <c r="U269" s="4" t="str">
        <f>LOWER(SUBSTITUTE(SUBSTITUTE(SUBSTITUTE(SUBSTITUTE(SUBSTITUTE('Ingest Template'!K269,"https:",""),"www.",""),"/",""),"?hl=en",""),"instagram.com",""))</f>
        <v/>
      </c>
      <c r="V269" s="9" t="str">
        <f>'Ingest Template'!L269</f>
        <v/>
      </c>
      <c r="W269" s="9" t="str">
        <f>'Ingest Template'!M269</f>
        <v/>
      </c>
      <c r="X269" s="4" t="str">
        <f>SUBSTITUTE(SUBSTITUTE(SUBSTITUTE('Ingest Template'!N269,"http:",""),"https:",""),"/","")</f>
        <v/>
      </c>
      <c r="Y269" s="4" t="str">
        <f t="array" ref="Y269">IF('Ingest Template'!A269="Standard",(IF(ISBLANK('Ingest Template'!O269),"", 'Ingest Template'!O269&amp;"|DAR")),(IF(ISBLANK('Ingest Template'!O269),"", 'Ingest Template'!O269&amp;"|Film Ops")))</f>
        <v/>
      </c>
      <c r="Z269" s="4"/>
      <c r="AA269" s="4" t="str">
        <f>'Ingest Template'!E269</f>
        <v/>
      </c>
      <c r="AB269" s="7"/>
      <c r="AC269" s="4" t="str">
        <f t="array" ref="AC269">IF('Ingest Template'!A269="Standard",(CONCATENATE(IF(ISBLANK('Ingest Template'!F269),"", 'Ingest Template'!F269&amp;"|DAR"),CHAR(10), IF(ISBLANK('Ingest Template'!G269),"", 'Ingest Template'!G269&amp;"|DAR"),CHAR(10), IF(ISBLANK('Ingest Template'!H269),"", 'Ingest Template'!H269&amp;"|DAR"))),(CONCATENATE(IF(ISBLANK('Ingest Template'!F269),"", 'Ingest Template'!F269&amp;"|Film Ops"),CHAR(10), IF(ISBLANK('Ingest Template'!G269),"", 'Ingest Template'!G269&amp;"|Film Ops"),CHAR(10), IF(ISBLANK('Ingest Template'!H269),"", 'Ingest Template'!H269&amp;"|Film Ops"))))</f>
        <v>
</v>
      </c>
      <c r="AD269" s="4"/>
      <c r="AE269" s="4"/>
      <c r="AF269" s="10"/>
      <c r="AG269" s="4"/>
      <c r="AH269" s="4"/>
    </row>
    <row r="270">
      <c r="A270" s="4"/>
      <c r="B270" s="4" t="str">
        <f>'Ingest Template'!B270&amp;IF('Ingest Template'!A270 = "Standard", " - DAR","")</f>
        <v/>
      </c>
      <c r="C270" s="5" t="s">
        <v>34</v>
      </c>
      <c r="D270" s="5" t="str">
        <f>CONCATENATE('Ingest Template'!C270,'Ingest Template'!D270)</f>
        <v/>
      </c>
      <c r="E270" s="4"/>
      <c r="F270" s="4"/>
      <c r="G270" s="4"/>
      <c r="H270" s="6"/>
      <c r="I270" s="6" t="str">
        <f>iF('Ingest Template'!A270="Standard","Pristine Brand","Unknown")</f>
        <v>Unknown</v>
      </c>
      <c r="J270" s="4" t="str">
        <f>iF('Ingest Template'!A270="Standard","LF // Beverages","Competitive View")</f>
        <v>Competitive View</v>
      </c>
      <c r="K270" s="7" t="s">
        <v>35</v>
      </c>
      <c r="L270" s="8"/>
      <c r="M270" s="4"/>
      <c r="N270" s="4"/>
      <c r="O270" s="4"/>
      <c r="P270" s="4"/>
      <c r="Q270" s="4"/>
      <c r="R270" s="7" t="s">
        <v>36</v>
      </c>
      <c r="S270" s="4" t="str">
        <f>'Ingest Template'!J270</f>
        <v/>
      </c>
      <c r="T270" s="4" t="str">
        <f>'Ingest Template'!I270</f>
        <v/>
      </c>
      <c r="U270" s="4" t="str">
        <f>LOWER(SUBSTITUTE(SUBSTITUTE(SUBSTITUTE(SUBSTITUTE(SUBSTITUTE('Ingest Template'!K270,"https:",""),"www.",""),"/",""),"?hl=en",""),"instagram.com",""))</f>
        <v/>
      </c>
      <c r="V270" s="9" t="str">
        <f>'Ingest Template'!L270</f>
        <v/>
      </c>
      <c r="W270" s="9" t="str">
        <f>'Ingest Template'!M270</f>
        <v/>
      </c>
      <c r="X270" s="4" t="str">
        <f>SUBSTITUTE(SUBSTITUTE(SUBSTITUTE('Ingest Template'!N270,"http:",""),"https:",""),"/","")</f>
        <v/>
      </c>
      <c r="Y270" s="4" t="str">
        <f t="array" ref="Y270">IF('Ingest Template'!A270="Standard",(IF(ISBLANK('Ingest Template'!O270),"", 'Ingest Template'!O270&amp;"|DAR")),(IF(ISBLANK('Ingest Template'!O270),"", 'Ingest Template'!O270&amp;"|Film Ops")))</f>
        <v/>
      </c>
      <c r="Z270" s="4"/>
      <c r="AA270" s="4" t="str">
        <f>'Ingest Template'!E270</f>
        <v/>
      </c>
      <c r="AB270" s="7"/>
      <c r="AC270" s="4" t="str">
        <f t="array" ref="AC270">IF('Ingest Template'!A270="Standard",(CONCATENATE(IF(ISBLANK('Ingest Template'!F270),"", 'Ingest Template'!F270&amp;"|DAR"),CHAR(10), IF(ISBLANK('Ingest Template'!G270),"", 'Ingest Template'!G270&amp;"|DAR"),CHAR(10), IF(ISBLANK('Ingest Template'!H270),"", 'Ingest Template'!H270&amp;"|DAR"))),(CONCATENATE(IF(ISBLANK('Ingest Template'!F270),"", 'Ingest Template'!F270&amp;"|Film Ops"),CHAR(10), IF(ISBLANK('Ingest Template'!G270),"", 'Ingest Template'!G270&amp;"|Film Ops"),CHAR(10), IF(ISBLANK('Ingest Template'!H270),"", 'Ingest Template'!H270&amp;"|Film Ops"))))</f>
        <v>
</v>
      </c>
      <c r="AD270" s="4"/>
      <c r="AE270" s="4"/>
      <c r="AF270" s="10"/>
      <c r="AG270" s="4"/>
      <c r="AH270" s="4"/>
    </row>
    <row r="271">
      <c r="A271" s="4"/>
      <c r="B271" s="4" t="str">
        <f>'Ingest Template'!B271&amp;IF('Ingest Template'!A271 = "Standard", " - DAR","")</f>
        <v/>
      </c>
      <c r="C271" s="5" t="s">
        <v>34</v>
      </c>
      <c r="D271" s="5" t="str">
        <f>CONCATENATE('Ingest Template'!C271,'Ingest Template'!D271)</f>
        <v/>
      </c>
      <c r="E271" s="4"/>
      <c r="F271" s="4"/>
      <c r="G271" s="4"/>
      <c r="H271" s="6"/>
      <c r="I271" s="6" t="str">
        <f>iF('Ingest Template'!A271="Standard","Pristine Brand","Unknown")</f>
        <v>Unknown</v>
      </c>
      <c r="J271" s="4" t="str">
        <f>iF('Ingest Template'!A271="Standard","LF // Beverages","Competitive View")</f>
        <v>Competitive View</v>
      </c>
      <c r="K271" s="7" t="s">
        <v>35</v>
      </c>
      <c r="L271" s="8"/>
      <c r="M271" s="4"/>
      <c r="N271" s="4"/>
      <c r="O271" s="4"/>
      <c r="P271" s="4"/>
      <c r="Q271" s="4"/>
      <c r="R271" s="7" t="s">
        <v>36</v>
      </c>
      <c r="S271" s="4" t="str">
        <f>'Ingest Template'!J271</f>
        <v/>
      </c>
      <c r="T271" s="4" t="str">
        <f>'Ingest Template'!I271</f>
        <v/>
      </c>
      <c r="U271" s="4" t="str">
        <f>LOWER(SUBSTITUTE(SUBSTITUTE(SUBSTITUTE(SUBSTITUTE(SUBSTITUTE('Ingest Template'!K271,"https:",""),"www.",""),"/",""),"?hl=en",""),"instagram.com",""))</f>
        <v/>
      </c>
      <c r="V271" s="9" t="str">
        <f>'Ingest Template'!L271</f>
        <v/>
      </c>
      <c r="W271" s="9" t="str">
        <f>'Ingest Template'!M271</f>
        <v/>
      </c>
      <c r="X271" s="4" t="str">
        <f>SUBSTITUTE(SUBSTITUTE(SUBSTITUTE('Ingest Template'!N271,"http:",""),"https:",""),"/","")</f>
        <v/>
      </c>
      <c r="Y271" s="4" t="str">
        <f t="array" ref="Y271">IF('Ingest Template'!A271="Standard",(IF(ISBLANK('Ingest Template'!O271),"", 'Ingest Template'!O271&amp;"|DAR")),(IF(ISBLANK('Ingest Template'!O271),"", 'Ingest Template'!O271&amp;"|Film Ops")))</f>
        <v/>
      </c>
      <c r="Z271" s="4"/>
      <c r="AA271" s="4" t="str">
        <f>'Ingest Template'!E271</f>
        <v/>
      </c>
      <c r="AB271" s="7"/>
      <c r="AC271" s="4" t="str">
        <f t="array" ref="AC271">IF('Ingest Template'!A271="Standard",(CONCATENATE(IF(ISBLANK('Ingest Template'!F271),"", 'Ingest Template'!F271&amp;"|DAR"),CHAR(10), IF(ISBLANK('Ingest Template'!G271),"", 'Ingest Template'!G271&amp;"|DAR"),CHAR(10), IF(ISBLANK('Ingest Template'!H271),"", 'Ingest Template'!H271&amp;"|DAR"))),(CONCATENATE(IF(ISBLANK('Ingest Template'!F271),"", 'Ingest Template'!F271&amp;"|Film Ops"),CHAR(10), IF(ISBLANK('Ingest Template'!G271),"", 'Ingest Template'!G271&amp;"|Film Ops"),CHAR(10), IF(ISBLANK('Ingest Template'!H271),"", 'Ingest Template'!H271&amp;"|Film Ops"))))</f>
        <v>
</v>
      </c>
      <c r="AD271" s="4"/>
      <c r="AE271" s="4"/>
      <c r="AF271" s="10"/>
      <c r="AG271" s="4"/>
      <c r="AH271" s="4"/>
    </row>
    <row r="272">
      <c r="A272" s="4"/>
      <c r="B272" s="4" t="str">
        <f>'Ingest Template'!B272&amp;IF('Ingest Template'!A272 = "Standard", " - DAR","")</f>
        <v/>
      </c>
      <c r="C272" s="5" t="s">
        <v>34</v>
      </c>
      <c r="D272" s="5" t="str">
        <f>CONCATENATE('Ingest Template'!C272,'Ingest Template'!D272)</f>
        <v/>
      </c>
      <c r="E272" s="4"/>
      <c r="F272" s="4"/>
      <c r="G272" s="4"/>
      <c r="H272" s="6"/>
      <c r="I272" s="6" t="str">
        <f>iF('Ingest Template'!A272="Standard","Pristine Brand","Unknown")</f>
        <v>Unknown</v>
      </c>
      <c r="J272" s="4" t="str">
        <f>iF('Ingest Template'!A272="Standard","LF // Beverages","Competitive View")</f>
        <v>Competitive View</v>
      </c>
      <c r="K272" s="7" t="s">
        <v>35</v>
      </c>
      <c r="L272" s="8"/>
      <c r="M272" s="4"/>
      <c r="N272" s="4"/>
      <c r="O272" s="4"/>
      <c r="P272" s="4"/>
      <c r="Q272" s="4"/>
      <c r="R272" s="7" t="s">
        <v>36</v>
      </c>
      <c r="S272" s="4" t="str">
        <f>'Ingest Template'!J272</f>
        <v/>
      </c>
      <c r="T272" s="4" t="str">
        <f>'Ingest Template'!I272</f>
        <v/>
      </c>
      <c r="U272" s="4" t="str">
        <f>LOWER(SUBSTITUTE(SUBSTITUTE(SUBSTITUTE(SUBSTITUTE(SUBSTITUTE('Ingest Template'!K272,"https:",""),"www.",""),"/",""),"?hl=en",""),"instagram.com",""))</f>
        <v/>
      </c>
      <c r="V272" s="9" t="str">
        <f>'Ingest Template'!L272</f>
        <v/>
      </c>
      <c r="W272" s="9" t="str">
        <f>'Ingest Template'!M272</f>
        <v/>
      </c>
      <c r="X272" s="4" t="str">
        <f>SUBSTITUTE(SUBSTITUTE(SUBSTITUTE('Ingest Template'!N272,"http:",""),"https:",""),"/","")</f>
        <v/>
      </c>
      <c r="Y272" s="4" t="str">
        <f t="array" ref="Y272">IF('Ingest Template'!A272="Standard",(IF(ISBLANK('Ingest Template'!O272),"", 'Ingest Template'!O272&amp;"|DAR")),(IF(ISBLANK('Ingest Template'!O272),"", 'Ingest Template'!O272&amp;"|Film Ops")))</f>
        <v/>
      </c>
      <c r="Z272" s="4"/>
      <c r="AA272" s="4" t="str">
        <f>'Ingest Template'!E272</f>
        <v/>
      </c>
      <c r="AB272" s="7"/>
      <c r="AC272" s="4" t="str">
        <f t="array" ref="AC272">IF('Ingest Template'!A272="Standard",(CONCATENATE(IF(ISBLANK('Ingest Template'!F272),"", 'Ingest Template'!F272&amp;"|DAR"),CHAR(10), IF(ISBLANK('Ingest Template'!G272),"", 'Ingest Template'!G272&amp;"|DAR"),CHAR(10), IF(ISBLANK('Ingest Template'!H272),"", 'Ingest Template'!H272&amp;"|DAR"))),(CONCATENATE(IF(ISBLANK('Ingest Template'!F272),"", 'Ingest Template'!F272&amp;"|Film Ops"),CHAR(10), IF(ISBLANK('Ingest Template'!G272),"", 'Ingest Template'!G272&amp;"|Film Ops"),CHAR(10), IF(ISBLANK('Ingest Template'!H272),"", 'Ingest Template'!H272&amp;"|Film Ops"))))</f>
        <v>
</v>
      </c>
      <c r="AD272" s="4"/>
      <c r="AE272" s="4"/>
      <c r="AF272" s="10"/>
      <c r="AG272" s="4"/>
      <c r="AH272" s="4"/>
    </row>
    <row r="273">
      <c r="A273" s="4"/>
      <c r="B273" s="4" t="str">
        <f>'Ingest Template'!B273&amp;IF('Ingest Template'!A273 = "Standard", " - DAR","")</f>
        <v/>
      </c>
      <c r="C273" s="5" t="s">
        <v>34</v>
      </c>
      <c r="D273" s="5" t="str">
        <f>CONCATENATE('Ingest Template'!C273,'Ingest Template'!D273)</f>
        <v/>
      </c>
      <c r="E273" s="4"/>
      <c r="F273" s="4"/>
      <c r="G273" s="4"/>
      <c r="H273" s="6"/>
      <c r="I273" s="6" t="str">
        <f>iF('Ingest Template'!A273="Standard","Pristine Brand","Unknown")</f>
        <v>Unknown</v>
      </c>
      <c r="J273" s="4" t="str">
        <f>iF('Ingest Template'!A273="Standard","LF // Beverages","Competitive View")</f>
        <v>Competitive View</v>
      </c>
      <c r="K273" s="7" t="s">
        <v>35</v>
      </c>
      <c r="L273" s="8"/>
      <c r="M273" s="4"/>
      <c r="N273" s="4"/>
      <c r="O273" s="4"/>
      <c r="P273" s="4"/>
      <c r="Q273" s="4"/>
      <c r="R273" s="7" t="s">
        <v>36</v>
      </c>
      <c r="S273" s="4" t="str">
        <f>'Ingest Template'!J273</f>
        <v/>
      </c>
      <c r="T273" s="4" t="str">
        <f>'Ingest Template'!I273</f>
        <v/>
      </c>
      <c r="U273" s="4" t="str">
        <f>LOWER(SUBSTITUTE(SUBSTITUTE(SUBSTITUTE(SUBSTITUTE(SUBSTITUTE('Ingest Template'!K273,"https:",""),"www.",""),"/",""),"?hl=en",""),"instagram.com",""))</f>
        <v/>
      </c>
      <c r="V273" s="9" t="str">
        <f>'Ingest Template'!L273</f>
        <v/>
      </c>
      <c r="W273" s="9" t="str">
        <f>'Ingest Template'!M273</f>
        <v/>
      </c>
      <c r="X273" s="4" t="str">
        <f>SUBSTITUTE(SUBSTITUTE(SUBSTITUTE('Ingest Template'!N273,"http:",""),"https:",""),"/","")</f>
        <v/>
      </c>
      <c r="Y273" s="4" t="str">
        <f t="array" ref="Y273">IF('Ingest Template'!A273="Standard",(IF(ISBLANK('Ingest Template'!O273),"", 'Ingest Template'!O273&amp;"|DAR")),(IF(ISBLANK('Ingest Template'!O273),"", 'Ingest Template'!O273&amp;"|Film Ops")))</f>
        <v/>
      </c>
      <c r="Z273" s="4"/>
      <c r="AA273" s="4" t="str">
        <f>'Ingest Template'!E273</f>
        <v/>
      </c>
      <c r="AB273" s="7"/>
      <c r="AC273" s="4" t="str">
        <f t="array" ref="AC273">IF('Ingest Template'!A273="Standard",(CONCATENATE(IF(ISBLANK('Ingest Template'!F273),"", 'Ingest Template'!F273&amp;"|DAR"),CHAR(10), IF(ISBLANK('Ingest Template'!G273),"", 'Ingest Template'!G273&amp;"|DAR"),CHAR(10), IF(ISBLANK('Ingest Template'!H273),"", 'Ingest Template'!H273&amp;"|DAR"))),(CONCATENATE(IF(ISBLANK('Ingest Template'!F273),"", 'Ingest Template'!F273&amp;"|Film Ops"),CHAR(10), IF(ISBLANK('Ingest Template'!G273),"", 'Ingest Template'!G273&amp;"|Film Ops"),CHAR(10), IF(ISBLANK('Ingest Template'!H273),"", 'Ingest Template'!H273&amp;"|Film Ops"))))</f>
        <v>
</v>
      </c>
      <c r="AD273" s="4"/>
      <c r="AE273" s="4"/>
      <c r="AF273" s="10"/>
      <c r="AG273" s="4"/>
      <c r="AH273" s="4"/>
    </row>
    <row r="274">
      <c r="A274" s="4"/>
      <c r="B274" s="4" t="str">
        <f>'Ingest Template'!B274&amp;IF('Ingest Template'!A274 = "Standard", " - DAR","")</f>
        <v/>
      </c>
      <c r="C274" s="5" t="s">
        <v>34</v>
      </c>
      <c r="D274" s="5" t="str">
        <f>CONCATENATE('Ingest Template'!C274,'Ingest Template'!D274)</f>
        <v/>
      </c>
      <c r="E274" s="4"/>
      <c r="F274" s="4"/>
      <c r="G274" s="4"/>
      <c r="H274" s="6"/>
      <c r="I274" s="6" t="str">
        <f>iF('Ingest Template'!A274="Standard","Pristine Brand","Unknown")</f>
        <v>Unknown</v>
      </c>
      <c r="J274" s="4" t="str">
        <f>iF('Ingest Template'!A274="Standard","LF // Beverages","Competitive View")</f>
        <v>Competitive View</v>
      </c>
      <c r="K274" s="7" t="s">
        <v>35</v>
      </c>
      <c r="L274" s="8"/>
      <c r="M274" s="4"/>
      <c r="N274" s="4"/>
      <c r="O274" s="4"/>
      <c r="P274" s="4"/>
      <c r="Q274" s="4"/>
      <c r="R274" s="7" t="s">
        <v>36</v>
      </c>
      <c r="S274" s="4" t="str">
        <f>'Ingest Template'!J274</f>
        <v/>
      </c>
      <c r="T274" s="4" t="str">
        <f>'Ingest Template'!I274</f>
        <v/>
      </c>
      <c r="U274" s="4" t="str">
        <f>LOWER(SUBSTITUTE(SUBSTITUTE(SUBSTITUTE(SUBSTITUTE(SUBSTITUTE('Ingest Template'!K274,"https:",""),"www.",""),"/",""),"?hl=en",""),"instagram.com",""))</f>
        <v/>
      </c>
      <c r="V274" s="9" t="str">
        <f>'Ingest Template'!L274</f>
        <v/>
      </c>
      <c r="W274" s="9" t="str">
        <f>'Ingest Template'!M274</f>
        <v/>
      </c>
      <c r="X274" s="4" t="str">
        <f>SUBSTITUTE(SUBSTITUTE(SUBSTITUTE('Ingest Template'!N274,"http:",""),"https:",""),"/","")</f>
        <v/>
      </c>
      <c r="Y274" s="4" t="str">
        <f t="array" ref="Y274">IF('Ingest Template'!A274="Standard",(IF(ISBLANK('Ingest Template'!O274),"", 'Ingest Template'!O274&amp;"|DAR")),(IF(ISBLANK('Ingest Template'!O274),"", 'Ingest Template'!O274&amp;"|Film Ops")))</f>
        <v/>
      </c>
      <c r="Z274" s="4"/>
      <c r="AA274" s="4" t="str">
        <f>'Ingest Template'!E274</f>
        <v/>
      </c>
      <c r="AB274" s="7"/>
      <c r="AC274" s="4" t="str">
        <f t="array" ref="AC274">IF('Ingest Template'!A274="Standard",(CONCATENATE(IF(ISBLANK('Ingest Template'!F274),"", 'Ingest Template'!F274&amp;"|DAR"),CHAR(10), IF(ISBLANK('Ingest Template'!G274),"", 'Ingest Template'!G274&amp;"|DAR"),CHAR(10), IF(ISBLANK('Ingest Template'!H274),"", 'Ingest Template'!H274&amp;"|DAR"))),(CONCATENATE(IF(ISBLANK('Ingest Template'!F274),"", 'Ingest Template'!F274&amp;"|Film Ops"),CHAR(10), IF(ISBLANK('Ingest Template'!G274),"", 'Ingest Template'!G274&amp;"|Film Ops"),CHAR(10), IF(ISBLANK('Ingest Template'!H274),"", 'Ingest Template'!H274&amp;"|Film Ops"))))</f>
        <v>
</v>
      </c>
      <c r="AD274" s="4"/>
      <c r="AE274" s="4"/>
      <c r="AF274" s="10"/>
      <c r="AG274" s="4"/>
      <c r="AH274" s="4"/>
    </row>
    <row r="275">
      <c r="A275" s="4"/>
      <c r="B275" s="4" t="str">
        <f>'Ingest Template'!B275&amp;IF('Ingest Template'!A275 = "Standard", " - DAR","")</f>
        <v/>
      </c>
      <c r="C275" s="5" t="s">
        <v>34</v>
      </c>
      <c r="D275" s="5" t="str">
        <f>CONCATENATE('Ingest Template'!C275,'Ingest Template'!D275)</f>
        <v/>
      </c>
      <c r="E275" s="4"/>
      <c r="F275" s="4"/>
      <c r="G275" s="4"/>
      <c r="H275" s="6"/>
      <c r="I275" s="6" t="str">
        <f>iF('Ingest Template'!A275="Standard","Pristine Brand","Unknown")</f>
        <v>Unknown</v>
      </c>
      <c r="J275" s="4" t="str">
        <f>iF('Ingest Template'!A275="Standard","LF // Beverages","Competitive View")</f>
        <v>Competitive View</v>
      </c>
      <c r="K275" s="7" t="s">
        <v>35</v>
      </c>
      <c r="L275" s="8"/>
      <c r="M275" s="4"/>
      <c r="N275" s="4"/>
      <c r="O275" s="4"/>
      <c r="P275" s="4"/>
      <c r="Q275" s="4"/>
      <c r="R275" s="7" t="s">
        <v>36</v>
      </c>
      <c r="S275" s="4" t="str">
        <f>'Ingest Template'!J275</f>
        <v/>
      </c>
      <c r="T275" s="4" t="str">
        <f>'Ingest Template'!I275</f>
        <v/>
      </c>
      <c r="U275" s="4" t="str">
        <f>LOWER(SUBSTITUTE(SUBSTITUTE(SUBSTITUTE(SUBSTITUTE(SUBSTITUTE('Ingest Template'!K275,"https:",""),"www.",""),"/",""),"?hl=en",""),"instagram.com",""))</f>
        <v/>
      </c>
      <c r="V275" s="9" t="str">
        <f>'Ingest Template'!L275</f>
        <v/>
      </c>
      <c r="W275" s="9" t="str">
        <f>'Ingest Template'!M275</f>
        <v/>
      </c>
      <c r="X275" s="4" t="str">
        <f>SUBSTITUTE(SUBSTITUTE(SUBSTITUTE('Ingest Template'!N275,"http:",""),"https:",""),"/","")</f>
        <v/>
      </c>
      <c r="Y275" s="4" t="str">
        <f t="array" ref="Y275">IF('Ingest Template'!A275="Standard",(IF(ISBLANK('Ingest Template'!O275),"", 'Ingest Template'!O275&amp;"|DAR")),(IF(ISBLANK('Ingest Template'!O275),"", 'Ingest Template'!O275&amp;"|Film Ops")))</f>
        <v/>
      </c>
      <c r="Z275" s="4"/>
      <c r="AA275" s="4" t="str">
        <f>'Ingest Template'!E275</f>
        <v/>
      </c>
      <c r="AB275" s="7"/>
      <c r="AC275" s="4" t="str">
        <f t="array" ref="AC275">IF('Ingest Template'!A275="Standard",(CONCATENATE(IF(ISBLANK('Ingest Template'!F275),"", 'Ingest Template'!F275&amp;"|DAR"),CHAR(10), IF(ISBLANK('Ingest Template'!G275),"", 'Ingest Template'!G275&amp;"|DAR"),CHAR(10), IF(ISBLANK('Ingest Template'!H275),"", 'Ingest Template'!H275&amp;"|DAR"))),(CONCATENATE(IF(ISBLANK('Ingest Template'!F275),"", 'Ingest Template'!F275&amp;"|Film Ops"),CHAR(10), IF(ISBLANK('Ingest Template'!G275),"", 'Ingest Template'!G275&amp;"|Film Ops"),CHAR(10), IF(ISBLANK('Ingest Template'!H275),"", 'Ingest Template'!H275&amp;"|Film Ops"))))</f>
        <v>
</v>
      </c>
      <c r="AD275" s="4"/>
      <c r="AE275" s="4"/>
      <c r="AF275" s="10"/>
      <c r="AG275" s="4"/>
      <c r="AH275" s="4"/>
    </row>
    <row r="276">
      <c r="A276" s="4"/>
      <c r="B276" s="4" t="str">
        <f>'Ingest Template'!B276&amp;IF('Ingest Template'!A276 = "Standard", " - DAR","")</f>
        <v/>
      </c>
      <c r="C276" s="5" t="s">
        <v>34</v>
      </c>
      <c r="D276" s="5" t="str">
        <f>CONCATENATE('Ingest Template'!C276,'Ingest Template'!D276)</f>
        <v/>
      </c>
      <c r="E276" s="4"/>
      <c r="F276" s="4"/>
      <c r="G276" s="4"/>
      <c r="H276" s="6"/>
      <c r="I276" s="6" t="str">
        <f>iF('Ingest Template'!A276="Standard","Pristine Brand","Unknown")</f>
        <v>Unknown</v>
      </c>
      <c r="J276" s="4" t="str">
        <f>iF('Ingest Template'!A276="Standard","LF // Beverages","Competitive View")</f>
        <v>Competitive View</v>
      </c>
      <c r="K276" s="7" t="s">
        <v>35</v>
      </c>
      <c r="L276" s="8"/>
      <c r="M276" s="4"/>
      <c r="N276" s="4"/>
      <c r="O276" s="4"/>
      <c r="P276" s="4"/>
      <c r="Q276" s="4"/>
      <c r="R276" s="7" t="s">
        <v>36</v>
      </c>
      <c r="S276" s="4" t="str">
        <f>'Ingest Template'!J276</f>
        <v/>
      </c>
      <c r="T276" s="4" t="str">
        <f>'Ingest Template'!I276</f>
        <v/>
      </c>
      <c r="U276" s="4" t="str">
        <f>LOWER(SUBSTITUTE(SUBSTITUTE(SUBSTITUTE(SUBSTITUTE(SUBSTITUTE('Ingest Template'!K276,"https:",""),"www.",""),"/",""),"?hl=en",""),"instagram.com",""))</f>
        <v/>
      </c>
      <c r="V276" s="9" t="str">
        <f>'Ingest Template'!L276</f>
        <v/>
      </c>
      <c r="W276" s="9" t="str">
        <f>'Ingest Template'!M276</f>
        <v/>
      </c>
      <c r="X276" s="4" t="str">
        <f>SUBSTITUTE(SUBSTITUTE(SUBSTITUTE('Ingest Template'!N276,"http:",""),"https:",""),"/","")</f>
        <v/>
      </c>
      <c r="Y276" s="4" t="str">
        <f t="array" ref="Y276">IF('Ingest Template'!A276="Standard",(IF(ISBLANK('Ingest Template'!O276),"", 'Ingest Template'!O276&amp;"|DAR")),(IF(ISBLANK('Ingest Template'!O276),"", 'Ingest Template'!O276&amp;"|Film Ops")))</f>
        <v/>
      </c>
      <c r="Z276" s="4"/>
      <c r="AA276" s="4" t="str">
        <f>'Ingest Template'!E276</f>
        <v/>
      </c>
      <c r="AB276" s="7"/>
      <c r="AC276" s="4" t="str">
        <f t="array" ref="AC276">IF('Ingest Template'!A276="Standard",(CONCATENATE(IF(ISBLANK('Ingest Template'!F276),"", 'Ingest Template'!F276&amp;"|DAR"),CHAR(10), IF(ISBLANK('Ingest Template'!G276),"", 'Ingest Template'!G276&amp;"|DAR"),CHAR(10), IF(ISBLANK('Ingest Template'!H276),"", 'Ingest Template'!H276&amp;"|DAR"))),(CONCATENATE(IF(ISBLANK('Ingest Template'!F276),"", 'Ingest Template'!F276&amp;"|Film Ops"),CHAR(10), IF(ISBLANK('Ingest Template'!G276),"", 'Ingest Template'!G276&amp;"|Film Ops"),CHAR(10), IF(ISBLANK('Ingest Template'!H276),"", 'Ingest Template'!H276&amp;"|Film Ops"))))</f>
        <v>
</v>
      </c>
      <c r="AD276" s="4"/>
      <c r="AE276" s="4"/>
      <c r="AF276" s="10"/>
      <c r="AG276" s="4"/>
      <c r="AH276" s="4"/>
    </row>
    <row r="277">
      <c r="A277" s="4"/>
      <c r="B277" s="4" t="str">
        <f>'Ingest Template'!B277&amp;IF('Ingest Template'!A277 = "Standard", " - DAR","")</f>
        <v/>
      </c>
      <c r="C277" s="5" t="s">
        <v>34</v>
      </c>
      <c r="D277" s="5" t="str">
        <f>CONCATENATE('Ingest Template'!C277,'Ingest Template'!D277)</f>
        <v/>
      </c>
      <c r="E277" s="4"/>
      <c r="F277" s="4"/>
      <c r="G277" s="4"/>
      <c r="H277" s="6"/>
      <c r="I277" s="6" t="str">
        <f>iF('Ingest Template'!A277="Standard","Pristine Brand","Unknown")</f>
        <v>Unknown</v>
      </c>
      <c r="J277" s="4" t="str">
        <f>iF('Ingest Template'!A277="Standard","LF // Beverages","Competitive View")</f>
        <v>Competitive View</v>
      </c>
      <c r="K277" s="7" t="s">
        <v>35</v>
      </c>
      <c r="L277" s="8"/>
      <c r="M277" s="4"/>
      <c r="N277" s="4"/>
      <c r="O277" s="4"/>
      <c r="P277" s="4"/>
      <c r="Q277" s="4"/>
      <c r="R277" s="7" t="s">
        <v>36</v>
      </c>
      <c r="S277" s="4" t="str">
        <f>'Ingest Template'!J277</f>
        <v/>
      </c>
      <c r="T277" s="4" t="str">
        <f>'Ingest Template'!I277</f>
        <v/>
      </c>
      <c r="U277" s="4" t="str">
        <f>LOWER(SUBSTITUTE(SUBSTITUTE(SUBSTITUTE(SUBSTITUTE(SUBSTITUTE('Ingest Template'!K277,"https:",""),"www.",""),"/",""),"?hl=en",""),"instagram.com",""))</f>
        <v/>
      </c>
      <c r="V277" s="9" t="str">
        <f>'Ingest Template'!L277</f>
        <v/>
      </c>
      <c r="W277" s="9" t="str">
        <f>'Ingest Template'!M277</f>
        <v/>
      </c>
      <c r="X277" s="4" t="str">
        <f>SUBSTITUTE(SUBSTITUTE(SUBSTITUTE('Ingest Template'!N277,"http:",""),"https:",""),"/","")</f>
        <v/>
      </c>
      <c r="Y277" s="4" t="str">
        <f t="array" ref="Y277">IF('Ingest Template'!A277="Standard",(IF(ISBLANK('Ingest Template'!O277),"", 'Ingest Template'!O277&amp;"|DAR")),(IF(ISBLANK('Ingest Template'!O277),"", 'Ingest Template'!O277&amp;"|Film Ops")))</f>
        <v/>
      </c>
      <c r="Z277" s="4"/>
      <c r="AA277" s="4" t="str">
        <f>'Ingest Template'!E277</f>
        <v/>
      </c>
      <c r="AB277" s="7"/>
      <c r="AC277" s="4" t="str">
        <f t="array" ref="AC277">IF('Ingest Template'!A277="Standard",(CONCATENATE(IF(ISBLANK('Ingest Template'!F277),"", 'Ingest Template'!F277&amp;"|DAR"),CHAR(10), IF(ISBLANK('Ingest Template'!G277),"", 'Ingest Template'!G277&amp;"|DAR"),CHAR(10), IF(ISBLANK('Ingest Template'!H277),"", 'Ingest Template'!H277&amp;"|DAR"))),(CONCATENATE(IF(ISBLANK('Ingest Template'!F277),"", 'Ingest Template'!F277&amp;"|Film Ops"),CHAR(10), IF(ISBLANK('Ingest Template'!G277),"", 'Ingest Template'!G277&amp;"|Film Ops"),CHAR(10), IF(ISBLANK('Ingest Template'!H277),"", 'Ingest Template'!H277&amp;"|Film Ops"))))</f>
        <v>
</v>
      </c>
      <c r="AD277" s="4"/>
      <c r="AE277" s="4"/>
      <c r="AF277" s="10"/>
      <c r="AG277" s="4"/>
      <c r="AH277" s="4"/>
    </row>
    <row r="278">
      <c r="A278" s="4"/>
      <c r="B278" s="4" t="str">
        <f>'Ingest Template'!B278&amp;IF('Ingest Template'!A278 = "Standard", " - DAR","")</f>
        <v/>
      </c>
      <c r="C278" s="5" t="s">
        <v>34</v>
      </c>
      <c r="D278" s="5" t="str">
        <f>CONCATENATE('Ingest Template'!C278,'Ingest Template'!D278)</f>
        <v/>
      </c>
      <c r="E278" s="4"/>
      <c r="F278" s="4"/>
      <c r="G278" s="4"/>
      <c r="H278" s="6"/>
      <c r="I278" s="6" t="str">
        <f>iF('Ingest Template'!A278="Standard","Pristine Brand","Unknown")</f>
        <v>Unknown</v>
      </c>
      <c r="J278" s="4" t="str">
        <f>iF('Ingest Template'!A278="Standard","LF // Beverages","Competitive View")</f>
        <v>Competitive View</v>
      </c>
      <c r="K278" s="7" t="s">
        <v>35</v>
      </c>
      <c r="L278" s="8"/>
      <c r="M278" s="4"/>
      <c r="N278" s="4"/>
      <c r="O278" s="4"/>
      <c r="P278" s="4"/>
      <c r="Q278" s="4"/>
      <c r="R278" s="7" t="s">
        <v>36</v>
      </c>
      <c r="S278" s="4" t="str">
        <f>'Ingest Template'!J278</f>
        <v/>
      </c>
      <c r="T278" s="4" t="str">
        <f>'Ingest Template'!I278</f>
        <v/>
      </c>
      <c r="U278" s="4" t="str">
        <f>LOWER(SUBSTITUTE(SUBSTITUTE(SUBSTITUTE(SUBSTITUTE(SUBSTITUTE('Ingest Template'!K278,"https:",""),"www.",""),"/",""),"?hl=en",""),"instagram.com",""))</f>
        <v/>
      </c>
      <c r="V278" s="9" t="str">
        <f>'Ingest Template'!L278</f>
        <v/>
      </c>
      <c r="W278" s="9" t="str">
        <f>'Ingest Template'!M278</f>
        <v/>
      </c>
      <c r="X278" s="4" t="str">
        <f>SUBSTITUTE(SUBSTITUTE(SUBSTITUTE('Ingest Template'!N278,"http:",""),"https:",""),"/","")</f>
        <v/>
      </c>
      <c r="Y278" s="4" t="str">
        <f t="array" ref="Y278">IF('Ingest Template'!A278="Standard",(IF(ISBLANK('Ingest Template'!O278),"", 'Ingest Template'!O278&amp;"|DAR")),(IF(ISBLANK('Ingest Template'!O278),"", 'Ingest Template'!O278&amp;"|Film Ops")))</f>
        <v/>
      </c>
      <c r="Z278" s="4"/>
      <c r="AA278" s="4" t="str">
        <f>'Ingest Template'!E278</f>
        <v/>
      </c>
      <c r="AB278" s="7"/>
      <c r="AC278" s="4" t="str">
        <f t="array" ref="AC278">IF('Ingest Template'!A278="Standard",(CONCATENATE(IF(ISBLANK('Ingest Template'!F278),"", 'Ingest Template'!F278&amp;"|DAR"),CHAR(10), IF(ISBLANK('Ingest Template'!G278),"", 'Ingest Template'!G278&amp;"|DAR"),CHAR(10), IF(ISBLANK('Ingest Template'!H278),"", 'Ingest Template'!H278&amp;"|DAR"))),(CONCATENATE(IF(ISBLANK('Ingest Template'!F278),"", 'Ingest Template'!F278&amp;"|Film Ops"),CHAR(10), IF(ISBLANK('Ingest Template'!G278),"", 'Ingest Template'!G278&amp;"|Film Ops"),CHAR(10), IF(ISBLANK('Ingest Template'!H278),"", 'Ingest Template'!H278&amp;"|Film Ops"))))</f>
        <v>
</v>
      </c>
      <c r="AD278" s="4"/>
      <c r="AE278" s="4"/>
      <c r="AF278" s="10"/>
      <c r="AG278" s="4"/>
      <c r="AH278" s="4"/>
    </row>
    <row r="279">
      <c r="A279" s="4"/>
      <c r="B279" s="4" t="str">
        <f>'Ingest Template'!B279&amp;IF('Ingest Template'!A279 = "Standard", " - DAR","")</f>
        <v/>
      </c>
      <c r="C279" s="5" t="s">
        <v>34</v>
      </c>
      <c r="D279" s="5" t="str">
        <f>CONCATENATE('Ingest Template'!C279,'Ingest Template'!D279)</f>
        <v/>
      </c>
      <c r="E279" s="4"/>
      <c r="F279" s="4"/>
      <c r="G279" s="4"/>
      <c r="H279" s="6"/>
      <c r="I279" s="6" t="str">
        <f>iF('Ingest Template'!A279="Standard","Pristine Brand","Unknown")</f>
        <v>Unknown</v>
      </c>
      <c r="J279" s="4" t="str">
        <f>iF('Ingest Template'!A279="Standard","LF // Beverages","Competitive View")</f>
        <v>Competitive View</v>
      </c>
      <c r="K279" s="7" t="s">
        <v>35</v>
      </c>
      <c r="L279" s="8"/>
      <c r="M279" s="4"/>
      <c r="N279" s="4"/>
      <c r="O279" s="4"/>
      <c r="P279" s="4"/>
      <c r="Q279" s="4"/>
      <c r="R279" s="7" t="s">
        <v>36</v>
      </c>
      <c r="S279" s="4" t="str">
        <f>'Ingest Template'!J279</f>
        <v/>
      </c>
      <c r="T279" s="4" t="str">
        <f>'Ingest Template'!I279</f>
        <v/>
      </c>
      <c r="U279" s="4" t="str">
        <f>LOWER(SUBSTITUTE(SUBSTITUTE(SUBSTITUTE(SUBSTITUTE(SUBSTITUTE('Ingest Template'!K279,"https:",""),"www.",""),"/",""),"?hl=en",""),"instagram.com",""))</f>
        <v/>
      </c>
      <c r="V279" s="9" t="str">
        <f>'Ingest Template'!L279</f>
        <v/>
      </c>
      <c r="W279" s="9" t="str">
        <f>'Ingest Template'!M279</f>
        <v/>
      </c>
      <c r="X279" s="4" t="str">
        <f>SUBSTITUTE(SUBSTITUTE(SUBSTITUTE('Ingest Template'!N279,"http:",""),"https:",""),"/","")</f>
        <v/>
      </c>
      <c r="Y279" s="4" t="str">
        <f t="array" ref="Y279">IF('Ingest Template'!A279="Standard",(IF(ISBLANK('Ingest Template'!O279),"", 'Ingest Template'!O279&amp;"|DAR")),(IF(ISBLANK('Ingest Template'!O279),"", 'Ingest Template'!O279&amp;"|Film Ops")))</f>
        <v/>
      </c>
      <c r="Z279" s="4"/>
      <c r="AA279" s="4" t="str">
        <f>'Ingest Template'!E279</f>
        <v/>
      </c>
      <c r="AB279" s="7"/>
      <c r="AC279" s="4" t="str">
        <f t="array" ref="AC279">IF('Ingest Template'!A279="Standard",(CONCATENATE(IF(ISBLANK('Ingest Template'!F279),"", 'Ingest Template'!F279&amp;"|DAR"),CHAR(10), IF(ISBLANK('Ingest Template'!G279),"", 'Ingest Template'!G279&amp;"|DAR"),CHAR(10), IF(ISBLANK('Ingest Template'!H279),"", 'Ingest Template'!H279&amp;"|DAR"))),(CONCATENATE(IF(ISBLANK('Ingest Template'!F279),"", 'Ingest Template'!F279&amp;"|Film Ops"),CHAR(10), IF(ISBLANK('Ingest Template'!G279),"", 'Ingest Template'!G279&amp;"|Film Ops"),CHAR(10), IF(ISBLANK('Ingest Template'!H279),"", 'Ingest Template'!H279&amp;"|Film Ops"))))</f>
        <v>
</v>
      </c>
      <c r="AD279" s="4"/>
      <c r="AE279" s="4"/>
      <c r="AF279" s="10"/>
      <c r="AG279" s="4"/>
      <c r="AH279" s="4"/>
    </row>
    <row r="280">
      <c r="A280" s="4"/>
      <c r="B280" s="4" t="str">
        <f>'Ingest Template'!B280&amp;IF('Ingest Template'!A280 = "Standard", " - DAR","")</f>
        <v/>
      </c>
      <c r="C280" s="5" t="s">
        <v>34</v>
      </c>
      <c r="D280" s="5" t="str">
        <f>CONCATENATE('Ingest Template'!C280,'Ingest Template'!D280)</f>
        <v/>
      </c>
      <c r="E280" s="4"/>
      <c r="F280" s="4"/>
      <c r="G280" s="4"/>
      <c r="H280" s="6"/>
      <c r="I280" s="6" t="str">
        <f>iF('Ingest Template'!A280="Standard","Pristine Brand","Unknown")</f>
        <v>Unknown</v>
      </c>
      <c r="J280" s="4" t="str">
        <f>iF('Ingest Template'!A280="Standard","LF // Beverages","Competitive View")</f>
        <v>Competitive View</v>
      </c>
      <c r="K280" s="7" t="s">
        <v>35</v>
      </c>
      <c r="L280" s="8"/>
      <c r="M280" s="4"/>
      <c r="N280" s="4"/>
      <c r="O280" s="4"/>
      <c r="P280" s="4"/>
      <c r="Q280" s="4"/>
      <c r="R280" s="7" t="s">
        <v>36</v>
      </c>
      <c r="S280" s="4" t="str">
        <f>'Ingest Template'!J280</f>
        <v/>
      </c>
      <c r="T280" s="4" t="str">
        <f>'Ingest Template'!I280</f>
        <v/>
      </c>
      <c r="U280" s="4" t="str">
        <f>LOWER(SUBSTITUTE(SUBSTITUTE(SUBSTITUTE(SUBSTITUTE(SUBSTITUTE('Ingest Template'!K280,"https:",""),"www.",""),"/",""),"?hl=en",""),"instagram.com",""))</f>
        <v/>
      </c>
      <c r="V280" s="9" t="str">
        <f>'Ingest Template'!L280</f>
        <v/>
      </c>
      <c r="W280" s="9" t="str">
        <f>'Ingest Template'!M280</f>
        <v/>
      </c>
      <c r="X280" s="4" t="str">
        <f>SUBSTITUTE(SUBSTITUTE(SUBSTITUTE('Ingest Template'!N280,"http:",""),"https:",""),"/","")</f>
        <v/>
      </c>
      <c r="Y280" s="4" t="str">
        <f t="array" ref="Y280">IF('Ingest Template'!A280="Standard",(IF(ISBLANK('Ingest Template'!O280),"", 'Ingest Template'!O280&amp;"|DAR")),(IF(ISBLANK('Ingest Template'!O280),"", 'Ingest Template'!O280&amp;"|Film Ops")))</f>
        <v/>
      </c>
      <c r="Z280" s="4"/>
      <c r="AA280" s="4" t="str">
        <f>'Ingest Template'!E280</f>
        <v/>
      </c>
      <c r="AB280" s="7"/>
      <c r="AC280" s="4" t="str">
        <f t="array" ref="AC280">IF('Ingest Template'!A280="Standard",(CONCATENATE(IF(ISBLANK('Ingest Template'!F280),"", 'Ingest Template'!F280&amp;"|DAR"),CHAR(10), IF(ISBLANK('Ingest Template'!G280),"", 'Ingest Template'!G280&amp;"|DAR"),CHAR(10), IF(ISBLANK('Ingest Template'!H280),"", 'Ingest Template'!H280&amp;"|DAR"))),(CONCATENATE(IF(ISBLANK('Ingest Template'!F280),"", 'Ingest Template'!F280&amp;"|Film Ops"),CHAR(10), IF(ISBLANK('Ingest Template'!G280),"", 'Ingest Template'!G280&amp;"|Film Ops"),CHAR(10), IF(ISBLANK('Ingest Template'!H280),"", 'Ingest Template'!H280&amp;"|Film Ops"))))</f>
        <v>
</v>
      </c>
      <c r="AD280" s="4"/>
      <c r="AE280" s="4"/>
      <c r="AF280" s="10"/>
      <c r="AG280" s="4"/>
      <c r="AH280" s="4"/>
    </row>
    <row r="281">
      <c r="A281" s="4"/>
      <c r="B281" s="4" t="str">
        <f>'Ingest Template'!B281&amp;IF('Ingest Template'!A281 = "Standard", " - DAR","")</f>
        <v/>
      </c>
      <c r="C281" s="5" t="s">
        <v>34</v>
      </c>
      <c r="D281" s="5" t="str">
        <f>CONCATENATE('Ingest Template'!C281,'Ingest Template'!D281)</f>
        <v/>
      </c>
      <c r="E281" s="4"/>
      <c r="F281" s="4"/>
      <c r="G281" s="4"/>
      <c r="H281" s="6"/>
      <c r="I281" s="6" t="str">
        <f>iF('Ingest Template'!A281="Standard","Pristine Brand","Unknown")</f>
        <v>Unknown</v>
      </c>
      <c r="J281" s="4" t="str">
        <f>iF('Ingest Template'!A281="Standard","LF // Beverages","Competitive View")</f>
        <v>Competitive View</v>
      </c>
      <c r="K281" s="7" t="s">
        <v>35</v>
      </c>
      <c r="L281" s="8"/>
      <c r="M281" s="4"/>
      <c r="N281" s="4"/>
      <c r="O281" s="4"/>
      <c r="P281" s="4"/>
      <c r="Q281" s="4"/>
      <c r="R281" s="7" t="s">
        <v>36</v>
      </c>
      <c r="S281" s="4" t="str">
        <f>'Ingest Template'!J281</f>
        <v/>
      </c>
      <c r="T281" s="4" t="str">
        <f>'Ingest Template'!I281</f>
        <v/>
      </c>
      <c r="U281" s="4" t="str">
        <f>LOWER(SUBSTITUTE(SUBSTITUTE(SUBSTITUTE(SUBSTITUTE(SUBSTITUTE('Ingest Template'!K281,"https:",""),"www.",""),"/",""),"?hl=en",""),"instagram.com",""))</f>
        <v/>
      </c>
      <c r="V281" s="9" t="str">
        <f>'Ingest Template'!L281</f>
        <v/>
      </c>
      <c r="W281" s="9" t="str">
        <f>'Ingest Template'!M281</f>
        <v/>
      </c>
      <c r="X281" s="4" t="str">
        <f>SUBSTITUTE(SUBSTITUTE(SUBSTITUTE('Ingest Template'!N281,"http:",""),"https:",""),"/","")</f>
        <v/>
      </c>
      <c r="Y281" s="4" t="str">
        <f t="array" ref="Y281">IF('Ingest Template'!A281="Standard",(IF(ISBLANK('Ingest Template'!O281),"", 'Ingest Template'!O281&amp;"|DAR")),(IF(ISBLANK('Ingest Template'!O281),"", 'Ingest Template'!O281&amp;"|Film Ops")))</f>
        <v/>
      </c>
      <c r="Z281" s="4"/>
      <c r="AA281" s="4" t="str">
        <f>'Ingest Template'!E281</f>
        <v/>
      </c>
      <c r="AB281" s="7"/>
      <c r="AC281" s="4" t="str">
        <f t="array" ref="AC281">IF('Ingest Template'!A281="Standard",(CONCATENATE(IF(ISBLANK('Ingest Template'!F281),"", 'Ingest Template'!F281&amp;"|DAR"),CHAR(10), IF(ISBLANK('Ingest Template'!G281),"", 'Ingest Template'!G281&amp;"|DAR"),CHAR(10), IF(ISBLANK('Ingest Template'!H281),"", 'Ingest Template'!H281&amp;"|DAR"))),(CONCATENATE(IF(ISBLANK('Ingest Template'!F281),"", 'Ingest Template'!F281&amp;"|Film Ops"),CHAR(10), IF(ISBLANK('Ingest Template'!G281),"", 'Ingest Template'!G281&amp;"|Film Ops"),CHAR(10), IF(ISBLANK('Ingest Template'!H281),"", 'Ingest Template'!H281&amp;"|Film Ops"))))</f>
        <v>
</v>
      </c>
      <c r="AD281" s="4"/>
      <c r="AE281" s="4"/>
      <c r="AF281" s="10"/>
      <c r="AG281" s="4"/>
      <c r="AH281" s="4"/>
    </row>
    <row r="282">
      <c r="A282" s="4"/>
      <c r="B282" s="4" t="str">
        <f>'Ingest Template'!B282&amp;IF('Ingest Template'!A282 = "Standard", " - DAR","")</f>
        <v/>
      </c>
      <c r="C282" s="5" t="s">
        <v>34</v>
      </c>
      <c r="D282" s="5" t="str">
        <f>CONCATENATE('Ingest Template'!C282,'Ingest Template'!D282)</f>
        <v/>
      </c>
      <c r="E282" s="4"/>
      <c r="F282" s="4"/>
      <c r="G282" s="4"/>
      <c r="H282" s="6"/>
      <c r="I282" s="6" t="str">
        <f>iF('Ingest Template'!A282="Standard","Pristine Brand","Unknown")</f>
        <v>Unknown</v>
      </c>
      <c r="J282" s="4" t="str">
        <f>iF('Ingest Template'!A282="Standard","LF // Beverages","Competitive View")</f>
        <v>Competitive View</v>
      </c>
      <c r="K282" s="7" t="s">
        <v>35</v>
      </c>
      <c r="L282" s="8"/>
      <c r="M282" s="4"/>
      <c r="N282" s="4"/>
      <c r="O282" s="4"/>
      <c r="P282" s="4"/>
      <c r="Q282" s="4"/>
      <c r="R282" s="7" t="s">
        <v>36</v>
      </c>
      <c r="S282" s="4" t="str">
        <f>'Ingest Template'!J282</f>
        <v/>
      </c>
      <c r="T282" s="4" t="str">
        <f>'Ingest Template'!I282</f>
        <v/>
      </c>
      <c r="U282" s="4" t="str">
        <f>LOWER(SUBSTITUTE(SUBSTITUTE(SUBSTITUTE(SUBSTITUTE(SUBSTITUTE('Ingest Template'!K282,"https:",""),"www.",""),"/",""),"?hl=en",""),"instagram.com",""))</f>
        <v/>
      </c>
      <c r="V282" s="9" t="str">
        <f>'Ingest Template'!L282</f>
        <v/>
      </c>
      <c r="W282" s="9" t="str">
        <f>'Ingest Template'!M282</f>
        <v/>
      </c>
      <c r="X282" s="4" t="str">
        <f>SUBSTITUTE(SUBSTITUTE(SUBSTITUTE('Ingest Template'!N282,"http:",""),"https:",""),"/","")</f>
        <v/>
      </c>
      <c r="Y282" s="4" t="str">
        <f t="array" ref="Y282">IF('Ingest Template'!A282="Standard",(IF(ISBLANK('Ingest Template'!O282),"", 'Ingest Template'!O282&amp;"|DAR")),(IF(ISBLANK('Ingest Template'!O282),"", 'Ingest Template'!O282&amp;"|Film Ops")))</f>
        <v/>
      </c>
      <c r="Z282" s="4"/>
      <c r="AA282" s="4" t="str">
        <f>'Ingest Template'!E282</f>
        <v/>
      </c>
      <c r="AB282" s="7"/>
      <c r="AC282" s="4" t="str">
        <f t="array" ref="AC282">IF('Ingest Template'!A282="Standard",(CONCATENATE(IF(ISBLANK('Ingest Template'!F282),"", 'Ingest Template'!F282&amp;"|DAR"),CHAR(10), IF(ISBLANK('Ingest Template'!G282),"", 'Ingest Template'!G282&amp;"|DAR"),CHAR(10), IF(ISBLANK('Ingest Template'!H282),"", 'Ingest Template'!H282&amp;"|DAR"))),(CONCATENATE(IF(ISBLANK('Ingest Template'!F282),"", 'Ingest Template'!F282&amp;"|Film Ops"),CHAR(10), IF(ISBLANK('Ingest Template'!G282),"", 'Ingest Template'!G282&amp;"|Film Ops"),CHAR(10), IF(ISBLANK('Ingest Template'!H282),"", 'Ingest Template'!H282&amp;"|Film Ops"))))</f>
        <v>
</v>
      </c>
      <c r="AD282" s="4"/>
      <c r="AE282" s="4"/>
      <c r="AF282" s="10"/>
      <c r="AG282" s="4"/>
      <c r="AH282" s="4"/>
    </row>
    <row r="283">
      <c r="A283" s="4"/>
      <c r="B283" s="4" t="str">
        <f>'Ingest Template'!B283&amp;IF('Ingest Template'!A283 = "Standard", " - DAR","")</f>
        <v/>
      </c>
      <c r="C283" s="5" t="s">
        <v>34</v>
      </c>
      <c r="D283" s="5" t="str">
        <f>CONCATENATE('Ingest Template'!C283,'Ingest Template'!D283)</f>
        <v/>
      </c>
      <c r="E283" s="4"/>
      <c r="F283" s="4"/>
      <c r="G283" s="4"/>
      <c r="H283" s="6"/>
      <c r="I283" s="6" t="str">
        <f>iF('Ingest Template'!A283="Standard","Pristine Brand","Unknown")</f>
        <v>Unknown</v>
      </c>
      <c r="J283" s="4" t="str">
        <f>iF('Ingest Template'!A283="Standard","LF // Beverages","Competitive View")</f>
        <v>Competitive View</v>
      </c>
      <c r="K283" s="7" t="s">
        <v>35</v>
      </c>
      <c r="L283" s="8"/>
      <c r="M283" s="4"/>
      <c r="N283" s="4"/>
      <c r="O283" s="4"/>
      <c r="P283" s="4"/>
      <c r="Q283" s="4"/>
      <c r="R283" s="7" t="s">
        <v>36</v>
      </c>
      <c r="S283" s="4" t="str">
        <f>'Ingest Template'!J283</f>
        <v/>
      </c>
      <c r="T283" s="4" t="str">
        <f>'Ingest Template'!I283</f>
        <v/>
      </c>
      <c r="U283" s="4" t="str">
        <f>LOWER(SUBSTITUTE(SUBSTITUTE(SUBSTITUTE(SUBSTITUTE(SUBSTITUTE('Ingest Template'!K283,"https:",""),"www.",""),"/",""),"?hl=en",""),"instagram.com",""))</f>
        <v/>
      </c>
      <c r="V283" s="9" t="str">
        <f>'Ingest Template'!L283</f>
        <v/>
      </c>
      <c r="W283" s="9" t="str">
        <f>'Ingest Template'!M283</f>
        <v/>
      </c>
      <c r="X283" s="4" t="str">
        <f>SUBSTITUTE(SUBSTITUTE(SUBSTITUTE('Ingest Template'!N283,"http:",""),"https:",""),"/","")</f>
        <v/>
      </c>
      <c r="Y283" s="4" t="str">
        <f t="array" ref="Y283">IF('Ingest Template'!A283="Standard",(IF(ISBLANK('Ingest Template'!O283),"", 'Ingest Template'!O283&amp;"|DAR")),(IF(ISBLANK('Ingest Template'!O283),"", 'Ingest Template'!O283&amp;"|Film Ops")))</f>
        <v/>
      </c>
      <c r="Z283" s="4"/>
      <c r="AA283" s="4" t="str">
        <f>'Ingest Template'!E283</f>
        <v/>
      </c>
      <c r="AB283" s="7"/>
      <c r="AC283" s="4" t="str">
        <f t="array" ref="AC283">IF('Ingest Template'!A283="Standard",(CONCATENATE(IF(ISBLANK('Ingest Template'!F283),"", 'Ingest Template'!F283&amp;"|DAR"),CHAR(10), IF(ISBLANK('Ingest Template'!G283),"", 'Ingest Template'!G283&amp;"|DAR"),CHAR(10), IF(ISBLANK('Ingest Template'!H283),"", 'Ingest Template'!H283&amp;"|DAR"))),(CONCATENATE(IF(ISBLANK('Ingest Template'!F283),"", 'Ingest Template'!F283&amp;"|Film Ops"),CHAR(10), IF(ISBLANK('Ingest Template'!G283),"", 'Ingest Template'!G283&amp;"|Film Ops"),CHAR(10), IF(ISBLANK('Ingest Template'!H283),"", 'Ingest Template'!H283&amp;"|Film Ops"))))</f>
        <v>
</v>
      </c>
      <c r="AD283" s="4"/>
      <c r="AE283" s="4"/>
      <c r="AF283" s="10"/>
      <c r="AG283" s="4"/>
      <c r="AH283" s="4"/>
    </row>
    <row r="284">
      <c r="A284" s="4"/>
      <c r="B284" s="4" t="str">
        <f>'Ingest Template'!B284&amp;IF('Ingest Template'!A284 = "Standard", " - DAR","")</f>
        <v/>
      </c>
      <c r="C284" s="5" t="s">
        <v>34</v>
      </c>
      <c r="D284" s="5" t="str">
        <f>CONCATENATE('Ingest Template'!C284,'Ingest Template'!D284)</f>
        <v/>
      </c>
      <c r="E284" s="4"/>
      <c r="F284" s="4"/>
      <c r="G284" s="4"/>
      <c r="H284" s="6"/>
      <c r="I284" s="6" t="str">
        <f>iF('Ingest Template'!A284="Standard","Pristine Brand","Unknown")</f>
        <v>Unknown</v>
      </c>
      <c r="J284" s="4" t="str">
        <f>iF('Ingest Template'!A284="Standard","LF // Beverages","Competitive View")</f>
        <v>Competitive View</v>
      </c>
      <c r="K284" s="7" t="s">
        <v>35</v>
      </c>
      <c r="L284" s="8"/>
      <c r="M284" s="4"/>
      <c r="N284" s="4"/>
      <c r="O284" s="4"/>
      <c r="P284" s="4"/>
      <c r="Q284" s="4"/>
      <c r="R284" s="7" t="s">
        <v>36</v>
      </c>
      <c r="S284" s="4" t="str">
        <f>'Ingest Template'!J284</f>
        <v/>
      </c>
      <c r="T284" s="4" t="str">
        <f>'Ingest Template'!I284</f>
        <v/>
      </c>
      <c r="U284" s="4" t="str">
        <f>LOWER(SUBSTITUTE(SUBSTITUTE(SUBSTITUTE(SUBSTITUTE(SUBSTITUTE('Ingest Template'!K284,"https:",""),"www.",""),"/",""),"?hl=en",""),"instagram.com",""))</f>
        <v/>
      </c>
      <c r="V284" s="9" t="str">
        <f>'Ingest Template'!L284</f>
        <v/>
      </c>
      <c r="W284" s="9" t="str">
        <f>'Ingest Template'!M284</f>
        <v/>
      </c>
      <c r="X284" s="4" t="str">
        <f>SUBSTITUTE(SUBSTITUTE(SUBSTITUTE('Ingest Template'!N284,"http:",""),"https:",""),"/","")</f>
        <v/>
      </c>
      <c r="Y284" s="4" t="str">
        <f t="array" ref="Y284">IF('Ingest Template'!A284="Standard",(IF(ISBLANK('Ingest Template'!O284),"", 'Ingest Template'!O284&amp;"|DAR")),(IF(ISBLANK('Ingest Template'!O284),"", 'Ingest Template'!O284&amp;"|Film Ops")))</f>
        <v/>
      </c>
      <c r="Z284" s="4"/>
      <c r="AA284" s="4" t="str">
        <f>'Ingest Template'!E284</f>
        <v/>
      </c>
      <c r="AB284" s="7"/>
      <c r="AC284" s="4" t="str">
        <f t="array" ref="AC284">IF('Ingest Template'!A284="Standard",(CONCATENATE(IF(ISBLANK('Ingest Template'!F284),"", 'Ingest Template'!F284&amp;"|DAR"),CHAR(10), IF(ISBLANK('Ingest Template'!G284),"", 'Ingest Template'!G284&amp;"|DAR"),CHAR(10), IF(ISBLANK('Ingest Template'!H284),"", 'Ingest Template'!H284&amp;"|DAR"))),(CONCATENATE(IF(ISBLANK('Ingest Template'!F284),"", 'Ingest Template'!F284&amp;"|Film Ops"),CHAR(10), IF(ISBLANK('Ingest Template'!G284),"", 'Ingest Template'!G284&amp;"|Film Ops"),CHAR(10), IF(ISBLANK('Ingest Template'!H284),"", 'Ingest Template'!H284&amp;"|Film Ops"))))</f>
        <v>
</v>
      </c>
      <c r="AD284" s="4"/>
      <c r="AE284" s="4"/>
      <c r="AF284" s="10"/>
      <c r="AG284" s="4"/>
      <c r="AH284" s="4"/>
    </row>
    <row r="285">
      <c r="A285" s="4"/>
      <c r="B285" s="4" t="str">
        <f>'Ingest Template'!B285&amp;IF('Ingest Template'!A285 = "Standard", " - DAR","")</f>
        <v/>
      </c>
      <c r="C285" s="5" t="s">
        <v>34</v>
      </c>
      <c r="D285" s="5" t="str">
        <f>CONCATENATE('Ingest Template'!C285,'Ingest Template'!D285)</f>
        <v/>
      </c>
      <c r="E285" s="4"/>
      <c r="F285" s="4"/>
      <c r="G285" s="4"/>
      <c r="H285" s="6"/>
      <c r="I285" s="6" t="str">
        <f>iF('Ingest Template'!A285="Standard","Pristine Brand","Unknown")</f>
        <v>Unknown</v>
      </c>
      <c r="J285" s="4" t="str">
        <f>iF('Ingest Template'!A285="Standard","LF // Beverages","Competitive View")</f>
        <v>Competitive View</v>
      </c>
      <c r="K285" s="7" t="s">
        <v>35</v>
      </c>
      <c r="L285" s="8"/>
      <c r="M285" s="4"/>
      <c r="N285" s="4"/>
      <c r="O285" s="4"/>
      <c r="P285" s="4"/>
      <c r="Q285" s="4"/>
      <c r="R285" s="7" t="s">
        <v>36</v>
      </c>
      <c r="S285" s="4" t="str">
        <f>'Ingest Template'!J285</f>
        <v/>
      </c>
      <c r="T285" s="4" t="str">
        <f>'Ingest Template'!I285</f>
        <v/>
      </c>
      <c r="U285" s="4" t="str">
        <f>LOWER(SUBSTITUTE(SUBSTITUTE(SUBSTITUTE(SUBSTITUTE(SUBSTITUTE('Ingest Template'!K285,"https:",""),"www.",""),"/",""),"?hl=en",""),"instagram.com",""))</f>
        <v/>
      </c>
      <c r="V285" s="9" t="str">
        <f>'Ingest Template'!L285</f>
        <v/>
      </c>
      <c r="W285" s="9" t="str">
        <f>'Ingest Template'!M285</f>
        <v/>
      </c>
      <c r="X285" s="4" t="str">
        <f>SUBSTITUTE(SUBSTITUTE(SUBSTITUTE('Ingest Template'!N285,"http:",""),"https:",""),"/","")</f>
        <v/>
      </c>
      <c r="Y285" s="4" t="str">
        <f t="array" ref="Y285">IF('Ingest Template'!A285="Standard",(IF(ISBLANK('Ingest Template'!O285),"", 'Ingest Template'!O285&amp;"|DAR")),(IF(ISBLANK('Ingest Template'!O285),"", 'Ingest Template'!O285&amp;"|Film Ops")))</f>
        <v/>
      </c>
      <c r="Z285" s="4"/>
      <c r="AA285" s="4" t="str">
        <f>'Ingest Template'!E285</f>
        <v/>
      </c>
      <c r="AB285" s="7"/>
      <c r="AC285" s="4" t="str">
        <f t="array" ref="AC285">IF('Ingest Template'!A285="Standard",(CONCATENATE(IF(ISBLANK('Ingest Template'!F285),"", 'Ingest Template'!F285&amp;"|DAR"),CHAR(10), IF(ISBLANK('Ingest Template'!G285),"", 'Ingest Template'!G285&amp;"|DAR"),CHAR(10), IF(ISBLANK('Ingest Template'!H285),"", 'Ingest Template'!H285&amp;"|DAR"))),(CONCATENATE(IF(ISBLANK('Ingest Template'!F285),"", 'Ingest Template'!F285&amp;"|Film Ops"),CHAR(10), IF(ISBLANK('Ingest Template'!G285),"", 'Ingest Template'!G285&amp;"|Film Ops"),CHAR(10), IF(ISBLANK('Ingest Template'!H285),"", 'Ingest Template'!H285&amp;"|Film Ops"))))</f>
        <v>
</v>
      </c>
      <c r="AD285" s="4"/>
      <c r="AE285" s="4"/>
      <c r="AF285" s="10"/>
      <c r="AG285" s="4"/>
      <c r="AH285" s="4"/>
    </row>
    <row r="286">
      <c r="A286" s="4"/>
      <c r="B286" s="4" t="str">
        <f>'Ingest Template'!B286&amp;IF('Ingest Template'!A286 = "Standard", " - DAR","")</f>
        <v/>
      </c>
      <c r="C286" s="5" t="s">
        <v>34</v>
      </c>
      <c r="D286" s="5" t="str">
        <f>CONCATENATE('Ingest Template'!C286,'Ingest Template'!D286)</f>
        <v/>
      </c>
      <c r="E286" s="4"/>
      <c r="F286" s="4"/>
      <c r="G286" s="4"/>
      <c r="H286" s="6"/>
      <c r="I286" s="6" t="str">
        <f>iF('Ingest Template'!A286="Standard","Pristine Brand","Unknown")</f>
        <v>Unknown</v>
      </c>
      <c r="J286" s="4" t="str">
        <f>iF('Ingest Template'!A286="Standard","LF // Beverages","Competitive View")</f>
        <v>Competitive View</v>
      </c>
      <c r="K286" s="7" t="s">
        <v>35</v>
      </c>
      <c r="L286" s="8"/>
      <c r="M286" s="4"/>
      <c r="N286" s="4"/>
      <c r="O286" s="4"/>
      <c r="P286" s="4"/>
      <c r="Q286" s="4"/>
      <c r="R286" s="7" t="s">
        <v>36</v>
      </c>
      <c r="S286" s="4" t="str">
        <f>'Ingest Template'!J286</f>
        <v/>
      </c>
      <c r="T286" s="4" t="str">
        <f>'Ingest Template'!I286</f>
        <v/>
      </c>
      <c r="U286" s="4" t="str">
        <f>LOWER(SUBSTITUTE(SUBSTITUTE(SUBSTITUTE(SUBSTITUTE(SUBSTITUTE('Ingest Template'!K286,"https:",""),"www.",""),"/",""),"?hl=en",""),"instagram.com",""))</f>
        <v/>
      </c>
      <c r="V286" s="9" t="str">
        <f>'Ingest Template'!L286</f>
        <v/>
      </c>
      <c r="W286" s="9" t="str">
        <f>'Ingest Template'!M286</f>
        <v/>
      </c>
      <c r="X286" s="4" t="str">
        <f>SUBSTITUTE(SUBSTITUTE(SUBSTITUTE('Ingest Template'!N286,"http:",""),"https:",""),"/","")</f>
        <v/>
      </c>
      <c r="Y286" s="4" t="str">
        <f t="array" ref="Y286">IF('Ingest Template'!A286="Standard",(IF(ISBLANK('Ingest Template'!O286),"", 'Ingest Template'!O286&amp;"|DAR")),(IF(ISBLANK('Ingest Template'!O286),"", 'Ingest Template'!O286&amp;"|Film Ops")))</f>
        <v/>
      </c>
      <c r="Z286" s="4"/>
      <c r="AA286" s="4" t="str">
        <f>'Ingest Template'!E286</f>
        <v/>
      </c>
      <c r="AB286" s="7"/>
      <c r="AC286" s="4" t="str">
        <f t="array" ref="AC286">IF('Ingest Template'!A286="Standard",(CONCATENATE(IF(ISBLANK('Ingest Template'!F286),"", 'Ingest Template'!F286&amp;"|DAR"),CHAR(10), IF(ISBLANK('Ingest Template'!G286),"", 'Ingest Template'!G286&amp;"|DAR"),CHAR(10), IF(ISBLANK('Ingest Template'!H286),"", 'Ingest Template'!H286&amp;"|DAR"))),(CONCATENATE(IF(ISBLANK('Ingest Template'!F286),"", 'Ingest Template'!F286&amp;"|Film Ops"),CHAR(10), IF(ISBLANK('Ingest Template'!G286),"", 'Ingest Template'!G286&amp;"|Film Ops"),CHAR(10), IF(ISBLANK('Ingest Template'!H286),"", 'Ingest Template'!H286&amp;"|Film Ops"))))</f>
        <v>
</v>
      </c>
      <c r="AD286" s="4"/>
      <c r="AE286" s="4"/>
      <c r="AF286" s="10"/>
      <c r="AG286" s="4"/>
      <c r="AH286" s="4"/>
    </row>
    <row r="287">
      <c r="A287" s="4"/>
      <c r="B287" s="4" t="str">
        <f>'Ingest Template'!B287&amp;IF('Ingest Template'!A287 = "Standard", " - DAR","")</f>
        <v/>
      </c>
      <c r="C287" s="5" t="s">
        <v>34</v>
      </c>
      <c r="D287" s="5" t="str">
        <f>CONCATENATE('Ingest Template'!C287,'Ingest Template'!D287)</f>
        <v/>
      </c>
      <c r="E287" s="4"/>
      <c r="F287" s="4"/>
      <c r="G287" s="4"/>
      <c r="H287" s="6"/>
      <c r="I287" s="6" t="str">
        <f>iF('Ingest Template'!A287="Standard","Pristine Brand","Unknown")</f>
        <v>Unknown</v>
      </c>
      <c r="J287" s="4" t="str">
        <f>iF('Ingest Template'!A287="Standard","LF // Beverages","Competitive View")</f>
        <v>Competitive View</v>
      </c>
      <c r="K287" s="7" t="s">
        <v>35</v>
      </c>
      <c r="L287" s="8"/>
      <c r="M287" s="4"/>
      <c r="N287" s="4"/>
      <c r="O287" s="4"/>
      <c r="P287" s="4"/>
      <c r="Q287" s="4"/>
      <c r="R287" s="7" t="s">
        <v>36</v>
      </c>
      <c r="S287" s="4" t="str">
        <f>'Ingest Template'!J287</f>
        <v/>
      </c>
      <c r="T287" s="4" t="str">
        <f>'Ingest Template'!I287</f>
        <v/>
      </c>
      <c r="U287" s="4" t="str">
        <f>LOWER(SUBSTITUTE(SUBSTITUTE(SUBSTITUTE(SUBSTITUTE(SUBSTITUTE('Ingest Template'!K287,"https:",""),"www.",""),"/",""),"?hl=en",""),"instagram.com",""))</f>
        <v/>
      </c>
      <c r="V287" s="9" t="str">
        <f>'Ingest Template'!L287</f>
        <v/>
      </c>
      <c r="W287" s="9" t="str">
        <f>'Ingest Template'!M287</f>
        <v/>
      </c>
      <c r="X287" s="4" t="str">
        <f>SUBSTITUTE(SUBSTITUTE(SUBSTITUTE('Ingest Template'!N287,"http:",""),"https:",""),"/","")</f>
        <v/>
      </c>
      <c r="Y287" s="4" t="str">
        <f t="array" ref="Y287">IF('Ingest Template'!A287="Standard",(IF(ISBLANK('Ingest Template'!O287),"", 'Ingest Template'!O287&amp;"|DAR")),(IF(ISBLANK('Ingest Template'!O287),"", 'Ingest Template'!O287&amp;"|Film Ops")))</f>
        <v/>
      </c>
      <c r="Z287" s="4"/>
      <c r="AA287" s="4" t="str">
        <f>'Ingest Template'!E287</f>
        <v/>
      </c>
      <c r="AB287" s="7"/>
      <c r="AC287" s="4" t="str">
        <f t="array" ref="AC287">IF('Ingest Template'!A287="Standard",(CONCATENATE(IF(ISBLANK('Ingest Template'!F287),"", 'Ingest Template'!F287&amp;"|DAR"),CHAR(10), IF(ISBLANK('Ingest Template'!G287),"", 'Ingest Template'!G287&amp;"|DAR"),CHAR(10), IF(ISBLANK('Ingest Template'!H287),"", 'Ingest Template'!H287&amp;"|DAR"))),(CONCATENATE(IF(ISBLANK('Ingest Template'!F287),"", 'Ingest Template'!F287&amp;"|Film Ops"),CHAR(10), IF(ISBLANK('Ingest Template'!G287),"", 'Ingest Template'!G287&amp;"|Film Ops"),CHAR(10), IF(ISBLANK('Ingest Template'!H287),"", 'Ingest Template'!H287&amp;"|Film Ops"))))</f>
        <v>
</v>
      </c>
      <c r="AD287" s="4"/>
      <c r="AE287" s="4"/>
      <c r="AF287" s="10"/>
      <c r="AG287" s="4"/>
      <c r="AH287" s="4"/>
    </row>
    <row r="288">
      <c r="A288" s="4"/>
      <c r="B288" s="4" t="str">
        <f>'Ingest Template'!B288&amp;IF('Ingest Template'!A288 = "Standard", " - DAR","")</f>
        <v/>
      </c>
      <c r="C288" s="5" t="s">
        <v>34</v>
      </c>
      <c r="D288" s="5" t="str">
        <f>CONCATENATE('Ingest Template'!C288,'Ingest Template'!D288)</f>
        <v/>
      </c>
      <c r="E288" s="4"/>
      <c r="F288" s="4"/>
      <c r="G288" s="4"/>
      <c r="H288" s="6"/>
      <c r="I288" s="6" t="str">
        <f>iF('Ingest Template'!A288="Standard","Pristine Brand","Unknown")</f>
        <v>Unknown</v>
      </c>
      <c r="J288" s="4" t="str">
        <f>iF('Ingest Template'!A288="Standard","LF // Beverages","Competitive View")</f>
        <v>Competitive View</v>
      </c>
      <c r="K288" s="7" t="s">
        <v>35</v>
      </c>
      <c r="L288" s="8"/>
      <c r="M288" s="4"/>
      <c r="N288" s="4"/>
      <c r="O288" s="4"/>
      <c r="P288" s="4"/>
      <c r="Q288" s="4"/>
      <c r="R288" s="7" t="s">
        <v>36</v>
      </c>
      <c r="S288" s="4" t="str">
        <f>'Ingest Template'!J288</f>
        <v/>
      </c>
      <c r="T288" s="4" t="str">
        <f>'Ingest Template'!I288</f>
        <v/>
      </c>
      <c r="U288" s="4" t="str">
        <f>LOWER(SUBSTITUTE(SUBSTITUTE(SUBSTITUTE(SUBSTITUTE(SUBSTITUTE('Ingest Template'!K288,"https:",""),"www.",""),"/",""),"?hl=en",""),"instagram.com",""))</f>
        <v/>
      </c>
      <c r="V288" s="9" t="str">
        <f>'Ingest Template'!L288</f>
        <v/>
      </c>
      <c r="W288" s="9" t="str">
        <f>'Ingest Template'!M288</f>
        <v/>
      </c>
      <c r="X288" s="4" t="str">
        <f>SUBSTITUTE(SUBSTITUTE(SUBSTITUTE('Ingest Template'!N288,"http:",""),"https:",""),"/","")</f>
        <v/>
      </c>
      <c r="Y288" s="4" t="str">
        <f t="array" ref="Y288">IF('Ingest Template'!A288="Standard",(IF(ISBLANK('Ingest Template'!O288),"", 'Ingest Template'!O288&amp;"|DAR")),(IF(ISBLANK('Ingest Template'!O288),"", 'Ingest Template'!O288&amp;"|Film Ops")))</f>
        <v/>
      </c>
      <c r="Z288" s="4"/>
      <c r="AA288" s="4" t="str">
        <f>'Ingest Template'!E288</f>
        <v/>
      </c>
      <c r="AB288" s="7"/>
      <c r="AC288" s="4" t="str">
        <f t="array" ref="AC288">IF('Ingest Template'!A288="Standard",(CONCATENATE(IF(ISBLANK('Ingest Template'!F288),"", 'Ingest Template'!F288&amp;"|DAR"),CHAR(10), IF(ISBLANK('Ingest Template'!G288),"", 'Ingest Template'!G288&amp;"|DAR"),CHAR(10), IF(ISBLANK('Ingest Template'!H288),"", 'Ingest Template'!H288&amp;"|DAR"))),(CONCATENATE(IF(ISBLANK('Ingest Template'!F288),"", 'Ingest Template'!F288&amp;"|Film Ops"),CHAR(10), IF(ISBLANK('Ingest Template'!G288),"", 'Ingest Template'!G288&amp;"|Film Ops"),CHAR(10), IF(ISBLANK('Ingest Template'!H288),"", 'Ingest Template'!H288&amp;"|Film Ops"))))</f>
        <v>
</v>
      </c>
      <c r="AD288" s="4"/>
      <c r="AE288" s="4"/>
      <c r="AF288" s="10"/>
      <c r="AG288" s="4"/>
      <c r="AH288" s="4"/>
    </row>
    <row r="289">
      <c r="A289" s="4"/>
      <c r="B289" s="4" t="str">
        <f>'Ingest Template'!B289&amp;IF('Ingest Template'!A289 = "Standard", " - DAR","")</f>
        <v/>
      </c>
      <c r="C289" s="5" t="s">
        <v>34</v>
      </c>
      <c r="D289" s="5" t="str">
        <f>CONCATENATE('Ingest Template'!C289,'Ingest Template'!D289)</f>
        <v/>
      </c>
      <c r="E289" s="4"/>
      <c r="F289" s="4"/>
      <c r="G289" s="4"/>
      <c r="H289" s="6"/>
      <c r="I289" s="6" t="str">
        <f>iF('Ingest Template'!A289="Standard","Pristine Brand","Unknown")</f>
        <v>Unknown</v>
      </c>
      <c r="J289" s="4" t="str">
        <f>iF('Ingest Template'!A289="Standard","LF // Beverages","Competitive View")</f>
        <v>Competitive View</v>
      </c>
      <c r="K289" s="7" t="s">
        <v>35</v>
      </c>
      <c r="L289" s="8"/>
      <c r="M289" s="4"/>
      <c r="N289" s="4"/>
      <c r="O289" s="4"/>
      <c r="P289" s="4"/>
      <c r="Q289" s="4"/>
      <c r="R289" s="7" t="s">
        <v>36</v>
      </c>
      <c r="S289" s="4" t="str">
        <f>'Ingest Template'!J289</f>
        <v/>
      </c>
      <c r="T289" s="4" t="str">
        <f>'Ingest Template'!I289</f>
        <v/>
      </c>
      <c r="U289" s="4" t="str">
        <f>LOWER(SUBSTITUTE(SUBSTITUTE(SUBSTITUTE(SUBSTITUTE(SUBSTITUTE('Ingest Template'!K289,"https:",""),"www.",""),"/",""),"?hl=en",""),"instagram.com",""))</f>
        <v/>
      </c>
      <c r="V289" s="9" t="str">
        <f>'Ingest Template'!L289</f>
        <v/>
      </c>
      <c r="W289" s="9" t="str">
        <f>'Ingest Template'!M289</f>
        <v/>
      </c>
      <c r="X289" s="4" t="str">
        <f>SUBSTITUTE(SUBSTITUTE(SUBSTITUTE('Ingest Template'!N289,"http:",""),"https:",""),"/","")</f>
        <v/>
      </c>
      <c r="Y289" s="4" t="str">
        <f t="array" ref="Y289">IF('Ingest Template'!A289="Standard",(IF(ISBLANK('Ingest Template'!O289),"", 'Ingest Template'!O289&amp;"|DAR")),(IF(ISBLANK('Ingest Template'!O289),"", 'Ingest Template'!O289&amp;"|Film Ops")))</f>
        <v/>
      </c>
      <c r="Z289" s="4"/>
      <c r="AA289" s="4" t="str">
        <f>'Ingest Template'!E289</f>
        <v/>
      </c>
      <c r="AB289" s="7"/>
      <c r="AC289" s="4" t="str">
        <f t="array" ref="AC289">IF('Ingest Template'!A289="Standard",(CONCATENATE(IF(ISBLANK('Ingest Template'!F289),"", 'Ingest Template'!F289&amp;"|DAR"),CHAR(10), IF(ISBLANK('Ingest Template'!G289),"", 'Ingest Template'!G289&amp;"|DAR"),CHAR(10), IF(ISBLANK('Ingest Template'!H289),"", 'Ingest Template'!H289&amp;"|DAR"))),(CONCATENATE(IF(ISBLANK('Ingest Template'!F289),"", 'Ingest Template'!F289&amp;"|Film Ops"),CHAR(10), IF(ISBLANK('Ingest Template'!G289),"", 'Ingest Template'!G289&amp;"|Film Ops"),CHAR(10), IF(ISBLANK('Ingest Template'!H289),"", 'Ingest Template'!H289&amp;"|Film Ops"))))</f>
        <v>
</v>
      </c>
      <c r="AD289" s="4"/>
      <c r="AE289" s="4"/>
      <c r="AF289" s="10"/>
      <c r="AG289" s="4"/>
      <c r="AH289" s="4"/>
    </row>
    <row r="290">
      <c r="A290" s="4"/>
      <c r="B290" s="4" t="str">
        <f>'Ingest Template'!B290&amp;IF('Ingest Template'!A290 = "Standard", " - DAR","")</f>
        <v/>
      </c>
      <c r="C290" s="5" t="s">
        <v>34</v>
      </c>
      <c r="D290" s="5" t="str">
        <f>CONCATENATE('Ingest Template'!C290,'Ingest Template'!D290)</f>
        <v/>
      </c>
      <c r="E290" s="4"/>
      <c r="F290" s="4"/>
      <c r="G290" s="4"/>
      <c r="H290" s="6"/>
      <c r="I290" s="6" t="str">
        <f>iF('Ingest Template'!A290="Standard","Pristine Brand","Unknown")</f>
        <v>Unknown</v>
      </c>
      <c r="J290" s="4" t="str">
        <f>iF('Ingest Template'!A290="Standard","LF // Beverages","Competitive View")</f>
        <v>Competitive View</v>
      </c>
      <c r="K290" s="7" t="s">
        <v>35</v>
      </c>
      <c r="L290" s="8"/>
      <c r="M290" s="4"/>
      <c r="N290" s="4"/>
      <c r="O290" s="4"/>
      <c r="P290" s="4"/>
      <c r="Q290" s="4"/>
      <c r="R290" s="7" t="s">
        <v>36</v>
      </c>
      <c r="S290" s="4" t="str">
        <f>'Ingest Template'!J290</f>
        <v/>
      </c>
      <c r="T290" s="4" t="str">
        <f>'Ingest Template'!I290</f>
        <v/>
      </c>
      <c r="U290" s="4" t="str">
        <f>LOWER(SUBSTITUTE(SUBSTITUTE(SUBSTITUTE(SUBSTITUTE(SUBSTITUTE('Ingest Template'!K290,"https:",""),"www.",""),"/",""),"?hl=en",""),"instagram.com",""))</f>
        <v/>
      </c>
      <c r="V290" s="9" t="str">
        <f>'Ingest Template'!L290</f>
        <v/>
      </c>
      <c r="W290" s="9" t="str">
        <f>'Ingest Template'!M290</f>
        <v/>
      </c>
      <c r="X290" s="4" t="str">
        <f>SUBSTITUTE(SUBSTITUTE(SUBSTITUTE('Ingest Template'!N290,"http:",""),"https:",""),"/","")</f>
        <v/>
      </c>
      <c r="Y290" s="4" t="str">
        <f t="array" ref="Y290">IF('Ingest Template'!A290="Standard",(IF(ISBLANK('Ingest Template'!O290),"", 'Ingest Template'!O290&amp;"|DAR")),(IF(ISBLANK('Ingest Template'!O290),"", 'Ingest Template'!O290&amp;"|Film Ops")))</f>
        <v/>
      </c>
      <c r="Z290" s="4"/>
      <c r="AA290" s="4" t="str">
        <f>'Ingest Template'!E290</f>
        <v/>
      </c>
      <c r="AB290" s="7"/>
      <c r="AC290" s="4" t="str">
        <f t="array" ref="AC290">IF('Ingest Template'!A290="Standard",(CONCATENATE(IF(ISBLANK('Ingest Template'!F290),"", 'Ingest Template'!F290&amp;"|DAR"),CHAR(10), IF(ISBLANK('Ingest Template'!G290),"", 'Ingest Template'!G290&amp;"|DAR"),CHAR(10), IF(ISBLANK('Ingest Template'!H290),"", 'Ingest Template'!H290&amp;"|DAR"))),(CONCATENATE(IF(ISBLANK('Ingest Template'!F290),"", 'Ingest Template'!F290&amp;"|Film Ops"),CHAR(10), IF(ISBLANK('Ingest Template'!G290),"", 'Ingest Template'!G290&amp;"|Film Ops"),CHAR(10), IF(ISBLANK('Ingest Template'!H290),"", 'Ingest Template'!H290&amp;"|Film Ops"))))</f>
        <v>
</v>
      </c>
      <c r="AD290" s="4"/>
      <c r="AE290" s="4"/>
      <c r="AF290" s="10"/>
      <c r="AG290" s="4"/>
      <c r="AH290" s="4"/>
    </row>
    <row r="291">
      <c r="A291" s="4"/>
      <c r="B291" s="4" t="str">
        <f>'Ingest Template'!B291&amp;IF('Ingest Template'!A291 = "Standard", " - DAR","")</f>
        <v/>
      </c>
      <c r="C291" s="5" t="s">
        <v>34</v>
      </c>
      <c r="D291" s="5" t="str">
        <f>CONCATENATE('Ingest Template'!C291,'Ingest Template'!D291)</f>
        <v/>
      </c>
      <c r="E291" s="4"/>
      <c r="F291" s="4"/>
      <c r="G291" s="4"/>
      <c r="H291" s="6"/>
      <c r="I291" s="6" t="str">
        <f>iF('Ingest Template'!A291="Standard","Pristine Brand","Unknown")</f>
        <v>Unknown</v>
      </c>
      <c r="J291" s="4" t="str">
        <f>iF('Ingest Template'!A291="Standard","LF // Beverages","Competitive View")</f>
        <v>Competitive View</v>
      </c>
      <c r="K291" s="7" t="s">
        <v>35</v>
      </c>
      <c r="L291" s="8"/>
      <c r="M291" s="4"/>
      <c r="N291" s="4"/>
      <c r="O291" s="4"/>
      <c r="P291" s="4"/>
      <c r="Q291" s="4"/>
      <c r="R291" s="7" t="s">
        <v>36</v>
      </c>
      <c r="S291" s="4" t="str">
        <f>'Ingest Template'!J291</f>
        <v/>
      </c>
      <c r="T291" s="4" t="str">
        <f>'Ingest Template'!I291</f>
        <v/>
      </c>
      <c r="U291" s="4" t="str">
        <f>LOWER(SUBSTITUTE(SUBSTITUTE(SUBSTITUTE(SUBSTITUTE(SUBSTITUTE('Ingest Template'!K291,"https:",""),"www.",""),"/",""),"?hl=en",""),"instagram.com",""))</f>
        <v/>
      </c>
      <c r="V291" s="9" t="str">
        <f>'Ingest Template'!L291</f>
        <v/>
      </c>
      <c r="W291" s="9" t="str">
        <f>'Ingest Template'!M291</f>
        <v/>
      </c>
      <c r="X291" s="4" t="str">
        <f>SUBSTITUTE(SUBSTITUTE(SUBSTITUTE('Ingest Template'!N291,"http:",""),"https:",""),"/","")</f>
        <v/>
      </c>
      <c r="Y291" s="4" t="str">
        <f t="array" ref="Y291">IF('Ingest Template'!A291="Standard",(IF(ISBLANK('Ingest Template'!O291),"", 'Ingest Template'!O291&amp;"|DAR")),(IF(ISBLANK('Ingest Template'!O291),"", 'Ingest Template'!O291&amp;"|Film Ops")))</f>
        <v/>
      </c>
      <c r="Z291" s="4"/>
      <c r="AA291" s="4" t="str">
        <f>'Ingest Template'!E291</f>
        <v/>
      </c>
      <c r="AB291" s="7"/>
      <c r="AC291" s="4" t="str">
        <f t="array" ref="AC291">IF('Ingest Template'!A291="Standard",(CONCATENATE(IF(ISBLANK('Ingest Template'!F291),"", 'Ingest Template'!F291&amp;"|DAR"),CHAR(10), IF(ISBLANK('Ingest Template'!G291),"", 'Ingest Template'!G291&amp;"|DAR"),CHAR(10), IF(ISBLANK('Ingest Template'!H291),"", 'Ingest Template'!H291&amp;"|DAR"))),(CONCATENATE(IF(ISBLANK('Ingest Template'!F291),"", 'Ingest Template'!F291&amp;"|Film Ops"),CHAR(10), IF(ISBLANK('Ingest Template'!G291),"", 'Ingest Template'!G291&amp;"|Film Ops"),CHAR(10), IF(ISBLANK('Ingest Template'!H291),"", 'Ingest Template'!H291&amp;"|Film Ops"))))</f>
        <v>
</v>
      </c>
      <c r="AD291" s="4"/>
      <c r="AE291" s="4"/>
      <c r="AF291" s="10"/>
      <c r="AG291" s="4"/>
      <c r="AH291" s="4"/>
    </row>
    <row r="292">
      <c r="A292" s="4"/>
      <c r="B292" s="4" t="str">
        <f>'Ingest Template'!B292&amp;IF('Ingest Template'!A292 = "Standard", " - DAR","")</f>
        <v/>
      </c>
      <c r="C292" s="5" t="s">
        <v>34</v>
      </c>
      <c r="D292" s="5" t="str">
        <f>CONCATENATE('Ingest Template'!C292,'Ingest Template'!D292)</f>
        <v/>
      </c>
      <c r="E292" s="4"/>
      <c r="F292" s="4"/>
      <c r="G292" s="4"/>
      <c r="H292" s="6"/>
      <c r="I292" s="6" t="str">
        <f>iF('Ingest Template'!A292="Standard","Pristine Brand","Unknown")</f>
        <v>Unknown</v>
      </c>
      <c r="J292" s="4" t="str">
        <f>iF('Ingest Template'!A292="Standard","LF // Beverages","Competitive View")</f>
        <v>Competitive View</v>
      </c>
      <c r="K292" s="7" t="s">
        <v>35</v>
      </c>
      <c r="L292" s="8"/>
      <c r="M292" s="4"/>
      <c r="N292" s="4"/>
      <c r="O292" s="4"/>
      <c r="P292" s="4"/>
      <c r="Q292" s="4"/>
      <c r="R292" s="7" t="s">
        <v>36</v>
      </c>
      <c r="S292" s="4" t="str">
        <f>'Ingest Template'!J292</f>
        <v/>
      </c>
      <c r="T292" s="4" t="str">
        <f>'Ingest Template'!I292</f>
        <v/>
      </c>
      <c r="U292" s="4" t="str">
        <f>LOWER(SUBSTITUTE(SUBSTITUTE(SUBSTITUTE(SUBSTITUTE(SUBSTITUTE('Ingest Template'!K292,"https:",""),"www.",""),"/",""),"?hl=en",""),"instagram.com",""))</f>
        <v/>
      </c>
      <c r="V292" s="9" t="str">
        <f>'Ingest Template'!L292</f>
        <v/>
      </c>
      <c r="W292" s="9" t="str">
        <f>'Ingest Template'!M292</f>
        <v/>
      </c>
      <c r="X292" s="4" t="str">
        <f>SUBSTITUTE(SUBSTITUTE(SUBSTITUTE('Ingest Template'!N292,"http:",""),"https:",""),"/","")</f>
        <v/>
      </c>
      <c r="Y292" s="4" t="str">
        <f t="array" ref="Y292">IF('Ingest Template'!A292="Standard",(IF(ISBLANK('Ingest Template'!O292),"", 'Ingest Template'!O292&amp;"|DAR")),(IF(ISBLANK('Ingest Template'!O292),"", 'Ingest Template'!O292&amp;"|Film Ops")))</f>
        <v/>
      </c>
      <c r="Z292" s="4"/>
      <c r="AA292" s="4" t="str">
        <f>'Ingest Template'!E292</f>
        <v/>
      </c>
      <c r="AB292" s="7"/>
      <c r="AC292" s="4" t="str">
        <f t="array" ref="AC292">IF('Ingest Template'!A292="Standard",(CONCATENATE(IF(ISBLANK('Ingest Template'!F292),"", 'Ingest Template'!F292&amp;"|DAR"),CHAR(10), IF(ISBLANK('Ingest Template'!G292),"", 'Ingest Template'!G292&amp;"|DAR"),CHAR(10), IF(ISBLANK('Ingest Template'!H292),"", 'Ingest Template'!H292&amp;"|DAR"))),(CONCATENATE(IF(ISBLANK('Ingest Template'!F292),"", 'Ingest Template'!F292&amp;"|Film Ops"),CHAR(10), IF(ISBLANK('Ingest Template'!G292),"", 'Ingest Template'!G292&amp;"|Film Ops"),CHAR(10), IF(ISBLANK('Ingest Template'!H292),"", 'Ingest Template'!H292&amp;"|Film Ops"))))</f>
        <v>
</v>
      </c>
      <c r="AD292" s="4"/>
      <c r="AE292" s="4"/>
      <c r="AF292" s="10"/>
      <c r="AG292" s="4"/>
      <c r="AH292" s="4"/>
    </row>
    <row r="293">
      <c r="A293" s="4"/>
      <c r="B293" s="4" t="str">
        <f>'Ingest Template'!B293&amp;IF('Ingest Template'!A293 = "Standard", " - DAR","")</f>
        <v/>
      </c>
      <c r="C293" s="5" t="s">
        <v>34</v>
      </c>
      <c r="D293" s="5" t="str">
        <f>CONCATENATE('Ingest Template'!C293,'Ingest Template'!D293)</f>
        <v/>
      </c>
      <c r="E293" s="4"/>
      <c r="F293" s="4"/>
      <c r="G293" s="4"/>
      <c r="H293" s="6"/>
      <c r="I293" s="6" t="str">
        <f>iF('Ingest Template'!A293="Standard","Pristine Brand","Unknown")</f>
        <v>Unknown</v>
      </c>
      <c r="J293" s="4" t="str">
        <f>iF('Ingest Template'!A293="Standard","LF // Beverages","Competitive View")</f>
        <v>Competitive View</v>
      </c>
      <c r="K293" s="7" t="s">
        <v>35</v>
      </c>
      <c r="L293" s="8"/>
      <c r="M293" s="4"/>
      <c r="N293" s="4"/>
      <c r="O293" s="4"/>
      <c r="P293" s="4"/>
      <c r="Q293" s="4"/>
      <c r="R293" s="7" t="s">
        <v>36</v>
      </c>
      <c r="S293" s="4" t="str">
        <f>'Ingest Template'!J293</f>
        <v/>
      </c>
      <c r="T293" s="4" t="str">
        <f>'Ingest Template'!I293</f>
        <v/>
      </c>
      <c r="U293" s="4" t="str">
        <f>LOWER(SUBSTITUTE(SUBSTITUTE(SUBSTITUTE(SUBSTITUTE(SUBSTITUTE('Ingest Template'!K293,"https:",""),"www.",""),"/",""),"?hl=en",""),"instagram.com",""))</f>
        <v/>
      </c>
      <c r="V293" s="9" t="str">
        <f>'Ingest Template'!L293</f>
        <v/>
      </c>
      <c r="W293" s="9" t="str">
        <f>'Ingest Template'!M293</f>
        <v/>
      </c>
      <c r="X293" s="4" t="str">
        <f>SUBSTITUTE(SUBSTITUTE(SUBSTITUTE('Ingest Template'!N293,"http:",""),"https:",""),"/","")</f>
        <v/>
      </c>
      <c r="Y293" s="4" t="str">
        <f t="array" ref="Y293">IF('Ingest Template'!A293="Standard",(IF(ISBLANK('Ingest Template'!O293),"", 'Ingest Template'!O293&amp;"|DAR")),(IF(ISBLANK('Ingest Template'!O293),"", 'Ingest Template'!O293&amp;"|Film Ops")))</f>
        <v/>
      </c>
      <c r="Z293" s="4"/>
      <c r="AA293" s="4" t="str">
        <f>'Ingest Template'!E293</f>
        <v/>
      </c>
      <c r="AB293" s="7"/>
      <c r="AC293" s="4" t="str">
        <f t="array" ref="AC293">IF('Ingest Template'!A293="Standard",(CONCATENATE(IF(ISBLANK('Ingest Template'!F293),"", 'Ingest Template'!F293&amp;"|DAR"),CHAR(10), IF(ISBLANK('Ingest Template'!G293),"", 'Ingest Template'!G293&amp;"|DAR"),CHAR(10), IF(ISBLANK('Ingest Template'!H293),"", 'Ingest Template'!H293&amp;"|DAR"))),(CONCATENATE(IF(ISBLANK('Ingest Template'!F293),"", 'Ingest Template'!F293&amp;"|Film Ops"),CHAR(10), IF(ISBLANK('Ingest Template'!G293),"", 'Ingest Template'!G293&amp;"|Film Ops"),CHAR(10), IF(ISBLANK('Ingest Template'!H293),"", 'Ingest Template'!H293&amp;"|Film Ops"))))</f>
        <v>
</v>
      </c>
      <c r="AD293" s="4"/>
      <c r="AE293" s="4"/>
      <c r="AF293" s="10"/>
      <c r="AG293" s="4"/>
      <c r="AH293" s="4"/>
    </row>
    <row r="294">
      <c r="A294" s="4"/>
      <c r="B294" s="4" t="str">
        <f>'Ingest Template'!B294&amp;IF('Ingest Template'!A294 = "Standard", " - DAR","")</f>
        <v/>
      </c>
      <c r="C294" s="5" t="s">
        <v>34</v>
      </c>
      <c r="D294" s="5" t="str">
        <f>CONCATENATE('Ingest Template'!C294,'Ingest Template'!D294)</f>
        <v/>
      </c>
      <c r="E294" s="4"/>
      <c r="F294" s="4"/>
      <c r="G294" s="4"/>
      <c r="H294" s="6"/>
      <c r="I294" s="6" t="str">
        <f>iF('Ingest Template'!A294="Standard","Pristine Brand","Unknown")</f>
        <v>Unknown</v>
      </c>
      <c r="J294" s="4" t="str">
        <f>iF('Ingest Template'!A294="Standard","LF // Beverages","Competitive View")</f>
        <v>Competitive View</v>
      </c>
      <c r="K294" s="7" t="s">
        <v>35</v>
      </c>
      <c r="L294" s="8"/>
      <c r="M294" s="4"/>
      <c r="N294" s="4"/>
      <c r="O294" s="4"/>
      <c r="P294" s="4"/>
      <c r="Q294" s="4"/>
      <c r="R294" s="7" t="s">
        <v>36</v>
      </c>
      <c r="S294" s="4" t="str">
        <f>'Ingest Template'!J294</f>
        <v/>
      </c>
      <c r="T294" s="4" t="str">
        <f>'Ingest Template'!I294</f>
        <v/>
      </c>
      <c r="U294" s="4" t="str">
        <f>LOWER(SUBSTITUTE(SUBSTITUTE(SUBSTITUTE(SUBSTITUTE(SUBSTITUTE('Ingest Template'!K294,"https:",""),"www.",""),"/",""),"?hl=en",""),"instagram.com",""))</f>
        <v/>
      </c>
      <c r="V294" s="9" t="str">
        <f>'Ingest Template'!L294</f>
        <v/>
      </c>
      <c r="W294" s="9" t="str">
        <f>'Ingest Template'!M294</f>
        <v/>
      </c>
      <c r="X294" s="4" t="str">
        <f>SUBSTITUTE(SUBSTITUTE(SUBSTITUTE('Ingest Template'!N294,"http:",""),"https:",""),"/","")</f>
        <v/>
      </c>
      <c r="Y294" s="4" t="str">
        <f t="array" ref="Y294">IF('Ingest Template'!A294="Standard",(IF(ISBLANK('Ingest Template'!O294),"", 'Ingest Template'!O294&amp;"|DAR")),(IF(ISBLANK('Ingest Template'!O294),"", 'Ingest Template'!O294&amp;"|Film Ops")))</f>
        <v/>
      </c>
      <c r="Z294" s="4"/>
      <c r="AA294" s="4" t="str">
        <f>'Ingest Template'!E294</f>
        <v/>
      </c>
      <c r="AB294" s="7"/>
      <c r="AC294" s="4" t="str">
        <f t="array" ref="AC294">IF('Ingest Template'!A294="Standard",(CONCATENATE(IF(ISBLANK('Ingest Template'!F294),"", 'Ingest Template'!F294&amp;"|DAR"),CHAR(10), IF(ISBLANK('Ingest Template'!G294),"", 'Ingest Template'!G294&amp;"|DAR"),CHAR(10), IF(ISBLANK('Ingest Template'!H294),"", 'Ingest Template'!H294&amp;"|DAR"))),(CONCATENATE(IF(ISBLANK('Ingest Template'!F294),"", 'Ingest Template'!F294&amp;"|Film Ops"),CHAR(10), IF(ISBLANK('Ingest Template'!G294),"", 'Ingest Template'!G294&amp;"|Film Ops"),CHAR(10), IF(ISBLANK('Ingest Template'!H294),"", 'Ingest Template'!H294&amp;"|Film Ops"))))</f>
        <v>
</v>
      </c>
      <c r="AD294" s="4"/>
      <c r="AE294" s="4"/>
      <c r="AF294" s="10"/>
      <c r="AG294" s="4"/>
      <c r="AH294" s="4"/>
    </row>
    <row r="295">
      <c r="A295" s="4"/>
      <c r="B295" s="4" t="str">
        <f>'Ingest Template'!B295&amp;IF('Ingest Template'!A295 = "Standard", " - DAR","")</f>
        <v/>
      </c>
      <c r="C295" s="5" t="s">
        <v>34</v>
      </c>
      <c r="D295" s="5" t="str">
        <f>CONCATENATE('Ingest Template'!C295,'Ingest Template'!D295)</f>
        <v/>
      </c>
      <c r="E295" s="4"/>
      <c r="F295" s="4"/>
      <c r="G295" s="4"/>
      <c r="H295" s="6"/>
      <c r="I295" s="6" t="str">
        <f>iF('Ingest Template'!A295="Standard","Pristine Brand","Unknown")</f>
        <v>Unknown</v>
      </c>
      <c r="J295" s="4" t="str">
        <f>iF('Ingest Template'!A295="Standard","LF // Beverages","Competitive View")</f>
        <v>Competitive View</v>
      </c>
      <c r="K295" s="7" t="s">
        <v>35</v>
      </c>
      <c r="L295" s="8"/>
      <c r="M295" s="4"/>
      <c r="N295" s="4"/>
      <c r="O295" s="4"/>
      <c r="P295" s="4"/>
      <c r="Q295" s="4"/>
      <c r="R295" s="7" t="s">
        <v>36</v>
      </c>
      <c r="S295" s="4" t="str">
        <f>'Ingest Template'!J295</f>
        <v/>
      </c>
      <c r="T295" s="4" t="str">
        <f>'Ingest Template'!I295</f>
        <v/>
      </c>
      <c r="U295" s="4" t="str">
        <f>LOWER(SUBSTITUTE(SUBSTITUTE(SUBSTITUTE(SUBSTITUTE(SUBSTITUTE('Ingest Template'!K295,"https:",""),"www.",""),"/",""),"?hl=en",""),"instagram.com",""))</f>
        <v/>
      </c>
      <c r="V295" s="9" t="str">
        <f>'Ingest Template'!L295</f>
        <v/>
      </c>
      <c r="W295" s="9" t="str">
        <f>'Ingest Template'!M295</f>
        <v/>
      </c>
      <c r="X295" s="4" t="str">
        <f>SUBSTITUTE(SUBSTITUTE(SUBSTITUTE('Ingest Template'!N295,"http:",""),"https:",""),"/","")</f>
        <v/>
      </c>
      <c r="Y295" s="4" t="str">
        <f t="array" ref="Y295">IF('Ingest Template'!A295="Standard",(IF(ISBLANK('Ingest Template'!O295),"", 'Ingest Template'!O295&amp;"|DAR")),(IF(ISBLANK('Ingest Template'!O295),"", 'Ingest Template'!O295&amp;"|Film Ops")))</f>
        <v/>
      </c>
      <c r="Z295" s="4"/>
      <c r="AA295" s="4" t="str">
        <f>'Ingest Template'!E295</f>
        <v/>
      </c>
      <c r="AB295" s="7"/>
      <c r="AC295" s="4" t="str">
        <f t="array" ref="AC295">IF('Ingest Template'!A295="Standard",(CONCATENATE(IF(ISBLANK('Ingest Template'!F295),"", 'Ingest Template'!F295&amp;"|DAR"),CHAR(10), IF(ISBLANK('Ingest Template'!G295),"", 'Ingest Template'!G295&amp;"|DAR"),CHAR(10), IF(ISBLANK('Ingest Template'!H295),"", 'Ingest Template'!H295&amp;"|DAR"))),(CONCATENATE(IF(ISBLANK('Ingest Template'!F295),"", 'Ingest Template'!F295&amp;"|Film Ops"),CHAR(10), IF(ISBLANK('Ingest Template'!G295),"", 'Ingest Template'!G295&amp;"|Film Ops"),CHAR(10), IF(ISBLANK('Ingest Template'!H295),"", 'Ingest Template'!H295&amp;"|Film Ops"))))</f>
        <v>
</v>
      </c>
      <c r="AD295" s="4"/>
      <c r="AE295" s="4"/>
      <c r="AF295" s="10"/>
      <c r="AG295" s="4"/>
      <c r="AH295" s="4"/>
    </row>
    <row r="296">
      <c r="A296" s="4"/>
      <c r="B296" s="4" t="str">
        <f>'Ingest Template'!B296&amp;IF('Ingest Template'!A296 = "Standard", " - DAR","")</f>
        <v/>
      </c>
      <c r="C296" s="5" t="s">
        <v>34</v>
      </c>
      <c r="D296" s="5" t="str">
        <f>CONCATENATE('Ingest Template'!C296,'Ingest Template'!D296)</f>
        <v/>
      </c>
      <c r="E296" s="4"/>
      <c r="F296" s="4"/>
      <c r="G296" s="4"/>
      <c r="H296" s="6"/>
      <c r="I296" s="6" t="str">
        <f>iF('Ingest Template'!A296="Standard","Pristine Brand","Unknown")</f>
        <v>Unknown</v>
      </c>
      <c r="J296" s="4" t="str">
        <f>iF('Ingest Template'!A296="Standard","LF // Beverages","Competitive View")</f>
        <v>Competitive View</v>
      </c>
      <c r="K296" s="7" t="s">
        <v>35</v>
      </c>
      <c r="L296" s="8"/>
      <c r="M296" s="4"/>
      <c r="N296" s="4"/>
      <c r="O296" s="4"/>
      <c r="P296" s="4"/>
      <c r="Q296" s="4"/>
      <c r="R296" s="7" t="s">
        <v>36</v>
      </c>
      <c r="S296" s="4" t="str">
        <f>'Ingest Template'!J296</f>
        <v/>
      </c>
      <c r="T296" s="4" t="str">
        <f>'Ingest Template'!I296</f>
        <v/>
      </c>
      <c r="U296" s="4" t="str">
        <f>LOWER(SUBSTITUTE(SUBSTITUTE(SUBSTITUTE(SUBSTITUTE(SUBSTITUTE('Ingest Template'!K296,"https:",""),"www.",""),"/",""),"?hl=en",""),"instagram.com",""))</f>
        <v/>
      </c>
      <c r="V296" s="9" t="str">
        <f>'Ingest Template'!L296</f>
        <v/>
      </c>
      <c r="W296" s="9" t="str">
        <f>'Ingest Template'!M296</f>
        <v/>
      </c>
      <c r="X296" s="4" t="str">
        <f>SUBSTITUTE(SUBSTITUTE(SUBSTITUTE('Ingest Template'!N296,"http:",""),"https:",""),"/","")</f>
        <v/>
      </c>
      <c r="Y296" s="4" t="str">
        <f t="array" ref="Y296">IF('Ingest Template'!A296="Standard",(IF(ISBLANK('Ingest Template'!O296),"", 'Ingest Template'!O296&amp;"|DAR")),(IF(ISBLANK('Ingest Template'!O296),"", 'Ingest Template'!O296&amp;"|Film Ops")))</f>
        <v/>
      </c>
      <c r="Z296" s="4"/>
      <c r="AA296" s="4" t="str">
        <f>'Ingest Template'!E296</f>
        <v/>
      </c>
      <c r="AB296" s="7"/>
      <c r="AC296" s="4" t="str">
        <f t="array" ref="AC296">IF('Ingest Template'!A296="Standard",(CONCATENATE(IF(ISBLANK('Ingest Template'!F296),"", 'Ingest Template'!F296&amp;"|DAR"),CHAR(10), IF(ISBLANK('Ingest Template'!G296),"", 'Ingest Template'!G296&amp;"|DAR"),CHAR(10), IF(ISBLANK('Ingest Template'!H296),"", 'Ingest Template'!H296&amp;"|DAR"))),(CONCATENATE(IF(ISBLANK('Ingest Template'!F296),"", 'Ingest Template'!F296&amp;"|Film Ops"),CHAR(10), IF(ISBLANK('Ingest Template'!G296),"", 'Ingest Template'!G296&amp;"|Film Ops"),CHAR(10), IF(ISBLANK('Ingest Template'!H296),"", 'Ingest Template'!H296&amp;"|Film Ops"))))</f>
        <v>
</v>
      </c>
      <c r="AD296" s="4"/>
      <c r="AE296" s="4"/>
      <c r="AF296" s="10"/>
      <c r="AG296" s="4"/>
      <c r="AH296" s="4"/>
    </row>
    <row r="297">
      <c r="A297" s="4"/>
      <c r="B297" s="4" t="str">
        <f>'Ingest Template'!B297&amp;IF('Ingest Template'!A297 = "Standard", " - DAR","")</f>
        <v/>
      </c>
      <c r="C297" s="5" t="s">
        <v>34</v>
      </c>
      <c r="D297" s="5" t="str">
        <f>CONCATENATE('Ingest Template'!C297,'Ingest Template'!D297)</f>
        <v/>
      </c>
      <c r="E297" s="4"/>
      <c r="F297" s="4"/>
      <c r="G297" s="4"/>
      <c r="H297" s="6"/>
      <c r="I297" s="6" t="str">
        <f>iF('Ingest Template'!A297="Standard","Pristine Brand","Unknown")</f>
        <v>Unknown</v>
      </c>
      <c r="J297" s="4" t="str">
        <f>iF('Ingest Template'!A297="Standard","LF // Beverages","Competitive View")</f>
        <v>Competitive View</v>
      </c>
      <c r="K297" s="7" t="s">
        <v>35</v>
      </c>
      <c r="L297" s="8"/>
      <c r="M297" s="4"/>
      <c r="N297" s="4"/>
      <c r="O297" s="4"/>
      <c r="P297" s="4"/>
      <c r="Q297" s="4"/>
      <c r="R297" s="7" t="s">
        <v>36</v>
      </c>
      <c r="S297" s="4" t="str">
        <f>'Ingest Template'!J297</f>
        <v/>
      </c>
      <c r="T297" s="4" t="str">
        <f>'Ingest Template'!I297</f>
        <v/>
      </c>
      <c r="U297" s="4" t="str">
        <f>LOWER(SUBSTITUTE(SUBSTITUTE(SUBSTITUTE(SUBSTITUTE(SUBSTITUTE('Ingest Template'!K297,"https:",""),"www.",""),"/",""),"?hl=en",""),"instagram.com",""))</f>
        <v/>
      </c>
      <c r="V297" s="9" t="str">
        <f>'Ingest Template'!L297</f>
        <v/>
      </c>
      <c r="W297" s="9" t="str">
        <f>'Ingest Template'!M297</f>
        <v/>
      </c>
      <c r="X297" s="4" t="str">
        <f>SUBSTITUTE(SUBSTITUTE(SUBSTITUTE('Ingest Template'!N297,"http:",""),"https:",""),"/","")</f>
        <v/>
      </c>
      <c r="Y297" s="4" t="str">
        <f t="array" ref="Y297">IF('Ingest Template'!A297="Standard",(IF(ISBLANK('Ingest Template'!O297),"", 'Ingest Template'!O297&amp;"|DAR")),(IF(ISBLANK('Ingest Template'!O297),"", 'Ingest Template'!O297&amp;"|Film Ops")))</f>
        <v/>
      </c>
      <c r="Z297" s="4"/>
      <c r="AA297" s="4" t="str">
        <f>'Ingest Template'!E297</f>
        <v/>
      </c>
      <c r="AB297" s="7"/>
      <c r="AC297" s="4" t="str">
        <f t="array" ref="AC297">IF('Ingest Template'!A297="Standard",(CONCATENATE(IF(ISBLANK('Ingest Template'!F297),"", 'Ingest Template'!F297&amp;"|DAR"),CHAR(10), IF(ISBLANK('Ingest Template'!G297),"", 'Ingest Template'!G297&amp;"|DAR"),CHAR(10), IF(ISBLANK('Ingest Template'!H297),"", 'Ingest Template'!H297&amp;"|DAR"))),(CONCATENATE(IF(ISBLANK('Ingest Template'!F297),"", 'Ingest Template'!F297&amp;"|Film Ops"),CHAR(10), IF(ISBLANK('Ingest Template'!G297),"", 'Ingest Template'!G297&amp;"|Film Ops"),CHAR(10), IF(ISBLANK('Ingest Template'!H297),"", 'Ingest Template'!H297&amp;"|Film Ops"))))</f>
        <v>
</v>
      </c>
      <c r="AD297" s="4"/>
      <c r="AE297" s="4"/>
      <c r="AF297" s="10"/>
      <c r="AG297" s="4"/>
      <c r="AH297" s="4"/>
    </row>
    <row r="298">
      <c r="A298" s="4"/>
      <c r="B298" s="4" t="str">
        <f>'Ingest Template'!B298&amp;IF('Ingest Template'!A298 = "Standard", " - DAR","")</f>
        <v/>
      </c>
      <c r="C298" s="5" t="s">
        <v>34</v>
      </c>
      <c r="D298" s="5" t="str">
        <f>CONCATENATE('Ingest Template'!C298,'Ingest Template'!D298)</f>
        <v/>
      </c>
      <c r="E298" s="4"/>
      <c r="F298" s="4"/>
      <c r="G298" s="4"/>
      <c r="H298" s="6"/>
      <c r="I298" s="6" t="str">
        <f>iF('Ingest Template'!A298="Standard","Pristine Brand","Unknown")</f>
        <v>Unknown</v>
      </c>
      <c r="J298" s="4" t="str">
        <f>iF('Ingest Template'!A298="Standard","LF // Beverages","Competitive View")</f>
        <v>Competitive View</v>
      </c>
      <c r="K298" s="7" t="s">
        <v>35</v>
      </c>
      <c r="L298" s="8"/>
      <c r="M298" s="4"/>
      <c r="N298" s="4"/>
      <c r="O298" s="4"/>
      <c r="P298" s="4"/>
      <c r="Q298" s="4"/>
      <c r="R298" s="7" t="s">
        <v>36</v>
      </c>
      <c r="S298" s="4" t="str">
        <f>'Ingest Template'!J298</f>
        <v/>
      </c>
      <c r="T298" s="4" t="str">
        <f>'Ingest Template'!I298</f>
        <v/>
      </c>
      <c r="U298" s="4" t="str">
        <f>LOWER(SUBSTITUTE(SUBSTITUTE(SUBSTITUTE(SUBSTITUTE(SUBSTITUTE('Ingest Template'!K298,"https:",""),"www.",""),"/",""),"?hl=en",""),"instagram.com",""))</f>
        <v/>
      </c>
      <c r="V298" s="9" t="str">
        <f>'Ingest Template'!L298</f>
        <v/>
      </c>
      <c r="W298" s="9" t="str">
        <f>'Ingest Template'!M298</f>
        <v/>
      </c>
      <c r="X298" s="4" t="str">
        <f>SUBSTITUTE(SUBSTITUTE(SUBSTITUTE('Ingest Template'!N298,"http:",""),"https:",""),"/","")</f>
        <v/>
      </c>
      <c r="Y298" s="4" t="str">
        <f t="array" ref="Y298">IF('Ingest Template'!A298="Standard",(IF(ISBLANK('Ingest Template'!O298),"", 'Ingest Template'!O298&amp;"|DAR")),(IF(ISBLANK('Ingest Template'!O298),"", 'Ingest Template'!O298&amp;"|Film Ops")))</f>
        <v/>
      </c>
      <c r="Z298" s="4"/>
      <c r="AA298" s="4" t="str">
        <f>'Ingest Template'!E298</f>
        <v/>
      </c>
      <c r="AB298" s="7"/>
      <c r="AC298" s="4" t="str">
        <f t="array" ref="AC298">IF('Ingest Template'!A298="Standard",(CONCATENATE(IF(ISBLANK('Ingest Template'!F298),"", 'Ingest Template'!F298&amp;"|DAR"),CHAR(10), IF(ISBLANK('Ingest Template'!G298),"", 'Ingest Template'!G298&amp;"|DAR"),CHAR(10), IF(ISBLANK('Ingest Template'!H298),"", 'Ingest Template'!H298&amp;"|DAR"))),(CONCATENATE(IF(ISBLANK('Ingest Template'!F298),"", 'Ingest Template'!F298&amp;"|Film Ops"),CHAR(10), IF(ISBLANK('Ingest Template'!G298),"", 'Ingest Template'!G298&amp;"|Film Ops"),CHAR(10), IF(ISBLANK('Ingest Template'!H298),"", 'Ingest Template'!H298&amp;"|Film Ops"))))</f>
        <v>
</v>
      </c>
      <c r="AD298" s="4"/>
      <c r="AE298" s="4"/>
      <c r="AF298" s="10"/>
      <c r="AG298" s="4"/>
      <c r="AH298" s="4"/>
    </row>
    <row r="299">
      <c r="A299" s="4"/>
      <c r="B299" s="4" t="str">
        <f>'Ingest Template'!B299&amp;IF('Ingest Template'!A299 = "Standard", " - DAR","")</f>
        <v/>
      </c>
      <c r="C299" s="5" t="s">
        <v>34</v>
      </c>
      <c r="D299" s="5" t="str">
        <f>CONCATENATE('Ingest Template'!C299,'Ingest Template'!D299)</f>
        <v/>
      </c>
      <c r="E299" s="4"/>
      <c r="F299" s="4"/>
      <c r="G299" s="4"/>
      <c r="H299" s="6"/>
      <c r="I299" s="6" t="str">
        <f>iF('Ingest Template'!A299="Standard","Pristine Brand","Unknown")</f>
        <v>Unknown</v>
      </c>
      <c r="J299" s="4" t="str">
        <f>iF('Ingest Template'!A299="Standard","LF // Beverages","Competitive View")</f>
        <v>Competitive View</v>
      </c>
      <c r="K299" s="7" t="s">
        <v>35</v>
      </c>
      <c r="L299" s="8"/>
      <c r="M299" s="4"/>
      <c r="N299" s="4"/>
      <c r="O299" s="4"/>
      <c r="P299" s="4"/>
      <c r="Q299" s="4"/>
      <c r="R299" s="7" t="s">
        <v>36</v>
      </c>
      <c r="S299" s="4" t="str">
        <f>'Ingest Template'!J299</f>
        <v/>
      </c>
      <c r="T299" s="4" t="str">
        <f>'Ingest Template'!I299</f>
        <v/>
      </c>
      <c r="U299" s="4" t="str">
        <f>LOWER(SUBSTITUTE(SUBSTITUTE(SUBSTITUTE(SUBSTITUTE(SUBSTITUTE('Ingest Template'!K299,"https:",""),"www.",""),"/",""),"?hl=en",""),"instagram.com",""))</f>
        <v/>
      </c>
      <c r="V299" s="9" t="str">
        <f>'Ingest Template'!L299</f>
        <v/>
      </c>
      <c r="W299" s="9" t="str">
        <f>'Ingest Template'!M299</f>
        <v/>
      </c>
      <c r="X299" s="4" t="str">
        <f>SUBSTITUTE(SUBSTITUTE(SUBSTITUTE('Ingest Template'!N299,"http:",""),"https:",""),"/","")</f>
        <v/>
      </c>
      <c r="Y299" s="4" t="str">
        <f t="array" ref="Y299">IF('Ingest Template'!A299="Standard",(IF(ISBLANK('Ingest Template'!O299),"", 'Ingest Template'!O299&amp;"|DAR")),(IF(ISBLANK('Ingest Template'!O299),"", 'Ingest Template'!O299&amp;"|Film Ops")))</f>
        <v/>
      </c>
      <c r="Z299" s="4"/>
      <c r="AA299" s="4" t="str">
        <f>'Ingest Template'!E299</f>
        <v/>
      </c>
      <c r="AB299" s="7"/>
      <c r="AC299" s="4" t="str">
        <f t="array" ref="AC299">IF('Ingest Template'!A299="Standard",(CONCATENATE(IF(ISBLANK('Ingest Template'!F299),"", 'Ingest Template'!F299&amp;"|DAR"),CHAR(10), IF(ISBLANK('Ingest Template'!G299),"", 'Ingest Template'!G299&amp;"|DAR"),CHAR(10), IF(ISBLANK('Ingest Template'!H299),"", 'Ingest Template'!H299&amp;"|DAR"))),(CONCATENATE(IF(ISBLANK('Ingest Template'!F299),"", 'Ingest Template'!F299&amp;"|Film Ops"),CHAR(10), IF(ISBLANK('Ingest Template'!G299),"", 'Ingest Template'!G299&amp;"|Film Ops"),CHAR(10), IF(ISBLANK('Ingest Template'!H299),"", 'Ingest Template'!H299&amp;"|Film Ops"))))</f>
        <v>
</v>
      </c>
      <c r="AD299" s="4"/>
      <c r="AE299" s="4"/>
      <c r="AF299" s="10"/>
      <c r="AG299" s="4"/>
      <c r="AH299" s="4"/>
    </row>
    <row r="300">
      <c r="A300" s="4"/>
      <c r="B300" s="4" t="str">
        <f>'Ingest Template'!B300&amp;IF('Ingest Template'!A300 = "Standard", " - DAR","")</f>
        <v/>
      </c>
      <c r="C300" s="5" t="s">
        <v>34</v>
      </c>
      <c r="D300" s="5" t="str">
        <f>CONCATENATE('Ingest Template'!C300,'Ingest Template'!D300)</f>
        <v/>
      </c>
      <c r="E300" s="4"/>
      <c r="F300" s="4"/>
      <c r="G300" s="4"/>
      <c r="H300" s="6"/>
      <c r="I300" s="6" t="str">
        <f>iF('Ingest Template'!A300="Standard","Pristine Brand","Unknown")</f>
        <v>Unknown</v>
      </c>
      <c r="J300" s="4" t="str">
        <f>iF('Ingest Template'!A300="Standard","LF // Beverages","Competitive View")</f>
        <v>Competitive View</v>
      </c>
      <c r="K300" s="7" t="s">
        <v>35</v>
      </c>
      <c r="L300" s="8"/>
      <c r="M300" s="4"/>
      <c r="N300" s="4"/>
      <c r="O300" s="4"/>
      <c r="P300" s="4"/>
      <c r="Q300" s="4"/>
      <c r="R300" s="7" t="s">
        <v>36</v>
      </c>
      <c r="S300" s="4" t="str">
        <f>'Ingest Template'!J300</f>
        <v/>
      </c>
      <c r="T300" s="4" t="str">
        <f>'Ingest Template'!I300</f>
        <v/>
      </c>
      <c r="U300" s="4" t="str">
        <f>LOWER(SUBSTITUTE(SUBSTITUTE(SUBSTITUTE(SUBSTITUTE(SUBSTITUTE('Ingest Template'!K300,"https:",""),"www.",""),"/",""),"?hl=en",""),"instagram.com",""))</f>
        <v/>
      </c>
      <c r="V300" s="9" t="str">
        <f>'Ingest Template'!L300</f>
        <v/>
      </c>
      <c r="W300" s="9" t="str">
        <f>'Ingest Template'!M300</f>
        <v/>
      </c>
      <c r="X300" s="4" t="str">
        <f>SUBSTITUTE(SUBSTITUTE(SUBSTITUTE('Ingest Template'!N300,"http:",""),"https:",""),"/","")</f>
        <v/>
      </c>
      <c r="Y300" s="4" t="str">
        <f t="array" ref="Y300">IF('Ingest Template'!A300="Standard",(IF(ISBLANK('Ingest Template'!O300),"", 'Ingest Template'!O300&amp;"|DAR")),(IF(ISBLANK('Ingest Template'!O300),"", 'Ingest Template'!O300&amp;"|Film Ops")))</f>
        <v/>
      </c>
      <c r="Z300" s="4"/>
      <c r="AA300" s="4" t="str">
        <f>'Ingest Template'!E300</f>
        <v/>
      </c>
      <c r="AB300" s="7"/>
      <c r="AC300" s="4" t="str">
        <f t="array" ref="AC300">IF('Ingest Template'!A300="Standard",(CONCATENATE(IF(ISBLANK('Ingest Template'!F300),"", 'Ingest Template'!F300&amp;"|DAR"),CHAR(10), IF(ISBLANK('Ingest Template'!G300),"", 'Ingest Template'!G300&amp;"|DAR"),CHAR(10), IF(ISBLANK('Ingest Template'!H300),"", 'Ingest Template'!H300&amp;"|DAR"))),(CONCATENATE(IF(ISBLANK('Ingest Template'!F300),"", 'Ingest Template'!F300&amp;"|Film Ops"),CHAR(10), IF(ISBLANK('Ingest Template'!G300),"", 'Ingest Template'!G300&amp;"|Film Ops"),CHAR(10), IF(ISBLANK('Ingest Template'!H300),"", 'Ingest Template'!H300&amp;"|Film Ops"))))</f>
        <v>
</v>
      </c>
      <c r="AD300" s="4"/>
      <c r="AE300" s="4"/>
      <c r="AF300" s="10"/>
      <c r="AG300" s="4"/>
      <c r="AH300" s="4"/>
    </row>
    <row r="301">
      <c r="A301" s="4"/>
      <c r="B301" s="4" t="str">
        <f>'Ingest Template'!B301&amp;IF('Ingest Template'!A301 = "Standard", " - DAR","")</f>
        <v/>
      </c>
      <c r="C301" s="5" t="s">
        <v>34</v>
      </c>
      <c r="D301" s="5" t="str">
        <f>CONCATENATE('Ingest Template'!C301,'Ingest Template'!D301)</f>
        <v/>
      </c>
      <c r="E301" s="4"/>
      <c r="F301" s="4"/>
      <c r="G301" s="4"/>
      <c r="H301" s="6"/>
      <c r="I301" s="6" t="str">
        <f>iF('Ingest Template'!A301="Standard","Pristine Brand","Unknown")</f>
        <v>Unknown</v>
      </c>
      <c r="J301" s="4" t="str">
        <f>iF('Ingest Template'!A301="Standard","LF // Beverages","Competitive View")</f>
        <v>Competitive View</v>
      </c>
      <c r="K301" s="7" t="s">
        <v>35</v>
      </c>
      <c r="L301" s="8"/>
      <c r="M301" s="4"/>
      <c r="N301" s="4"/>
      <c r="O301" s="4"/>
      <c r="P301" s="4"/>
      <c r="Q301" s="4"/>
      <c r="R301" s="7" t="s">
        <v>36</v>
      </c>
      <c r="S301" s="4" t="str">
        <f>'Ingest Template'!J301</f>
        <v/>
      </c>
      <c r="T301" s="4" t="str">
        <f>'Ingest Template'!I301</f>
        <v/>
      </c>
      <c r="U301" s="4" t="str">
        <f>LOWER(SUBSTITUTE(SUBSTITUTE(SUBSTITUTE(SUBSTITUTE(SUBSTITUTE('Ingest Template'!K301,"https:",""),"www.",""),"/",""),"?hl=en",""),"instagram.com",""))</f>
        <v/>
      </c>
      <c r="V301" s="9" t="str">
        <f>'Ingest Template'!L301</f>
        <v/>
      </c>
      <c r="W301" s="9" t="str">
        <f>'Ingest Template'!M301</f>
        <v/>
      </c>
      <c r="X301" s="4" t="str">
        <f>SUBSTITUTE(SUBSTITUTE(SUBSTITUTE('Ingest Template'!N301,"http:",""),"https:",""),"/","")</f>
        <v/>
      </c>
      <c r="Y301" s="4" t="str">
        <f t="array" ref="Y301">IF('Ingest Template'!A301="Standard",(IF(ISBLANK('Ingest Template'!O301),"", 'Ingest Template'!O301&amp;"|DAR")),(IF(ISBLANK('Ingest Template'!O301),"", 'Ingest Template'!O301&amp;"|Film Ops")))</f>
        <v/>
      </c>
      <c r="Z301" s="4"/>
      <c r="AA301" s="4" t="str">
        <f>'Ingest Template'!E301</f>
        <v/>
      </c>
      <c r="AB301" s="7"/>
      <c r="AC301" s="4" t="str">
        <f t="array" ref="AC301">IF('Ingest Template'!A301="Standard",(CONCATENATE(IF(ISBLANK('Ingest Template'!F301),"", 'Ingest Template'!F301&amp;"|DAR"),CHAR(10), IF(ISBLANK('Ingest Template'!G301),"", 'Ingest Template'!G301&amp;"|DAR"),CHAR(10), IF(ISBLANK('Ingest Template'!H301),"", 'Ingest Template'!H301&amp;"|DAR"))),(CONCATENATE(IF(ISBLANK('Ingest Template'!F301),"", 'Ingest Template'!F301&amp;"|Film Ops"),CHAR(10), IF(ISBLANK('Ingest Template'!G301),"", 'Ingest Template'!G301&amp;"|Film Ops"),CHAR(10), IF(ISBLANK('Ingest Template'!H301),"", 'Ingest Template'!H301&amp;"|Film Ops"))))</f>
        <v>
</v>
      </c>
      <c r="AD301" s="4"/>
      <c r="AE301" s="4"/>
      <c r="AF301" s="10"/>
      <c r="AG301" s="4"/>
      <c r="AH301" s="4"/>
    </row>
    <row r="302">
      <c r="A302" s="4"/>
      <c r="B302" s="4" t="str">
        <f>'Ingest Template'!B302&amp;IF('Ingest Template'!A302 = "Standard", " - DAR","")</f>
        <v/>
      </c>
      <c r="C302" s="5" t="s">
        <v>34</v>
      </c>
      <c r="D302" s="5" t="str">
        <f>CONCATENATE('Ingest Template'!C302,'Ingest Template'!D302)</f>
        <v/>
      </c>
      <c r="E302" s="4"/>
      <c r="F302" s="4"/>
      <c r="G302" s="4"/>
      <c r="H302" s="6"/>
      <c r="I302" s="6" t="str">
        <f>iF('Ingest Template'!A302="Standard","Pristine Brand","Unknown")</f>
        <v>Unknown</v>
      </c>
      <c r="J302" s="4" t="str">
        <f>iF('Ingest Template'!A302="Standard","LF // Beverages","Competitive View")</f>
        <v>Competitive View</v>
      </c>
      <c r="K302" s="7" t="s">
        <v>35</v>
      </c>
      <c r="L302" s="8"/>
      <c r="M302" s="4"/>
      <c r="N302" s="4"/>
      <c r="O302" s="4"/>
      <c r="P302" s="4"/>
      <c r="Q302" s="4"/>
      <c r="R302" s="7" t="s">
        <v>36</v>
      </c>
      <c r="S302" s="4" t="str">
        <f>'Ingest Template'!J302</f>
        <v/>
      </c>
      <c r="T302" s="4" t="str">
        <f>'Ingest Template'!I302</f>
        <v/>
      </c>
      <c r="U302" s="4" t="str">
        <f>LOWER(SUBSTITUTE(SUBSTITUTE(SUBSTITUTE(SUBSTITUTE(SUBSTITUTE('Ingest Template'!K302,"https:",""),"www.",""),"/",""),"?hl=en",""),"instagram.com",""))</f>
        <v/>
      </c>
      <c r="V302" s="9" t="str">
        <f>'Ingest Template'!L302</f>
        <v/>
      </c>
      <c r="W302" s="9" t="str">
        <f>'Ingest Template'!M302</f>
        <v/>
      </c>
      <c r="X302" s="4" t="str">
        <f>SUBSTITUTE(SUBSTITUTE(SUBSTITUTE('Ingest Template'!N302,"http:",""),"https:",""),"/","")</f>
        <v/>
      </c>
      <c r="Y302" s="4" t="str">
        <f t="array" ref="Y302">IF('Ingest Template'!A302="Standard",(IF(ISBLANK('Ingest Template'!O302),"", 'Ingest Template'!O302&amp;"|DAR")),(IF(ISBLANK('Ingest Template'!O302),"", 'Ingest Template'!O302&amp;"|Film Ops")))</f>
        <v/>
      </c>
      <c r="Z302" s="4"/>
      <c r="AA302" s="4" t="str">
        <f>'Ingest Template'!E302</f>
        <v/>
      </c>
      <c r="AB302" s="7"/>
      <c r="AC302" s="4" t="str">
        <f t="array" ref="AC302">IF('Ingest Template'!A302="Standard",(CONCATENATE(IF(ISBLANK('Ingest Template'!F302),"", 'Ingest Template'!F302&amp;"|DAR"),CHAR(10), IF(ISBLANK('Ingest Template'!G302),"", 'Ingest Template'!G302&amp;"|DAR"),CHAR(10), IF(ISBLANK('Ingest Template'!H302),"", 'Ingest Template'!H302&amp;"|DAR"))),(CONCATENATE(IF(ISBLANK('Ingest Template'!F302),"", 'Ingest Template'!F302&amp;"|Film Ops"),CHAR(10), IF(ISBLANK('Ingest Template'!G302),"", 'Ingest Template'!G302&amp;"|Film Ops"),CHAR(10), IF(ISBLANK('Ingest Template'!H302),"", 'Ingest Template'!H302&amp;"|Film Ops"))))</f>
        <v>
</v>
      </c>
      <c r="AD302" s="4"/>
      <c r="AE302" s="4"/>
      <c r="AF302" s="10"/>
      <c r="AG302" s="4"/>
      <c r="AH302" s="4"/>
    </row>
    <row r="303">
      <c r="A303" s="4"/>
      <c r="B303" s="4" t="str">
        <f>'Ingest Template'!B303&amp;IF('Ingest Template'!A303 = "Standard", " - DAR","")</f>
        <v/>
      </c>
      <c r="C303" s="5" t="s">
        <v>34</v>
      </c>
      <c r="D303" s="5" t="str">
        <f>CONCATENATE('Ingest Template'!C303,'Ingest Template'!D303)</f>
        <v/>
      </c>
      <c r="E303" s="4"/>
      <c r="F303" s="4"/>
      <c r="G303" s="4"/>
      <c r="H303" s="6"/>
      <c r="I303" s="6" t="str">
        <f>iF('Ingest Template'!A303="Standard","Pristine Brand","Unknown")</f>
        <v>Unknown</v>
      </c>
      <c r="J303" s="4" t="str">
        <f>iF('Ingest Template'!A303="Standard","LF // Beverages","Competitive View")</f>
        <v>Competitive View</v>
      </c>
      <c r="K303" s="7" t="s">
        <v>35</v>
      </c>
      <c r="L303" s="8"/>
      <c r="M303" s="4"/>
      <c r="N303" s="4"/>
      <c r="O303" s="4"/>
      <c r="P303" s="4"/>
      <c r="Q303" s="4"/>
      <c r="R303" s="7" t="s">
        <v>36</v>
      </c>
      <c r="S303" s="4" t="str">
        <f>'Ingest Template'!J303</f>
        <v/>
      </c>
      <c r="T303" s="4" t="str">
        <f>'Ingest Template'!I303</f>
        <v/>
      </c>
      <c r="U303" s="4" t="str">
        <f>LOWER(SUBSTITUTE(SUBSTITUTE(SUBSTITUTE(SUBSTITUTE(SUBSTITUTE('Ingest Template'!K303,"https:",""),"www.",""),"/",""),"?hl=en",""),"instagram.com",""))</f>
        <v/>
      </c>
      <c r="V303" s="9" t="str">
        <f>'Ingest Template'!L303</f>
        <v/>
      </c>
      <c r="W303" s="9" t="str">
        <f>'Ingest Template'!M303</f>
        <v/>
      </c>
      <c r="X303" s="4" t="str">
        <f>SUBSTITUTE(SUBSTITUTE(SUBSTITUTE('Ingest Template'!N303,"http:",""),"https:",""),"/","")</f>
        <v/>
      </c>
      <c r="Y303" s="4" t="str">
        <f t="array" ref="Y303">IF('Ingest Template'!A303="Standard",(IF(ISBLANK('Ingest Template'!O303),"", 'Ingest Template'!O303&amp;"|DAR")),(IF(ISBLANK('Ingest Template'!O303),"", 'Ingest Template'!O303&amp;"|Film Ops")))</f>
        <v/>
      </c>
      <c r="Z303" s="4"/>
      <c r="AA303" s="4" t="str">
        <f>'Ingest Template'!E303</f>
        <v/>
      </c>
      <c r="AB303" s="7"/>
      <c r="AC303" s="4" t="str">
        <f t="array" ref="AC303">IF('Ingest Template'!A303="Standard",(CONCATENATE(IF(ISBLANK('Ingest Template'!F303),"", 'Ingest Template'!F303&amp;"|DAR"),CHAR(10), IF(ISBLANK('Ingest Template'!G303),"", 'Ingest Template'!G303&amp;"|DAR"),CHAR(10), IF(ISBLANK('Ingest Template'!H303),"", 'Ingest Template'!H303&amp;"|DAR"))),(CONCATENATE(IF(ISBLANK('Ingest Template'!F303),"", 'Ingest Template'!F303&amp;"|Film Ops"),CHAR(10), IF(ISBLANK('Ingest Template'!G303),"", 'Ingest Template'!G303&amp;"|Film Ops"),CHAR(10), IF(ISBLANK('Ingest Template'!H303),"", 'Ingest Template'!H303&amp;"|Film Ops"))))</f>
        <v>
</v>
      </c>
      <c r="AD303" s="4"/>
      <c r="AE303" s="4"/>
      <c r="AF303" s="10"/>
      <c r="AG303" s="4"/>
      <c r="AH303" s="4"/>
    </row>
    <row r="304">
      <c r="A304" s="4"/>
      <c r="B304" s="4" t="str">
        <f>'Ingest Template'!B304&amp;IF('Ingest Template'!A304 = "Standard", " - DAR","")</f>
        <v/>
      </c>
      <c r="C304" s="5" t="s">
        <v>34</v>
      </c>
      <c r="D304" s="5" t="str">
        <f>CONCATENATE('Ingest Template'!C304,'Ingest Template'!D304)</f>
        <v/>
      </c>
      <c r="E304" s="4"/>
      <c r="F304" s="4"/>
      <c r="G304" s="4"/>
      <c r="H304" s="6"/>
      <c r="I304" s="6" t="str">
        <f>iF('Ingest Template'!A304="Standard","Pristine Brand","Unknown")</f>
        <v>Unknown</v>
      </c>
      <c r="J304" s="4" t="str">
        <f>iF('Ingest Template'!A304="Standard","LF // Beverages","Competitive View")</f>
        <v>Competitive View</v>
      </c>
      <c r="K304" s="7" t="s">
        <v>35</v>
      </c>
      <c r="L304" s="8"/>
      <c r="M304" s="4"/>
      <c r="N304" s="4"/>
      <c r="O304" s="4"/>
      <c r="P304" s="4"/>
      <c r="Q304" s="4"/>
      <c r="R304" s="7" t="s">
        <v>36</v>
      </c>
      <c r="S304" s="4" t="str">
        <f>'Ingest Template'!J304</f>
        <v/>
      </c>
      <c r="T304" s="4" t="str">
        <f>'Ingest Template'!I304</f>
        <v/>
      </c>
      <c r="U304" s="4" t="str">
        <f>LOWER(SUBSTITUTE(SUBSTITUTE(SUBSTITUTE(SUBSTITUTE(SUBSTITUTE('Ingest Template'!K304,"https:",""),"www.",""),"/",""),"?hl=en",""),"instagram.com",""))</f>
        <v/>
      </c>
      <c r="V304" s="9" t="str">
        <f>'Ingest Template'!L304</f>
        <v/>
      </c>
      <c r="W304" s="9" t="str">
        <f>'Ingest Template'!M304</f>
        <v/>
      </c>
      <c r="X304" s="4" t="str">
        <f>SUBSTITUTE(SUBSTITUTE(SUBSTITUTE('Ingest Template'!N304,"http:",""),"https:",""),"/","")</f>
        <v/>
      </c>
      <c r="Y304" s="4" t="str">
        <f t="array" ref="Y304">IF('Ingest Template'!A304="Standard",(IF(ISBLANK('Ingest Template'!O304),"", 'Ingest Template'!O304&amp;"|DAR")),(IF(ISBLANK('Ingest Template'!O304),"", 'Ingest Template'!O304&amp;"|Film Ops")))</f>
        <v/>
      </c>
      <c r="Z304" s="4"/>
      <c r="AA304" s="4" t="str">
        <f>'Ingest Template'!E304</f>
        <v/>
      </c>
      <c r="AB304" s="7"/>
      <c r="AC304" s="4" t="str">
        <f t="array" ref="AC304">IF('Ingest Template'!A304="Standard",(CONCATENATE(IF(ISBLANK('Ingest Template'!F304),"", 'Ingest Template'!F304&amp;"|DAR"),CHAR(10), IF(ISBLANK('Ingest Template'!G304),"", 'Ingest Template'!G304&amp;"|DAR"),CHAR(10), IF(ISBLANK('Ingest Template'!H304),"", 'Ingest Template'!H304&amp;"|DAR"))),(CONCATENATE(IF(ISBLANK('Ingest Template'!F304),"", 'Ingest Template'!F304&amp;"|Film Ops"),CHAR(10), IF(ISBLANK('Ingest Template'!G304),"", 'Ingest Template'!G304&amp;"|Film Ops"),CHAR(10), IF(ISBLANK('Ingest Template'!H304),"", 'Ingest Template'!H304&amp;"|Film Ops"))))</f>
        <v>
</v>
      </c>
      <c r="AD304" s="4"/>
      <c r="AE304" s="4"/>
      <c r="AF304" s="10"/>
      <c r="AG304" s="4"/>
      <c r="AH304" s="4"/>
    </row>
    <row r="305">
      <c r="A305" s="4"/>
      <c r="B305" s="4" t="str">
        <f>'Ingest Template'!B305&amp;IF('Ingest Template'!A305 = "Standard", " - DAR","")</f>
        <v/>
      </c>
      <c r="C305" s="5" t="s">
        <v>34</v>
      </c>
      <c r="D305" s="5" t="str">
        <f>CONCATENATE('Ingest Template'!C305,'Ingest Template'!D305)</f>
        <v/>
      </c>
      <c r="E305" s="4"/>
      <c r="F305" s="4"/>
      <c r="G305" s="4"/>
      <c r="H305" s="6"/>
      <c r="I305" s="6" t="str">
        <f>iF('Ingest Template'!A305="Standard","Pristine Brand","Unknown")</f>
        <v>Unknown</v>
      </c>
      <c r="J305" s="4" t="str">
        <f>iF('Ingest Template'!A305="Standard","LF // Beverages","Competitive View")</f>
        <v>Competitive View</v>
      </c>
      <c r="K305" s="7" t="s">
        <v>35</v>
      </c>
      <c r="L305" s="8"/>
      <c r="M305" s="4"/>
      <c r="N305" s="4"/>
      <c r="O305" s="4"/>
      <c r="P305" s="4"/>
      <c r="Q305" s="4"/>
      <c r="R305" s="7" t="s">
        <v>36</v>
      </c>
      <c r="S305" s="4" t="str">
        <f>'Ingest Template'!J305</f>
        <v/>
      </c>
      <c r="T305" s="4" t="str">
        <f>'Ingest Template'!I305</f>
        <v/>
      </c>
      <c r="U305" s="4" t="str">
        <f>LOWER(SUBSTITUTE(SUBSTITUTE(SUBSTITUTE(SUBSTITUTE(SUBSTITUTE('Ingest Template'!K305,"https:",""),"www.",""),"/",""),"?hl=en",""),"instagram.com",""))</f>
        <v/>
      </c>
      <c r="V305" s="9" t="str">
        <f>'Ingest Template'!L305</f>
        <v/>
      </c>
      <c r="W305" s="9" t="str">
        <f>'Ingest Template'!M305</f>
        <v/>
      </c>
      <c r="X305" s="4" t="str">
        <f>SUBSTITUTE(SUBSTITUTE(SUBSTITUTE('Ingest Template'!N305,"http:",""),"https:",""),"/","")</f>
        <v/>
      </c>
      <c r="Y305" s="4" t="str">
        <f t="array" ref="Y305">IF('Ingest Template'!A305="Standard",(IF(ISBLANK('Ingest Template'!O305),"", 'Ingest Template'!O305&amp;"|DAR")),(IF(ISBLANK('Ingest Template'!O305),"", 'Ingest Template'!O305&amp;"|Film Ops")))</f>
        <v/>
      </c>
      <c r="Z305" s="4"/>
      <c r="AA305" s="4" t="str">
        <f>'Ingest Template'!E305</f>
        <v/>
      </c>
      <c r="AB305" s="7"/>
      <c r="AC305" s="4" t="str">
        <f t="array" ref="AC305">IF('Ingest Template'!A305="Standard",(CONCATENATE(IF(ISBLANK('Ingest Template'!F305),"", 'Ingest Template'!F305&amp;"|DAR"),CHAR(10), IF(ISBLANK('Ingest Template'!G305),"", 'Ingest Template'!G305&amp;"|DAR"),CHAR(10), IF(ISBLANK('Ingest Template'!H305),"", 'Ingest Template'!H305&amp;"|DAR"))),(CONCATENATE(IF(ISBLANK('Ingest Template'!F305),"", 'Ingest Template'!F305&amp;"|Film Ops"),CHAR(10), IF(ISBLANK('Ingest Template'!G305),"", 'Ingest Template'!G305&amp;"|Film Ops"),CHAR(10), IF(ISBLANK('Ingest Template'!H305),"", 'Ingest Template'!H305&amp;"|Film Ops"))))</f>
        <v>
</v>
      </c>
      <c r="AD305" s="4"/>
      <c r="AE305" s="4"/>
      <c r="AF305" s="10"/>
      <c r="AG305" s="4"/>
      <c r="AH305" s="4"/>
    </row>
    <row r="306">
      <c r="A306" s="4"/>
      <c r="B306" s="4" t="str">
        <f>'Ingest Template'!B306&amp;IF('Ingest Template'!A306 = "Standard", " - DAR","")</f>
        <v/>
      </c>
      <c r="C306" s="5" t="s">
        <v>34</v>
      </c>
      <c r="D306" s="5" t="str">
        <f>CONCATENATE('Ingest Template'!C306,'Ingest Template'!D306)</f>
        <v/>
      </c>
      <c r="E306" s="4"/>
      <c r="F306" s="4"/>
      <c r="G306" s="4"/>
      <c r="H306" s="6"/>
      <c r="I306" s="6" t="str">
        <f>iF('Ingest Template'!A306="Standard","Pristine Brand","Unknown")</f>
        <v>Unknown</v>
      </c>
      <c r="J306" s="4" t="str">
        <f>iF('Ingest Template'!A306="Standard","LF // Beverages","Competitive View")</f>
        <v>Competitive View</v>
      </c>
      <c r="K306" s="7" t="s">
        <v>35</v>
      </c>
      <c r="L306" s="8"/>
      <c r="M306" s="4"/>
      <c r="N306" s="4"/>
      <c r="O306" s="4"/>
      <c r="P306" s="4"/>
      <c r="Q306" s="4"/>
      <c r="R306" s="7" t="s">
        <v>36</v>
      </c>
      <c r="S306" s="4" t="str">
        <f>'Ingest Template'!J306</f>
        <v/>
      </c>
      <c r="T306" s="4" t="str">
        <f>'Ingest Template'!I306</f>
        <v/>
      </c>
      <c r="U306" s="4" t="str">
        <f>LOWER(SUBSTITUTE(SUBSTITUTE(SUBSTITUTE(SUBSTITUTE(SUBSTITUTE('Ingest Template'!K306,"https:",""),"www.",""),"/",""),"?hl=en",""),"instagram.com",""))</f>
        <v/>
      </c>
      <c r="V306" s="9" t="str">
        <f>'Ingest Template'!L306</f>
        <v/>
      </c>
      <c r="W306" s="9" t="str">
        <f>'Ingest Template'!M306</f>
        <v/>
      </c>
      <c r="X306" s="4" t="str">
        <f>SUBSTITUTE(SUBSTITUTE(SUBSTITUTE('Ingest Template'!N306,"http:",""),"https:",""),"/","")</f>
        <v/>
      </c>
      <c r="Y306" s="4" t="str">
        <f t="array" ref="Y306">IF('Ingest Template'!A306="Standard",(IF(ISBLANK('Ingest Template'!O306),"", 'Ingest Template'!O306&amp;"|DAR")),(IF(ISBLANK('Ingest Template'!O306),"", 'Ingest Template'!O306&amp;"|Film Ops")))</f>
        <v/>
      </c>
      <c r="Z306" s="4"/>
      <c r="AA306" s="4" t="str">
        <f>'Ingest Template'!E306</f>
        <v/>
      </c>
      <c r="AB306" s="7"/>
      <c r="AC306" s="4" t="str">
        <f t="array" ref="AC306">IF('Ingest Template'!A306="Standard",(CONCATENATE(IF(ISBLANK('Ingest Template'!F306),"", 'Ingest Template'!F306&amp;"|DAR"),CHAR(10), IF(ISBLANK('Ingest Template'!G306),"", 'Ingest Template'!G306&amp;"|DAR"),CHAR(10), IF(ISBLANK('Ingest Template'!H306),"", 'Ingest Template'!H306&amp;"|DAR"))),(CONCATENATE(IF(ISBLANK('Ingest Template'!F306),"", 'Ingest Template'!F306&amp;"|Film Ops"),CHAR(10), IF(ISBLANK('Ingest Template'!G306),"", 'Ingest Template'!G306&amp;"|Film Ops"),CHAR(10), IF(ISBLANK('Ingest Template'!H306),"", 'Ingest Template'!H306&amp;"|Film Ops"))))</f>
        <v>
</v>
      </c>
      <c r="AD306" s="4"/>
      <c r="AE306" s="4"/>
      <c r="AF306" s="10"/>
      <c r="AG306" s="4"/>
      <c r="AH306" s="4"/>
    </row>
    <row r="307">
      <c r="A307" s="4"/>
      <c r="B307" s="4" t="str">
        <f>'Ingest Template'!B307&amp;IF('Ingest Template'!A307 = "Standard", " - DAR","")</f>
        <v/>
      </c>
      <c r="C307" s="5" t="s">
        <v>34</v>
      </c>
      <c r="D307" s="5" t="str">
        <f>CONCATENATE('Ingest Template'!C307,'Ingest Template'!D307)</f>
        <v/>
      </c>
      <c r="E307" s="4"/>
      <c r="F307" s="4"/>
      <c r="G307" s="4"/>
      <c r="H307" s="6"/>
      <c r="I307" s="6" t="str">
        <f>iF('Ingest Template'!A307="Standard","Pristine Brand","Unknown")</f>
        <v>Unknown</v>
      </c>
      <c r="J307" s="4" t="str">
        <f>iF('Ingest Template'!A307="Standard","LF // Beverages","Competitive View")</f>
        <v>Competitive View</v>
      </c>
      <c r="K307" s="7" t="s">
        <v>35</v>
      </c>
      <c r="L307" s="8"/>
      <c r="M307" s="4"/>
      <c r="N307" s="4"/>
      <c r="O307" s="4"/>
      <c r="P307" s="4"/>
      <c r="Q307" s="4"/>
      <c r="R307" s="7" t="s">
        <v>36</v>
      </c>
      <c r="S307" s="4" t="str">
        <f>'Ingest Template'!J307</f>
        <v/>
      </c>
      <c r="T307" s="4" t="str">
        <f>'Ingest Template'!I307</f>
        <v/>
      </c>
      <c r="U307" s="4" t="str">
        <f>LOWER(SUBSTITUTE(SUBSTITUTE(SUBSTITUTE(SUBSTITUTE(SUBSTITUTE('Ingest Template'!K307,"https:",""),"www.",""),"/",""),"?hl=en",""),"instagram.com",""))</f>
        <v/>
      </c>
      <c r="V307" s="9" t="str">
        <f>'Ingest Template'!L307</f>
        <v/>
      </c>
      <c r="W307" s="9" t="str">
        <f>'Ingest Template'!M307</f>
        <v/>
      </c>
      <c r="X307" s="4" t="str">
        <f>SUBSTITUTE(SUBSTITUTE(SUBSTITUTE('Ingest Template'!N307,"http:",""),"https:",""),"/","")</f>
        <v/>
      </c>
      <c r="Y307" s="4" t="str">
        <f t="array" ref="Y307">IF('Ingest Template'!A307="Standard",(IF(ISBLANK('Ingest Template'!O307),"", 'Ingest Template'!O307&amp;"|DAR")),(IF(ISBLANK('Ingest Template'!O307),"", 'Ingest Template'!O307&amp;"|Film Ops")))</f>
        <v/>
      </c>
      <c r="Z307" s="4"/>
      <c r="AA307" s="4" t="str">
        <f>'Ingest Template'!E307</f>
        <v/>
      </c>
      <c r="AB307" s="7"/>
      <c r="AC307" s="4" t="str">
        <f t="array" ref="AC307">IF('Ingest Template'!A307="Standard",(CONCATENATE(IF(ISBLANK('Ingest Template'!F307),"", 'Ingest Template'!F307&amp;"|DAR"),CHAR(10), IF(ISBLANK('Ingest Template'!G307),"", 'Ingest Template'!G307&amp;"|DAR"),CHAR(10), IF(ISBLANK('Ingest Template'!H307),"", 'Ingest Template'!H307&amp;"|DAR"))),(CONCATENATE(IF(ISBLANK('Ingest Template'!F307),"", 'Ingest Template'!F307&amp;"|Film Ops"),CHAR(10), IF(ISBLANK('Ingest Template'!G307),"", 'Ingest Template'!G307&amp;"|Film Ops"),CHAR(10), IF(ISBLANK('Ingest Template'!H307),"", 'Ingest Template'!H307&amp;"|Film Ops"))))</f>
        <v>
</v>
      </c>
      <c r="AD307" s="4"/>
      <c r="AE307" s="4"/>
      <c r="AF307" s="10"/>
      <c r="AG307" s="4"/>
      <c r="AH307" s="4"/>
    </row>
    <row r="308">
      <c r="A308" s="4"/>
      <c r="B308" s="4" t="str">
        <f>'Ingest Template'!B308&amp;IF('Ingest Template'!A308 = "Standard", " - DAR","")</f>
        <v/>
      </c>
      <c r="C308" s="5" t="s">
        <v>34</v>
      </c>
      <c r="D308" s="5" t="str">
        <f>CONCATENATE('Ingest Template'!C308,'Ingest Template'!D308)</f>
        <v/>
      </c>
      <c r="E308" s="4"/>
      <c r="F308" s="4"/>
      <c r="G308" s="4"/>
      <c r="H308" s="6"/>
      <c r="I308" s="6" t="str">
        <f>iF('Ingest Template'!A308="Standard","Pristine Brand","Unknown")</f>
        <v>Unknown</v>
      </c>
      <c r="J308" s="4" t="str">
        <f>iF('Ingest Template'!A308="Standard","LF // Beverages","Competitive View")</f>
        <v>Competitive View</v>
      </c>
      <c r="K308" s="7" t="s">
        <v>35</v>
      </c>
      <c r="L308" s="8"/>
      <c r="M308" s="4"/>
      <c r="N308" s="4"/>
      <c r="O308" s="4"/>
      <c r="P308" s="4"/>
      <c r="Q308" s="4"/>
      <c r="R308" s="7" t="s">
        <v>36</v>
      </c>
      <c r="S308" s="4" t="str">
        <f>'Ingest Template'!J308</f>
        <v/>
      </c>
      <c r="T308" s="4" t="str">
        <f>'Ingest Template'!I308</f>
        <v/>
      </c>
      <c r="U308" s="4" t="str">
        <f>LOWER(SUBSTITUTE(SUBSTITUTE(SUBSTITUTE(SUBSTITUTE(SUBSTITUTE('Ingest Template'!K308,"https:",""),"www.",""),"/",""),"?hl=en",""),"instagram.com",""))</f>
        <v/>
      </c>
      <c r="V308" s="9" t="str">
        <f>'Ingest Template'!L308</f>
        <v/>
      </c>
      <c r="W308" s="9" t="str">
        <f>'Ingest Template'!M308</f>
        <v/>
      </c>
      <c r="X308" s="4" t="str">
        <f>SUBSTITUTE(SUBSTITUTE(SUBSTITUTE('Ingest Template'!N308,"http:",""),"https:",""),"/","")</f>
        <v/>
      </c>
      <c r="Y308" s="4" t="str">
        <f t="array" ref="Y308">IF('Ingest Template'!A308="Standard",(IF(ISBLANK('Ingest Template'!O308),"", 'Ingest Template'!O308&amp;"|DAR")),(IF(ISBLANK('Ingest Template'!O308),"", 'Ingest Template'!O308&amp;"|Film Ops")))</f>
        <v/>
      </c>
      <c r="Z308" s="4"/>
      <c r="AA308" s="4" t="str">
        <f>'Ingest Template'!E308</f>
        <v/>
      </c>
      <c r="AB308" s="7"/>
      <c r="AC308" s="4" t="str">
        <f t="array" ref="AC308">IF('Ingest Template'!A308="Standard",(CONCATENATE(IF(ISBLANK('Ingest Template'!F308),"", 'Ingest Template'!F308&amp;"|DAR"),CHAR(10), IF(ISBLANK('Ingest Template'!G308),"", 'Ingest Template'!G308&amp;"|DAR"),CHAR(10), IF(ISBLANK('Ingest Template'!H308),"", 'Ingest Template'!H308&amp;"|DAR"))),(CONCATENATE(IF(ISBLANK('Ingest Template'!F308),"", 'Ingest Template'!F308&amp;"|Film Ops"),CHAR(10), IF(ISBLANK('Ingest Template'!G308),"", 'Ingest Template'!G308&amp;"|Film Ops"),CHAR(10), IF(ISBLANK('Ingest Template'!H308),"", 'Ingest Template'!H308&amp;"|Film Ops"))))</f>
        <v>
</v>
      </c>
      <c r="AD308" s="4"/>
      <c r="AE308" s="4"/>
      <c r="AF308" s="10"/>
      <c r="AG308" s="4"/>
      <c r="AH308" s="4"/>
    </row>
    <row r="309">
      <c r="A309" s="4"/>
      <c r="B309" s="4" t="str">
        <f>'Ingest Template'!B309&amp;IF('Ingest Template'!A309 = "Standard", " - DAR","")</f>
        <v/>
      </c>
      <c r="C309" s="5" t="s">
        <v>34</v>
      </c>
      <c r="D309" s="5" t="str">
        <f>CONCATENATE('Ingest Template'!C309,'Ingest Template'!D309)</f>
        <v/>
      </c>
      <c r="E309" s="4"/>
      <c r="F309" s="4"/>
      <c r="G309" s="4"/>
      <c r="H309" s="6"/>
      <c r="I309" s="6" t="str">
        <f>iF('Ingest Template'!A309="Standard","Pristine Brand","Unknown")</f>
        <v>Unknown</v>
      </c>
      <c r="J309" s="4" t="str">
        <f>iF('Ingest Template'!A309="Standard","LF // Beverages","Competitive View")</f>
        <v>Competitive View</v>
      </c>
      <c r="K309" s="7" t="s">
        <v>35</v>
      </c>
      <c r="L309" s="8"/>
      <c r="M309" s="4"/>
      <c r="N309" s="4"/>
      <c r="O309" s="4"/>
      <c r="P309" s="4"/>
      <c r="Q309" s="4"/>
      <c r="R309" s="7" t="s">
        <v>36</v>
      </c>
      <c r="S309" s="4" t="str">
        <f>'Ingest Template'!J309</f>
        <v/>
      </c>
      <c r="T309" s="4" t="str">
        <f>'Ingest Template'!I309</f>
        <v/>
      </c>
      <c r="U309" s="4" t="str">
        <f>LOWER(SUBSTITUTE(SUBSTITUTE(SUBSTITUTE(SUBSTITUTE(SUBSTITUTE('Ingest Template'!K309,"https:",""),"www.",""),"/",""),"?hl=en",""),"instagram.com",""))</f>
        <v/>
      </c>
      <c r="V309" s="9" t="str">
        <f>'Ingest Template'!L309</f>
        <v/>
      </c>
      <c r="W309" s="9" t="str">
        <f>'Ingest Template'!M309</f>
        <v/>
      </c>
      <c r="X309" s="4" t="str">
        <f>SUBSTITUTE(SUBSTITUTE(SUBSTITUTE('Ingest Template'!N309,"http:",""),"https:",""),"/","")</f>
        <v/>
      </c>
      <c r="Y309" s="4" t="str">
        <f t="array" ref="Y309">IF('Ingest Template'!A309="Standard",(IF(ISBLANK('Ingest Template'!O309),"", 'Ingest Template'!O309&amp;"|DAR")),(IF(ISBLANK('Ingest Template'!O309),"", 'Ingest Template'!O309&amp;"|Film Ops")))</f>
        <v/>
      </c>
      <c r="Z309" s="4"/>
      <c r="AA309" s="4" t="str">
        <f>'Ingest Template'!E309</f>
        <v/>
      </c>
      <c r="AB309" s="7"/>
      <c r="AC309" s="4" t="str">
        <f t="array" ref="AC309">IF('Ingest Template'!A309="Standard",(CONCATENATE(IF(ISBLANK('Ingest Template'!F309),"", 'Ingest Template'!F309&amp;"|DAR"),CHAR(10), IF(ISBLANK('Ingest Template'!G309),"", 'Ingest Template'!G309&amp;"|DAR"),CHAR(10), IF(ISBLANK('Ingest Template'!H309),"", 'Ingest Template'!H309&amp;"|DAR"))),(CONCATENATE(IF(ISBLANK('Ingest Template'!F309),"", 'Ingest Template'!F309&amp;"|Film Ops"),CHAR(10), IF(ISBLANK('Ingest Template'!G309),"", 'Ingest Template'!G309&amp;"|Film Ops"),CHAR(10), IF(ISBLANK('Ingest Template'!H309),"", 'Ingest Template'!H309&amp;"|Film Ops"))))</f>
        <v>
</v>
      </c>
      <c r="AD309" s="4"/>
      <c r="AE309" s="4"/>
      <c r="AF309" s="10"/>
      <c r="AG309" s="4"/>
      <c r="AH309" s="4"/>
    </row>
    <row r="310">
      <c r="A310" s="4"/>
      <c r="B310" s="4" t="str">
        <f>'Ingest Template'!B310&amp;IF('Ingest Template'!A310 = "Standard", " - DAR","")</f>
        <v/>
      </c>
      <c r="C310" s="5" t="s">
        <v>34</v>
      </c>
      <c r="D310" s="5" t="str">
        <f>CONCATENATE('Ingest Template'!C310,'Ingest Template'!D310)</f>
        <v/>
      </c>
      <c r="E310" s="4"/>
      <c r="F310" s="4"/>
      <c r="G310" s="4"/>
      <c r="H310" s="6"/>
      <c r="I310" s="6" t="str">
        <f>iF('Ingest Template'!A310="Standard","Pristine Brand","Unknown")</f>
        <v>Unknown</v>
      </c>
      <c r="J310" s="4" t="str">
        <f>iF('Ingest Template'!A310="Standard","LF // Beverages","Competitive View")</f>
        <v>Competitive View</v>
      </c>
      <c r="K310" s="7" t="s">
        <v>35</v>
      </c>
      <c r="L310" s="8"/>
      <c r="M310" s="4"/>
      <c r="N310" s="4"/>
      <c r="O310" s="4"/>
      <c r="P310" s="4"/>
      <c r="Q310" s="4"/>
      <c r="R310" s="7" t="s">
        <v>36</v>
      </c>
      <c r="S310" s="4" t="str">
        <f>'Ingest Template'!J310</f>
        <v/>
      </c>
      <c r="T310" s="4" t="str">
        <f>'Ingest Template'!I310</f>
        <v/>
      </c>
      <c r="U310" s="4" t="str">
        <f>LOWER(SUBSTITUTE(SUBSTITUTE(SUBSTITUTE(SUBSTITUTE(SUBSTITUTE('Ingest Template'!K310,"https:",""),"www.",""),"/",""),"?hl=en",""),"instagram.com",""))</f>
        <v/>
      </c>
      <c r="V310" s="9" t="str">
        <f>'Ingest Template'!L310</f>
        <v/>
      </c>
      <c r="W310" s="9" t="str">
        <f>'Ingest Template'!M310</f>
        <v/>
      </c>
      <c r="X310" s="4" t="str">
        <f>SUBSTITUTE(SUBSTITUTE(SUBSTITUTE('Ingest Template'!N310,"http:",""),"https:",""),"/","")</f>
        <v/>
      </c>
      <c r="Y310" s="4" t="str">
        <f t="array" ref="Y310">IF('Ingest Template'!A310="Standard",(IF(ISBLANK('Ingest Template'!O310),"", 'Ingest Template'!O310&amp;"|DAR")),(IF(ISBLANK('Ingest Template'!O310),"", 'Ingest Template'!O310&amp;"|Film Ops")))</f>
        <v/>
      </c>
      <c r="Z310" s="4"/>
      <c r="AA310" s="4" t="str">
        <f>'Ingest Template'!E310</f>
        <v/>
      </c>
      <c r="AB310" s="7"/>
      <c r="AC310" s="4" t="str">
        <f t="array" ref="AC310">IF('Ingest Template'!A310="Standard",(CONCATENATE(IF(ISBLANK('Ingest Template'!F310),"", 'Ingest Template'!F310&amp;"|DAR"),CHAR(10), IF(ISBLANK('Ingest Template'!G310),"", 'Ingest Template'!G310&amp;"|DAR"),CHAR(10), IF(ISBLANK('Ingest Template'!H310),"", 'Ingest Template'!H310&amp;"|DAR"))),(CONCATENATE(IF(ISBLANK('Ingest Template'!F310),"", 'Ingest Template'!F310&amp;"|Film Ops"),CHAR(10), IF(ISBLANK('Ingest Template'!G310),"", 'Ingest Template'!G310&amp;"|Film Ops"),CHAR(10), IF(ISBLANK('Ingest Template'!H310),"", 'Ingest Template'!H310&amp;"|Film Ops"))))</f>
        <v>
</v>
      </c>
      <c r="AD310" s="4"/>
      <c r="AE310" s="4"/>
      <c r="AF310" s="10"/>
      <c r="AG310" s="4"/>
      <c r="AH310" s="4"/>
    </row>
    <row r="311">
      <c r="A311" s="4"/>
      <c r="B311" s="4" t="str">
        <f>'Ingest Template'!B311&amp;IF('Ingest Template'!A311 = "Standard", " - DAR","")</f>
        <v/>
      </c>
      <c r="C311" s="5" t="s">
        <v>34</v>
      </c>
      <c r="D311" s="5" t="str">
        <f>CONCATENATE('Ingest Template'!C311,'Ingest Template'!D311)</f>
        <v/>
      </c>
      <c r="E311" s="4"/>
      <c r="F311" s="4"/>
      <c r="G311" s="4"/>
      <c r="H311" s="6"/>
      <c r="I311" s="6" t="str">
        <f>iF('Ingest Template'!A311="Standard","Pristine Brand","Unknown")</f>
        <v>Unknown</v>
      </c>
      <c r="J311" s="4" t="str">
        <f>iF('Ingest Template'!A311="Standard","LF // Beverages","Competitive View")</f>
        <v>Competitive View</v>
      </c>
      <c r="K311" s="7" t="s">
        <v>35</v>
      </c>
      <c r="L311" s="8"/>
      <c r="M311" s="4"/>
      <c r="N311" s="4"/>
      <c r="O311" s="4"/>
      <c r="P311" s="4"/>
      <c r="Q311" s="4"/>
      <c r="R311" s="7" t="s">
        <v>36</v>
      </c>
      <c r="S311" s="4" t="str">
        <f>'Ingest Template'!J311</f>
        <v/>
      </c>
      <c r="T311" s="4" t="str">
        <f>'Ingest Template'!I311</f>
        <v/>
      </c>
      <c r="U311" s="4" t="str">
        <f>LOWER(SUBSTITUTE(SUBSTITUTE(SUBSTITUTE(SUBSTITUTE(SUBSTITUTE('Ingest Template'!K311,"https:",""),"www.",""),"/",""),"?hl=en",""),"instagram.com",""))</f>
        <v/>
      </c>
      <c r="V311" s="9" t="str">
        <f>'Ingest Template'!L311</f>
        <v/>
      </c>
      <c r="W311" s="9" t="str">
        <f>'Ingest Template'!M311</f>
        <v/>
      </c>
      <c r="X311" s="4" t="str">
        <f>SUBSTITUTE(SUBSTITUTE(SUBSTITUTE('Ingest Template'!N311,"http:",""),"https:",""),"/","")</f>
        <v/>
      </c>
      <c r="Y311" s="4" t="str">
        <f t="array" ref="Y311">IF('Ingest Template'!A311="Standard",(IF(ISBLANK('Ingest Template'!O311),"", 'Ingest Template'!O311&amp;"|DAR")),(IF(ISBLANK('Ingest Template'!O311),"", 'Ingest Template'!O311&amp;"|Film Ops")))</f>
        <v/>
      </c>
      <c r="Z311" s="4"/>
      <c r="AA311" s="4" t="str">
        <f>'Ingest Template'!E311</f>
        <v/>
      </c>
      <c r="AB311" s="7"/>
      <c r="AC311" s="4" t="str">
        <f t="array" ref="AC311">IF('Ingest Template'!A311="Standard",(CONCATENATE(IF(ISBLANK('Ingest Template'!F311),"", 'Ingest Template'!F311&amp;"|DAR"),CHAR(10), IF(ISBLANK('Ingest Template'!G311),"", 'Ingest Template'!G311&amp;"|DAR"),CHAR(10), IF(ISBLANK('Ingest Template'!H311),"", 'Ingest Template'!H311&amp;"|DAR"))),(CONCATENATE(IF(ISBLANK('Ingest Template'!F311),"", 'Ingest Template'!F311&amp;"|Film Ops"),CHAR(10), IF(ISBLANK('Ingest Template'!G311),"", 'Ingest Template'!G311&amp;"|Film Ops"),CHAR(10), IF(ISBLANK('Ingest Template'!H311),"", 'Ingest Template'!H311&amp;"|Film Ops"))))</f>
        <v>
</v>
      </c>
      <c r="AD311" s="4"/>
      <c r="AE311" s="4"/>
      <c r="AF311" s="10"/>
      <c r="AG311" s="4"/>
      <c r="AH311" s="4"/>
    </row>
    <row r="312">
      <c r="A312" s="4"/>
      <c r="B312" s="4" t="str">
        <f>'Ingest Template'!B312&amp;IF('Ingest Template'!A312 = "Standard", " - DAR","")</f>
        <v/>
      </c>
      <c r="C312" s="5" t="s">
        <v>34</v>
      </c>
      <c r="D312" s="5" t="str">
        <f>CONCATENATE('Ingest Template'!C312,'Ingest Template'!D312)</f>
        <v/>
      </c>
      <c r="E312" s="4"/>
      <c r="F312" s="4"/>
      <c r="G312" s="4"/>
      <c r="H312" s="6"/>
      <c r="I312" s="6" t="str">
        <f>iF('Ingest Template'!A312="Standard","Pristine Brand","Unknown")</f>
        <v>Unknown</v>
      </c>
      <c r="J312" s="4" t="str">
        <f>iF('Ingest Template'!A312="Standard","LF // Beverages","Competitive View")</f>
        <v>Competitive View</v>
      </c>
      <c r="K312" s="7" t="s">
        <v>35</v>
      </c>
      <c r="L312" s="8"/>
      <c r="M312" s="4"/>
      <c r="N312" s="4"/>
      <c r="O312" s="4"/>
      <c r="P312" s="4"/>
      <c r="Q312" s="4"/>
      <c r="R312" s="7" t="s">
        <v>36</v>
      </c>
      <c r="S312" s="4" t="str">
        <f>'Ingest Template'!J312</f>
        <v/>
      </c>
      <c r="T312" s="4" t="str">
        <f>'Ingest Template'!I312</f>
        <v/>
      </c>
      <c r="U312" s="4" t="str">
        <f>LOWER(SUBSTITUTE(SUBSTITUTE(SUBSTITUTE(SUBSTITUTE(SUBSTITUTE('Ingest Template'!K312,"https:",""),"www.",""),"/",""),"?hl=en",""),"instagram.com",""))</f>
        <v/>
      </c>
      <c r="V312" s="9" t="str">
        <f>'Ingest Template'!L312</f>
        <v/>
      </c>
      <c r="W312" s="9" t="str">
        <f>'Ingest Template'!M312</f>
        <v/>
      </c>
      <c r="X312" s="4" t="str">
        <f>SUBSTITUTE(SUBSTITUTE(SUBSTITUTE('Ingest Template'!N312,"http:",""),"https:",""),"/","")</f>
        <v/>
      </c>
      <c r="Y312" s="4" t="str">
        <f t="array" ref="Y312">IF('Ingest Template'!A312="Standard",(IF(ISBLANK('Ingest Template'!O312),"", 'Ingest Template'!O312&amp;"|DAR")),(IF(ISBLANK('Ingest Template'!O312),"", 'Ingest Template'!O312&amp;"|Film Ops")))</f>
        <v/>
      </c>
      <c r="Z312" s="4"/>
      <c r="AA312" s="4" t="str">
        <f>'Ingest Template'!E312</f>
        <v/>
      </c>
      <c r="AB312" s="7"/>
      <c r="AC312" s="4" t="str">
        <f t="array" ref="AC312">IF('Ingest Template'!A312="Standard",(CONCATENATE(IF(ISBLANK('Ingest Template'!F312),"", 'Ingest Template'!F312&amp;"|DAR"),CHAR(10), IF(ISBLANK('Ingest Template'!G312),"", 'Ingest Template'!G312&amp;"|DAR"),CHAR(10), IF(ISBLANK('Ingest Template'!H312),"", 'Ingest Template'!H312&amp;"|DAR"))),(CONCATENATE(IF(ISBLANK('Ingest Template'!F312),"", 'Ingest Template'!F312&amp;"|Film Ops"),CHAR(10), IF(ISBLANK('Ingest Template'!G312),"", 'Ingest Template'!G312&amp;"|Film Ops"),CHAR(10), IF(ISBLANK('Ingest Template'!H312),"", 'Ingest Template'!H312&amp;"|Film Ops"))))</f>
        <v>
</v>
      </c>
      <c r="AD312" s="4"/>
      <c r="AE312" s="4"/>
      <c r="AF312" s="10"/>
      <c r="AG312" s="4"/>
      <c r="AH312" s="4"/>
    </row>
    <row r="313">
      <c r="A313" s="4"/>
      <c r="B313" s="4" t="str">
        <f>'Ingest Template'!B313&amp;IF('Ingest Template'!A313 = "Standard", " - DAR","")</f>
        <v/>
      </c>
      <c r="C313" s="5" t="s">
        <v>34</v>
      </c>
      <c r="D313" s="5" t="str">
        <f>CONCATENATE('Ingest Template'!C313,'Ingest Template'!D313)</f>
        <v/>
      </c>
      <c r="E313" s="4"/>
      <c r="F313" s="4"/>
      <c r="G313" s="4"/>
      <c r="H313" s="6"/>
      <c r="I313" s="6" t="str">
        <f>iF('Ingest Template'!A313="Standard","Pristine Brand","Unknown")</f>
        <v>Unknown</v>
      </c>
      <c r="J313" s="4" t="str">
        <f>iF('Ingest Template'!A313="Standard","LF // Beverages","Competitive View")</f>
        <v>Competitive View</v>
      </c>
      <c r="K313" s="7" t="s">
        <v>35</v>
      </c>
      <c r="L313" s="8"/>
      <c r="M313" s="4"/>
      <c r="N313" s="4"/>
      <c r="O313" s="4"/>
      <c r="P313" s="4"/>
      <c r="Q313" s="4"/>
      <c r="R313" s="7" t="s">
        <v>36</v>
      </c>
      <c r="S313" s="4" t="str">
        <f>'Ingest Template'!J313</f>
        <v/>
      </c>
      <c r="T313" s="4" t="str">
        <f>'Ingest Template'!I313</f>
        <v/>
      </c>
      <c r="U313" s="4" t="str">
        <f>LOWER(SUBSTITUTE(SUBSTITUTE(SUBSTITUTE(SUBSTITUTE(SUBSTITUTE('Ingest Template'!K313,"https:",""),"www.",""),"/",""),"?hl=en",""),"instagram.com",""))</f>
        <v/>
      </c>
      <c r="V313" s="9" t="str">
        <f>'Ingest Template'!L313</f>
        <v/>
      </c>
      <c r="W313" s="9" t="str">
        <f>'Ingest Template'!M313</f>
        <v/>
      </c>
      <c r="X313" s="4" t="str">
        <f>SUBSTITUTE(SUBSTITUTE(SUBSTITUTE('Ingest Template'!N313,"http:",""),"https:",""),"/","")</f>
        <v/>
      </c>
      <c r="Y313" s="4" t="str">
        <f t="array" ref="Y313">IF('Ingest Template'!A313="Standard",(IF(ISBLANK('Ingest Template'!O313),"", 'Ingest Template'!O313&amp;"|DAR")),(IF(ISBLANK('Ingest Template'!O313),"", 'Ingest Template'!O313&amp;"|Film Ops")))</f>
        <v/>
      </c>
      <c r="Z313" s="4"/>
      <c r="AA313" s="4" t="str">
        <f>'Ingest Template'!E313</f>
        <v/>
      </c>
      <c r="AB313" s="7"/>
      <c r="AC313" s="4" t="str">
        <f t="array" ref="AC313">IF('Ingest Template'!A313="Standard",(CONCATENATE(IF(ISBLANK('Ingest Template'!F313),"", 'Ingest Template'!F313&amp;"|DAR"),CHAR(10), IF(ISBLANK('Ingest Template'!G313),"", 'Ingest Template'!G313&amp;"|DAR"),CHAR(10), IF(ISBLANK('Ingest Template'!H313),"", 'Ingest Template'!H313&amp;"|DAR"))),(CONCATENATE(IF(ISBLANK('Ingest Template'!F313),"", 'Ingest Template'!F313&amp;"|Film Ops"),CHAR(10), IF(ISBLANK('Ingest Template'!G313),"", 'Ingest Template'!G313&amp;"|Film Ops"),CHAR(10), IF(ISBLANK('Ingest Template'!H313),"", 'Ingest Template'!H313&amp;"|Film Ops"))))</f>
        <v>
</v>
      </c>
      <c r="AD313" s="4"/>
      <c r="AE313" s="4"/>
      <c r="AF313" s="10"/>
      <c r="AG313" s="4"/>
      <c r="AH313" s="4"/>
    </row>
    <row r="314">
      <c r="A314" s="4"/>
      <c r="B314" s="4" t="str">
        <f>'Ingest Template'!B314&amp;IF('Ingest Template'!A314 = "Standard", " - DAR","")</f>
        <v/>
      </c>
      <c r="C314" s="5" t="s">
        <v>34</v>
      </c>
      <c r="D314" s="5" t="str">
        <f>CONCATENATE('Ingest Template'!C314,'Ingest Template'!D314)</f>
        <v/>
      </c>
      <c r="E314" s="4"/>
      <c r="F314" s="4"/>
      <c r="G314" s="4"/>
      <c r="H314" s="6"/>
      <c r="I314" s="6" t="str">
        <f>iF('Ingest Template'!A314="Standard","Pristine Brand","Unknown")</f>
        <v>Unknown</v>
      </c>
      <c r="J314" s="4" t="str">
        <f>iF('Ingest Template'!A314="Standard","LF // Beverages","Competitive View")</f>
        <v>Competitive View</v>
      </c>
      <c r="K314" s="7" t="s">
        <v>35</v>
      </c>
      <c r="L314" s="8"/>
      <c r="M314" s="4"/>
      <c r="N314" s="4"/>
      <c r="O314" s="4"/>
      <c r="P314" s="4"/>
      <c r="Q314" s="4"/>
      <c r="R314" s="7" t="s">
        <v>36</v>
      </c>
      <c r="S314" s="4" t="str">
        <f>'Ingest Template'!J314</f>
        <v/>
      </c>
      <c r="T314" s="4" t="str">
        <f>'Ingest Template'!I314</f>
        <v/>
      </c>
      <c r="U314" s="4" t="str">
        <f>LOWER(SUBSTITUTE(SUBSTITUTE(SUBSTITUTE(SUBSTITUTE(SUBSTITUTE('Ingest Template'!K314,"https:",""),"www.",""),"/",""),"?hl=en",""),"instagram.com",""))</f>
        <v/>
      </c>
      <c r="V314" s="9" t="str">
        <f>'Ingest Template'!L314</f>
        <v/>
      </c>
      <c r="W314" s="9" t="str">
        <f>'Ingest Template'!M314</f>
        <v/>
      </c>
      <c r="X314" s="4" t="str">
        <f>SUBSTITUTE(SUBSTITUTE(SUBSTITUTE('Ingest Template'!N314,"http:",""),"https:",""),"/","")</f>
        <v/>
      </c>
      <c r="Y314" s="4" t="str">
        <f t="array" ref="Y314">IF('Ingest Template'!A314="Standard",(IF(ISBLANK('Ingest Template'!O314),"", 'Ingest Template'!O314&amp;"|DAR")),(IF(ISBLANK('Ingest Template'!O314),"", 'Ingest Template'!O314&amp;"|Film Ops")))</f>
        <v/>
      </c>
      <c r="Z314" s="4"/>
      <c r="AA314" s="4" t="str">
        <f>'Ingest Template'!E314</f>
        <v/>
      </c>
      <c r="AB314" s="7"/>
      <c r="AC314" s="4" t="str">
        <f t="array" ref="AC314">IF('Ingest Template'!A314="Standard",(CONCATENATE(IF(ISBLANK('Ingest Template'!F314),"", 'Ingest Template'!F314&amp;"|DAR"),CHAR(10), IF(ISBLANK('Ingest Template'!G314),"", 'Ingest Template'!G314&amp;"|DAR"),CHAR(10), IF(ISBLANK('Ingest Template'!H314),"", 'Ingest Template'!H314&amp;"|DAR"))),(CONCATENATE(IF(ISBLANK('Ingest Template'!F314),"", 'Ingest Template'!F314&amp;"|Film Ops"),CHAR(10), IF(ISBLANK('Ingest Template'!G314),"", 'Ingest Template'!G314&amp;"|Film Ops"),CHAR(10), IF(ISBLANK('Ingest Template'!H314),"", 'Ingest Template'!H314&amp;"|Film Ops"))))</f>
        <v>
</v>
      </c>
      <c r="AD314" s="4"/>
      <c r="AE314" s="4"/>
      <c r="AF314" s="10"/>
      <c r="AG314" s="4"/>
      <c r="AH314" s="4"/>
    </row>
    <row r="315">
      <c r="A315" s="4"/>
      <c r="B315" s="4" t="str">
        <f>'Ingest Template'!B315&amp;IF('Ingest Template'!A315 = "Standard", " - DAR","")</f>
        <v/>
      </c>
      <c r="C315" s="5" t="s">
        <v>34</v>
      </c>
      <c r="D315" s="5" t="str">
        <f>CONCATENATE('Ingest Template'!C315,'Ingest Template'!D315)</f>
        <v/>
      </c>
      <c r="E315" s="4"/>
      <c r="F315" s="4"/>
      <c r="G315" s="4"/>
      <c r="H315" s="6"/>
      <c r="I315" s="6" t="str">
        <f>iF('Ingest Template'!A315="Standard","Pristine Brand","Unknown")</f>
        <v>Unknown</v>
      </c>
      <c r="J315" s="4" t="str">
        <f>iF('Ingest Template'!A315="Standard","LF // Beverages","Competitive View")</f>
        <v>Competitive View</v>
      </c>
      <c r="K315" s="7" t="s">
        <v>35</v>
      </c>
      <c r="L315" s="8"/>
      <c r="M315" s="4"/>
      <c r="N315" s="4"/>
      <c r="O315" s="4"/>
      <c r="P315" s="4"/>
      <c r="Q315" s="4"/>
      <c r="R315" s="7" t="s">
        <v>36</v>
      </c>
      <c r="S315" s="4" t="str">
        <f>'Ingest Template'!J315</f>
        <v/>
      </c>
      <c r="T315" s="4" t="str">
        <f>'Ingest Template'!I315</f>
        <v/>
      </c>
      <c r="U315" s="4" t="str">
        <f>LOWER(SUBSTITUTE(SUBSTITUTE(SUBSTITUTE(SUBSTITUTE(SUBSTITUTE('Ingest Template'!K315,"https:",""),"www.",""),"/",""),"?hl=en",""),"instagram.com",""))</f>
        <v/>
      </c>
      <c r="V315" s="9" t="str">
        <f>'Ingest Template'!L315</f>
        <v/>
      </c>
      <c r="W315" s="9" t="str">
        <f>'Ingest Template'!M315</f>
        <v/>
      </c>
      <c r="X315" s="4" t="str">
        <f>SUBSTITUTE(SUBSTITUTE(SUBSTITUTE('Ingest Template'!N315,"http:",""),"https:",""),"/","")</f>
        <v/>
      </c>
      <c r="Y315" s="4" t="str">
        <f t="array" ref="Y315">IF('Ingest Template'!A315="Standard",(IF(ISBLANK('Ingest Template'!O315),"", 'Ingest Template'!O315&amp;"|DAR")),(IF(ISBLANK('Ingest Template'!O315),"", 'Ingest Template'!O315&amp;"|Film Ops")))</f>
        <v/>
      </c>
      <c r="Z315" s="4"/>
      <c r="AA315" s="4" t="str">
        <f>'Ingest Template'!E315</f>
        <v/>
      </c>
      <c r="AB315" s="7"/>
      <c r="AC315" s="4" t="str">
        <f t="array" ref="AC315">IF('Ingest Template'!A315="Standard",(CONCATENATE(IF(ISBLANK('Ingest Template'!F315),"", 'Ingest Template'!F315&amp;"|DAR"),CHAR(10), IF(ISBLANK('Ingest Template'!G315),"", 'Ingest Template'!G315&amp;"|DAR"),CHAR(10), IF(ISBLANK('Ingest Template'!H315),"", 'Ingest Template'!H315&amp;"|DAR"))),(CONCATENATE(IF(ISBLANK('Ingest Template'!F315),"", 'Ingest Template'!F315&amp;"|Film Ops"),CHAR(10), IF(ISBLANK('Ingest Template'!G315),"", 'Ingest Template'!G315&amp;"|Film Ops"),CHAR(10), IF(ISBLANK('Ingest Template'!H315),"", 'Ingest Template'!H315&amp;"|Film Ops"))))</f>
        <v>
</v>
      </c>
      <c r="AD315" s="4"/>
      <c r="AE315" s="4"/>
      <c r="AF315" s="10"/>
      <c r="AG315" s="4"/>
      <c r="AH315" s="4"/>
    </row>
    <row r="316">
      <c r="A316" s="4"/>
      <c r="B316" s="4" t="str">
        <f>'Ingest Template'!B316&amp;IF('Ingest Template'!A316 = "Standard", " - DAR","")</f>
        <v/>
      </c>
      <c r="C316" s="5" t="s">
        <v>34</v>
      </c>
      <c r="D316" s="5" t="str">
        <f>CONCATENATE('Ingest Template'!C316,'Ingest Template'!D316)</f>
        <v/>
      </c>
      <c r="E316" s="4"/>
      <c r="F316" s="4"/>
      <c r="G316" s="4"/>
      <c r="H316" s="6"/>
      <c r="I316" s="6" t="str">
        <f>iF('Ingest Template'!A316="Standard","Pristine Brand","Unknown")</f>
        <v>Unknown</v>
      </c>
      <c r="J316" s="4" t="str">
        <f>iF('Ingest Template'!A316="Standard","LF // Beverages","Competitive View")</f>
        <v>Competitive View</v>
      </c>
      <c r="K316" s="7" t="s">
        <v>35</v>
      </c>
      <c r="L316" s="8"/>
      <c r="M316" s="4"/>
      <c r="N316" s="4"/>
      <c r="O316" s="4"/>
      <c r="P316" s="4"/>
      <c r="Q316" s="4"/>
      <c r="R316" s="7" t="s">
        <v>36</v>
      </c>
      <c r="S316" s="4" t="str">
        <f>'Ingest Template'!J316</f>
        <v/>
      </c>
      <c r="T316" s="4" t="str">
        <f>'Ingest Template'!I316</f>
        <v/>
      </c>
      <c r="U316" s="4" t="str">
        <f>LOWER(SUBSTITUTE(SUBSTITUTE(SUBSTITUTE(SUBSTITUTE(SUBSTITUTE('Ingest Template'!K316,"https:",""),"www.",""),"/",""),"?hl=en",""),"instagram.com",""))</f>
        <v/>
      </c>
      <c r="V316" s="9" t="str">
        <f>'Ingest Template'!L316</f>
        <v/>
      </c>
      <c r="W316" s="9" t="str">
        <f>'Ingest Template'!M316</f>
        <v/>
      </c>
      <c r="X316" s="4" t="str">
        <f>SUBSTITUTE(SUBSTITUTE(SUBSTITUTE('Ingest Template'!N316,"http:",""),"https:",""),"/","")</f>
        <v/>
      </c>
      <c r="Y316" s="4" t="str">
        <f t="array" ref="Y316">IF('Ingest Template'!A316="Standard",(IF(ISBLANK('Ingest Template'!O316),"", 'Ingest Template'!O316&amp;"|DAR")),(IF(ISBLANK('Ingest Template'!O316),"", 'Ingest Template'!O316&amp;"|Film Ops")))</f>
        <v/>
      </c>
      <c r="Z316" s="4"/>
      <c r="AA316" s="4" t="str">
        <f>'Ingest Template'!E316</f>
        <v/>
      </c>
      <c r="AB316" s="7"/>
      <c r="AC316" s="4" t="str">
        <f t="array" ref="AC316">IF('Ingest Template'!A316="Standard",(CONCATENATE(IF(ISBLANK('Ingest Template'!F316),"", 'Ingest Template'!F316&amp;"|DAR"),CHAR(10), IF(ISBLANK('Ingest Template'!G316),"", 'Ingest Template'!G316&amp;"|DAR"),CHAR(10), IF(ISBLANK('Ingest Template'!H316),"", 'Ingest Template'!H316&amp;"|DAR"))),(CONCATENATE(IF(ISBLANK('Ingest Template'!F316),"", 'Ingest Template'!F316&amp;"|Film Ops"),CHAR(10), IF(ISBLANK('Ingest Template'!G316),"", 'Ingest Template'!G316&amp;"|Film Ops"),CHAR(10), IF(ISBLANK('Ingest Template'!H316),"", 'Ingest Template'!H316&amp;"|Film Ops"))))</f>
        <v>
</v>
      </c>
      <c r="AD316" s="4"/>
      <c r="AE316" s="4"/>
      <c r="AF316" s="10"/>
      <c r="AG316" s="4"/>
      <c r="AH316" s="4"/>
    </row>
    <row r="317">
      <c r="A317" s="4"/>
      <c r="B317" s="4" t="str">
        <f>'Ingest Template'!B317&amp;IF('Ingest Template'!A317 = "Standard", " - DAR","")</f>
        <v/>
      </c>
      <c r="C317" s="5" t="s">
        <v>34</v>
      </c>
      <c r="D317" s="5" t="str">
        <f>CONCATENATE('Ingest Template'!C317,'Ingest Template'!D317)</f>
        <v/>
      </c>
      <c r="E317" s="4"/>
      <c r="F317" s="4"/>
      <c r="G317" s="4"/>
      <c r="H317" s="6"/>
      <c r="I317" s="6" t="str">
        <f>iF('Ingest Template'!A317="Standard","Pristine Brand","Unknown")</f>
        <v>Unknown</v>
      </c>
      <c r="J317" s="4" t="str">
        <f>iF('Ingest Template'!A317="Standard","LF // Beverages","Competitive View")</f>
        <v>Competitive View</v>
      </c>
      <c r="K317" s="7" t="s">
        <v>35</v>
      </c>
      <c r="L317" s="8"/>
      <c r="M317" s="4"/>
      <c r="N317" s="4"/>
      <c r="O317" s="4"/>
      <c r="P317" s="4"/>
      <c r="Q317" s="4"/>
      <c r="R317" s="7" t="s">
        <v>36</v>
      </c>
      <c r="S317" s="4" t="str">
        <f>'Ingest Template'!J317</f>
        <v/>
      </c>
      <c r="T317" s="4" t="str">
        <f>'Ingest Template'!I317</f>
        <v/>
      </c>
      <c r="U317" s="4" t="str">
        <f>LOWER(SUBSTITUTE(SUBSTITUTE(SUBSTITUTE(SUBSTITUTE(SUBSTITUTE('Ingest Template'!K317,"https:",""),"www.",""),"/",""),"?hl=en",""),"instagram.com",""))</f>
        <v/>
      </c>
      <c r="V317" s="9" t="str">
        <f>'Ingest Template'!L317</f>
        <v/>
      </c>
      <c r="W317" s="9" t="str">
        <f>'Ingest Template'!M317</f>
        <v/>
      </c>
      <c r="X317" s="4" t="str">
        <f>SUBSTITUTE(SUBSTITUTE(SUBSTITUTE('Ingest Template'!N317,"http:",""),"https:",""),"/","")</f>
        <v/>
      </c>
      <c r="Y317" s="4" t="str">
        <f t="array" ref="Y317">IF('Ingest Template'!A317="Standard",(IF(ISBLANK('Ingest Template'!O317),"", 'Ingest Template'!O317&amp;"|DAR")),(IF(ISBLANK('Ingest Template'!O317),"", 'Ingest Template'!O317&amp;"|Film Ops")))</f>
        <v/>
      </c>
      <c r="Z317" s="4"/>
      <c r="AA317" s="4" t="str">
        <f>'Ingest Template'!E317</f>
        <v/>
      </c>
      <c r="AB317" s="7"/>
      <c r="AC317" s="4" t="str">
        <f t="array" ref="AC317">IF('Ingest Template'!A317="Standard",(CONCATENATE(IF(ISBLANK('Ingest Template'!F317),"", 'Ingest Template'!F317&amp;"|DAR"),CHAR(10), IF(ISBLANK('Ingest Template'!G317),"", 'Ingest Template'!G317&amp;"|DAR"),CHAR(10), IF(ISBLANK('Ingest Template'!H317),"", 'Ingest Template'!H317&amp;"|DAR"))),(CONCATENATE(IF(ISBLANK('Ingest Template'!F317),"", 'Ingest Template'!F317&amp;"|Film Ops"),CHAR(10), IF(ISBLANK('Ingest Template'!G317),"", 'Ingest Template'!G317&amp;"|Film Ops"),CHAR(10), IF(ISBLANK('Ingest Template'!H317),"", 'Ingest Template'!H317&amp;"|Film Ops"))))</f>
        <v>
</v>
      </c>
      <c r="AD317" s="4"/>
      <c r="AE317" s="4"/>
      <c r="AF317" s="10"/>
      <c r="AG317" s="4"/>
      <c r="AH317" s="4"/>
    </row>
    <row r="318">
      <c r="A318" s="4"/>
      <c r="B318" s="4" t="str">
        <f>'Ingest Template'!B318&amp;IF('Ingest Template'!A318 = "Standard", " - DAR","")</f>
        <v/>
      </c>
      <c r="C318" s="5" t="s">
        <v>34</v>
      </c>
      <c r="D318" s="5" t="str">
        <f>CONCATENATE('Ingest Template'!C318,'Ingest Template'!D318)</f>
        <v/>
      </c>
      <c r="E318" s="4"/>
      <c r="F318" s="4"/>
      <c r="G318" s="4"/>
      <c r="H318" s="6"/>
      <c r="I318" s="6" t="str">
        <f>iF('Ingest Template'!A318="Standard","Pristine Brand","Unknown")</f>
        <v>Unknown</v>
      </c>
      <c r="J318" s="4" t="str">
        <f>iF('Ingest Template'!A318="Standard","LF // Beverages","Competitive View")</f>
        <v>Competitive View</v>
      </c>
      <c r="K318" s="7" t="s">
        <v>35</v>
      </c>
      <c r="L318" s="8"/>
      <c r="M318" s="4"/>
      <c r="N318" s="4"/>
      <c r="O318" s="4"/>
      <c r="P318" s="4"/>
      <c r="Q318" s="4"/>
      <c r="R318" s="7" t="s">
        <v>36</v>
      </c>
      <c r="S318" s="4" t="str">
        <f>'Ingest Template'!J318</f>
        <v/>
      </c>
      <c r="T318" s="4" t="str">
        <f>'Ingest Template'!I318</f>
        <v/>
      </c>
      <c r="U318" s="4" t="str">
        <f>LOWER(SUBSTITUTE(SUBSTITUTE(SUBSTITUTE(SUBSTITUTE(SUBSTITUTE('Ingest Template'!K318,"https:",""),"www.",""),"/",""),"?hl=en",""),"instagram.com",""))</f>
        <v/>
      </c>
      <c r="V318" s="9" t="str">
        <f>'Ingest Template'!L318</f>
        <v/>
      </c>
      <c r="W318" s="9" t="str">
        <f>'Ingest Template'!M318</f>
        <v/>
      </c>
      <c r="X318" s="4" t="str">
        <f>SUBSTITUTE(SUBSTITUTE(SUBSTITUTE('Ingest Template'!N318,"http:",""),"https:",""),"/","")</f>
        <v/>
      </c>
      <c r="Y318" s="4" t="str">
        <f t="array" ref="Y318">IF('Ingest Template'!A318="Standard",(IF(ISBLANK('Ingest Template'!O318),"", 'Ingest Template'!O318&amp;"|DAR")),(IF(ISBLANK('Ingest Template'!O318),"", 'Ingest Template'!O318&amp;"|Film Ops")))</f>
        <v/>
      </c>
      <c r="Z318" s="4"/>
      <c r="AA318" s="4" t="str">
        <f>'Ingest Template'!E318</f>
        <v/>
      </c>
      <c r="AB318" s="7"/>
      <c r="AC318" s="4" t="str">
        <f t="array" ref="AC318">IF('Ingest Template'!A318="Standard",(CONCATENATE(IF(ISBLANK('Ingest Template'!F318),"", 'Ingest Template'!F318&amp;"|DAR"),CHAR(10), IF(ISBLANK('Ingest Template'!G318),"", 'Ingest Template'!G318&amp;"|DAR"),CHAR(10), IF(ISBLANK('Ingest Template'!H318),"", 'Ingest Template'!H318&amp;"|DAR"))),(CONCATENATE(IF(ISBLANK('Ingest Template'!F318),"", 'Ingest Template'!F318&amp;"|Film Ops"),CHAR(10), IF(ISBLANK('Ingest Template'!G318),"", 'Ingest Template'!G318&amp;"|Film Ops"),CHAR(10), IF(ISBLANK('Ingest Template'!H318),"", 'Ingest Template'!H318&amp;"|Film Ops"))))</f>
        <v>
</v>
      </c>
      <c r="AD318" s="4"/>
      <c r="AE318" s="4"/>
      <c r="AF318" s="10"/>
      <c r="AG318" s="4"/>
      <c r="AH318" s="4"/>
    </row>
    <row r="319">
      <c r="A319" s="4"/>
      <c r="B319" s="4" t="str">
        <f>'Ingest Template'!B319&amp;IF('Ingest Template'!A319 = "Standard", " - DAR","")</f>
        <v/>
      </c>
      <c r="C319" s="5" t="s">
        <v>34</v>
      </c>
      <c r="D319" s="5" t="str">
        <f>CONCATENATE('Ingest Template'!C319,'Ingest Template'!D319)</f>
        <v/>
      </c>
      <c r="E319" s="4"/>
      <c r="F319" s="4"/>
      <c r="G319" s="4"/>
      <c r="H319" s="6"/>
      <c r="I319" s="6" t="str">
        <f>iF('Ingest Template'!A319="Standard","Pristine Brand","Unknown")</f>
        <v>Unknown</v>
      </c>
      <c r="J319" s="4" t="str">
        <f>iF('Ingest Template'!A319="Standard","LF // Beverages","Competitive View")</f>
        <v>Competitive View</v>
      </c>
      <c r="K319" s="7" t="s">
        <v>35</v>
      </c>
      <c r="L319" s="8"/>
      <c r="M319" s="4"/>
      <c r="N319" s="4"/>
      <c r="O319" s="4"/>
      <c r="P319" s="4"/>
      <c r="Q319" s="4"/>
      <c r="R319" s="7" t="s">
        <v>36</v>
      </c>
      <c r="S319" s="4" t="str">
        <f>'Ingest Template'!J319</f>
        <v/>
      </c>
      <c r="T319" s="4" t="str">
        <f>'Ingest Template'!I319</f>
        <v/>
      </c>
      <c r="U319" s="4" t="str">
        <f>LOWER(SUBSTITUTE(SUBSTITUTE(SUBSTITUTE(SUBSTITUTE(SUBSTITUTE('Ingest Template'!K319,"https:",""),"www.",""),"/",""),"?hl=en",""),"instagram.com",""))</f>
        <v/>
      </c>
      <c r="V319" s="9" t="str">
        <f>'Ingest Template'!L319</f>
        <v/>
      </c>
      <c r="W319" s="9" t="str">
        <f>'Ingest Template'!M319</f>
        <v/>
      </c>
      <c r="X319" s="4" t="str">
        <f>SUBSTITUTE(SUBSTITUTE(SUBSTITUTE('Ingest Template'!N319,"http:",""),"https:",""),"/","")</f>
        <v/>
      </c>
      <c r="Y319" s="4" t="str">
        <f t="array" ref="Y319">IF('Ingest Template'!A319="Standard",(IF(ISBLANK('Ingest Template'!O319),"", 'Ingest Template'!O319&amp;"|DAR")),(IF(ISBLANK('Ingest Template'!O319),"", 'Ingest Template'!O319&amp;"|Film Ops")))</f>
        <v/>
      </c>
      <c r="Z319" s="4"/>
      <c r="AA319" s="4" t="str">
        <f>'Ingest Template'!E319</f>
        <v/>
      </c>
      <c r="AB319" s="7"/>
      <c r="AC319" s="4" t="str">
        <f t="array" ref="AC319">IF('Ingest Template'!A319="Standard",(CONCATENATE(IF(ISBLANK('Ingest Template'!F319),"", 'Ingest Template'!F319&amp;"|DAR"),CHAR(10), IF(ISBLANK('Ingest Template'!G319),"", 'Ingest Template'!G319&amp;"|DAR"),CHAR(10), IF(ISBLANK('Ingest Template'!H319),"", 'Ingest Template'!H319&amp;"|DAR"))),(CONCATENATE(IF(ISBLANK('Ingest Template'!F319),"", 'Ingest Template'!F319&amp;"|Film Ops"),CHAR(10), IF(ISBLANK('Ingest Template'!G319),"", 'Ingest Template'!G319&amp;"|Film Ops"),CHAR(10), IF(ISBLANK('Ingest Template'!H319),"", 'Ingest Template'!H319&amp;"|Film Ops"))))</f>
        <v>
</v>
      </c>
      <c r="AD319" s="4"/>
      <c r="AE319" s="4"/>
      <c r="AF319" s="10"/>
      <c r="AG319" s="4"/>
      <c r="AH319" s="4"/>
    </row>
    <row r="320">
      <c r="A320" s="4"/>
      <c r="B320" s="4" t="str">
        <f>'Ingest Template'!B320&amp;IF('Ingest Template'!A320 = "Standard", " - DAR","")</f>
        <v/>
      </c>
      <c r="C320" s="5" t="s">
        <v>34</v>
      </c>
      <c r="D320" s="5" t="str">
        <f>CONCATENATE('Ingest Template'!C320,'Ingest Template'!D320)</f>
        <v/>
      </c>
      <c r="E320" s="4"/>
      <c r="F320" s="4"/>
      <c r="G320" s="4"/>
      <c r="H320" s="6"/>
      <c r="I320" s="6" t="str">
        <f>iF('Ingest Template'!A320="Standard","Pristine Brand","Unknown")</f>
        <v>Unknown</v>
      </c>
      <c r="J320" s="4" t="str">
        <f>iF('Ingest Template'!A320="Standard","LF // Beverages","Competitive View")</f>
        <v>Competitive View</v>
      </c>
      <c r="K320" s="7" t="s">
        <v>35</v>
      </c>
      <c r="L320" s="8"/>
      <c r="M320" s="4"/>
      <c r="N320" s="4"/>
      <c r="O320" s="4"/>
      <c r="P320" s="4"/>
      <c r="Q320" s="4"/>
      <c r="R320" s="7" t="s">
        <v>36</v>
      </c>
      <c r="S320" s="4" t="str">
        <f>'Ingest Template'!J320</f>
        <v/>
      </c>
      <c r="T320" s="4" t="str">
        <f>'Ingest Template'!I320</f>
        <v/>
      </c>
      <c r="U320" s="4" t="str">
        <f>LOWER(SUBSTITUTE(SUBSTITUTE(SUBSTITUTE(SUBSTITUTE(SUBSTITUTE('Ingest Template'!K320,"https:",""),"www.",""),"/",""),"?hl=en",""),"instagram.com",""))</f>
        <v/>
      </c>
      <c r="V320" s="9" t="str">
        <f>'Ingest Template'!L320</f>
        <v/>
      </c>
      <c r="W320" s="9" t="str">
        <f>'Ingest Template'!M320</f>
        <v/>
      </c>
      <c r="X320" s="4" t="str">
        <f>SUBSTITUTE(SUBSTITUTE(SUBSTITUTE('Ingest Template'!N320,"http:",""),"https:",""),"/","")</f>
        <v/>
      </c>
      <c r="Y320" s="4" t="str">
        <f t="array" ref="Y320">IF('Ingest Template'!A320="Standard",(IF(ISBLANK('Ingest Template'!O320),"", 'Ingest Template'!O320&amp;"|DAR")),(IF(ISBLANK('Ingest Template'!O320),"", 'Ingest Template'!O320&amp;"|Film Ops")))</f>
        <v/>
      </c>
      <c r="Z320" s="4"/>
      <c r="AA320" s="4" t="str">
        <f>'Ingest Template'!E320</f>
        <v/>
      </c>
      <c r="AB320" s="7"/>
      <c r="AC320" s="4" t="str">
        <f t="array" ref="AC320">IF('Ingest Template'!A320="Standard",(CONCATENATE(IF(ISBLANK('Ingest Template'!F320),"", 'Ingest Template'!F320&amp;"|DAR"),CHAR(10), IF(ISBLANK('Ingest Template'!G320),"", 'Ingest Template'!G320&amp;"|DAR"),CHAR(10), IF(ISBLANK('Ingest Template'!H320),"", 'Ingest Template'!H320&amp;"|DAR"))),(CONCATENATE(IF(ISBLANK('Ingest Template'!F320),"", 'Ingest Template'!F320&amp;"|Film Ops"),CHAR(10), IF(ISBLANK('Ingest Template'!G320),"", 'Ingest Template'!G320&amp;"|Film Ops"),CHAR(10), IF(ISBLANK('Ingest Template'!H320),"", 'Ingest Template'!H320&amp;"|Film Ops"))))</f>
        <v>
</v>
      </c>
      <c r="AD320" s="4"/>
      <c r="AE320" s="4"/>
      <c r="AF320" s="10"/>
      <c r="AG320" s="4"/>
      <c r="AH320" s="4"/>
    </row>
    <row r="321">
      <c r="A321" s="4"/>
      <c r="B321" s="4" t="str">
        <f>'Ingest Template'!B321&amp;IF('Ingest Template'!A321 = "Standard", " - DAR","")</f>
        <v/>
      </c>
      <c r="C321" s="5" t="s">
        <v>34</v>
      </c>
      <c r="D321" s="5" t="str">
        <f>CONCATENATE('Ingest Template'!C321,'Ingest Template'!D321)</f>
        <v/>
      </c>
      <c r="E321" s="4"/>
      <c r="F321" s="4"/>
      <c r="G321" s="4"/>
      <c r="H321" s="6"/>
      <c r="I321" s="6" t="str">
        <f>iF('Ingest Template'!A321="Standard","Pristine Brand","Unknown")</f>
        <v>Unknown</v>
      </c>
      <c r="J321" s="4" t="str">
        <f>iF('Ingest Template'!A321="Standard","LF // Beverages","Competitive View")</f>
        <v>Competitive View</v>
      </c>
      <c r="K321" s="7" t="s">
        <v>35</v>
      </c>
      <c r="L321" s="8"/>
      <c r="M321" s="4"/>
      <c r="N321" s="4"/>
      <c r="O321" s="4"/>
      <c r="P321" s="4"/>
      <c r="Q321" s="4"/>
      <c r="R321" s="7" t="s">
        <v>36</v>
      </c>
      <c r="S321" s="4" t="str">
        <f>'Ingest Template'!J321</f>
        <v/>
      </c>
      <c r="T321" s="4" t="str">
        <f>'Ingest Template'!I321</f>
        <v/>
      </c>
      <c r="U321" s="4" t="str">
        <f>LOWER(SUBSTITUTE(SUBSTITUTE(SUBSTITUTE(SUBSTITUTE(SUBSTITUTE('Ingest Template'!K321,"https:",""),"www.",""),"/",""),"?hl=en",""),"instagram.com",""))</f>
        <v/>
      </c>
      <c r="V321" s="9" t="str">
        <f>'Ingest Template'!L321</f>
        <v/>
      </c>
      <c r="W321" s="9" t="str">
        <f>'Ingest Template'!M321</f>
        <v/>
      </c>
      <c r="X321" s="4" t="str">
        <f>SUBSTITUTE(SUBSTITUTE(SUBSTITUTE('Ingest Template'!N321,"http:",""),"https:",""),"/","")</f>
        <v/>
      </c>
      <c r="Y321" s="4" t="str">
        <f t="array" ref="Y321">IF('Ingest Template'!A321="Standard",(IF(ISBLANK('Ingest Template'!O321),"", 'Ingest Template'!O321&amp;"|DAR")),(IF(ISBLANK('Ingest Template'!O321),"", 'Ingest Template'!O321&amp;"|Film Ops")))</f>
        <v/>
      </c>
      <c r="Z321" s="4"/>
      <c r="AA321" s="4" t="str">
        <f>'Ingest Template'!E321</f>
        <v/>
      </c>
      <c r="AB321" s="7"/>
      <c r="AC321" s="4" t="str">
        <f t="array" ref="AC321">IF('Ingest Template'!A321="Standard",(CONCATENATE(IF(ISBLANK('Ingest Template'!F321),"", 'Ingest Template'!F321&amp;"|DAR"),CHAR(10), IF(ISBLANK('Ingest Template'!G321),"", 'Ingest Template'!G321&amp;"|DAR"),CHAR(10), IF(ISBLANK('Ingest Template'!H321),"", 'Ingest Template'!H321&amp;"|DAR"))),(CONCATENATE(IF(ISBLANK('Ingest Template'!F321),"", 'Ingest Template'!F321&amp;"|Film Ops"),CHAR(10), IF(ISBLANK('Ingest Template'!G321),"", 'Ingest Template'!G321&amp;"|Film Ops"),CHAR(10), IF(ISBLANK('Ingest Template'!H321),"", 'Ingest Template'!H321&amp;"|Film Ops"))))</f>
        <v>
</v>
      </c>
      <c r="AD321" s="4"/>
      <c r="AE321" s="4"/>
      <c r="AF321" s="10"/>
      <c r="AG321" s="4"/>
      <c r="AH321" s="4"/>
    </row>
    <row r="322">
      <c r="A322" s="4"/>
      <c r="B322" s="4" t="str">
        <f>'Ingest Template'!B322&amp;IF('Ingest Template'!A322 = "Standard", " - DAR","")</f>
        <v/>
      </c>
      <c r="C322" s="5" t="s">
        <v>34</v>
      </c>
      <c r="D322" s="5" t="str">
        <f>CONCATENATE('Ingest Template'!C322,'Ingest Template'!D322)</f>
        <v/>
      </c>
      <c r="E322" s="4"/>
      <c r="F322" s="4"/>
      <c r="G322" s="4"/>
      <c r="H322" s="6"/>
      <c r="I322" s="6" t="str">
        <f>iF('Ingest Template'!A322="Standard","Pristine Brand","Unknown")</f>
        <v>Unknown</v>
      </c>
      <c r="J322" s="4" t="str">
        <f>iF('Ingest Template'!A322="Standard","LF // Beverages","Competitive View")</f>
        <v>Competitive View</v>
      </c>
      <c r="K322" s="7" t="s">
        <v>35</v>
      </c>
      <c r="L322" s="8"/>
      <c r="M322" s="4"/>
      <c r="N322" s="4"/>
      <c r="O322" s="4"/>
      <c r="P322" s="4"/>
      <c r="Q322" s="4"/>
      <c r="R322" s="7" t="s">
        <v>36</v>
      </c>
      <c r="S322" s="4" t="str">
        <f>'Ingest Template'!J322</f>
        <v/>
      </c>
      <c r="T322" s="4" t="str">
        <f>'Ingest Template'!I322</f>
        <v/>
      </c>
      <c r="U322" s="4" t="str">
        <f>LOWER(SUBSTITUTE(SUBSTITUTE(SUBSTITUTE(SUBSTITUTE(SUBSTITUTE('Ingest Template'!K322,"https:",""),"www.",""),"/",""),"?hl=en",""),"instagram.com",""))</f>
        <v/>
      </c>
      <c r="V322" s="9" t="str">
        <f>'Ingest Template'!L322</f>
        <v/>
      </c>
      <c r="W322" s="9" t="str">
        <f>'Ingest Template'!M322</f>
        <v/>
      </c>
      <c r="X322" s="4" t="str">
        <f>SUBSTITUTE(SUBSTITUTE(SUBSTITUTE('Ingest Template'!N322,"http:",""),"https:",""),"/","")</f>
        <v/>
      </c>
      <c r="Y322" s="4" t="str">
        <f t="array" ref="Y322">IF('Ingest Template'!A322="Standard",(IF(ISBLANK('Ingest Template'!O322),"", 'Ingest Template'!O322&amp;"|DAR")),(IF(ISBLANK('Ingest Template'!O322),"", 'Ingest Template'!O322&amp;"|Film Ops")))</f>
        <v/>
      </c>
      <c r="Z322" s="4"/>
      <c r="AA322" s="4" t="str">
        <f>'Ingest Template'!E322</f>
        <v/>
      </c>
      <c r="AB322" s="7"/>
      <c r="AC322" s="4" t="str">
        <f t="array" ref="AC322">IF('Ingest Template'!A322="Standard",(CONCATENATE(IF(ISBLANK('Ingest Template'!F322),"", 'Ingest Template'!F322&amp;"|DAR"),CHAR(10), IF(ISBLANK('Ingest Template'!G322),"", 'Ingest Template'!G322&amp;"|DAR"),CHAR(10), IF(ISBLANK('Ingest Template'!H322),"", 'Ingest Template'!H322&amp;"|DAR"))),(CONCATENATE(IF(ISBLANK('Ingest Template'!F322),"", 'Ingest Template'!F322&amp;"|Film Ops"),CHAR(10), IF(ISBLANK('Ingest Template'!G322),"", 'Ingest Template'!G322&amp;"|Film Ops"),CHAR(10), IF(ISBLANK('Ingest Template'!H322),"", 'Ingest Template'!H322&amp;"|Film Ops"))))</f>
        <v>
</v>
      </c>
      <c r="AD322" s="4"/>
      <c r="AE322" s="4"/>
      <c r="AF322" s="10"/>
      <c r="AG322" s="4"/>
      <c r="AH322" s="4"/>
    </row>
    <row r="323">
      <c r="A323" s="4"/>
      <c r="B323" s="4" t="str">
        <f>'Ingest Template'!B323&amp;IF('Ingest Template'!A323 = "Standard", " - DAR","")</f>
        <v/>
      </c>
      <c r="C323" s="5" t="s">
        <v>34</v>
      </c>
      <c r="D323" s="5" t="str">
        <f>CONCATENATE('Ingest Template'!C323,'Ingest Template'!D323)</f>
        <v/>
      </c>
      <c r="E323" s="4"/>
      <c r="F323" s="4"/>
      <c r="G323" s="4"/>
      <c r="H323" s="6"/>
      <c r="I323" s="6" t="str">
        <f>iF('Ingest Template'!A323="Standard","Pristine Brand","Unknown")</f>
        <v>Unknown</v>
      </c>
      <c r="J323" s="4" t="str">
        <f>iF('Ingest Template'!A323="Standard","LF // Beverages","Competitive View")</f>
        <v>Competitive View</v>
      </c>
      <c r="K323" s="7" t="s">
        <v>35</v>
      </c>
      <c r="L323" s="8"/>
      <c r="M323" s="4"/>
      <c r="N323" s="4"/>
      <c r="O323" s="4"/>
      <c r="P323" s="4"/>
      <c r="Q323" s="4"/>
      <c r="R323" s="7" t="s">
        <v>36</v>
      </c>
      <c r="S323" s="4" t="str">
        <f>'Ingest Template'!J323</f>
        <v/>
      </c>
      <c r="T323" s="4" t="str">
        <f>'Ingest Template'!I323</f>
        <v/>
      </c>
      <c r="U323" s="4" t="str">
        <f>LOWER(SUBSTITUTE(SUBSTITUTE(SUBSTITUTE(SUBSTITUTE(SUBSTITUTE('Ingest Template'!K323,"https:",""),"www.",""),"/",""),"?hl=en",""),"instagram.com",""))</f>
        <v/>
      </c>
      <c r="V323" s="9" t="str">
        <f>'Ingest Template'!L323</f>
        <v/>
      </c>
      <c r="W323" s="9" t="str">
        <f>'Ingest Template'!M323</f>
        <v/>
      </c>
      <c r="X323" s="4" t="str">
        <f>SUBSTITUTE(SUBSTITUTE(SUBSTITUTE('Ingest Template'!N323,"http:",""),"https:",""),"/","")</f>
        <v/>
      </c>
      <c r="Y323" s="4" t="str">
        <f t="array" ref="Y323">IF('Ingest Template'!A323="Standard",(IF(ISBLANK('Ingest Template'!O323),"", 'Ingest Template'!O323&amp;"|DAR")),(IF(ISBLANK('Ingest Template'!O323),"", 'Ingest Template'!O323&amp;"|Film Ops")))</f>
        <v/>
      </c>
      <c r="Z323" s="4"/>
      <c r="AA323" s="4" t="str">
        <f>'Ingest Template'!E323</f>
        <v/>
      </c>
      <c r="AB323" s="7"/>
      <c r="AC323" s="4" t="str">
        <f t="array" ref="AC323">IF('Ingest Template'!A323="Standard",(CONCATENATE(IF(ISBLANK('Ingest Template'!F323),"", 'Ingest Template'!F323&amp;"|DAR"),CHAR(10), IF(ISBLANK('Ingest Template'!G323),"", 'Ingest Template'!G323&amp;"|DAR"),CHAR(10), IF(ISBLANK('Ingest Template'!H323),"", 'Ingest Template'!H323&amp;"|DAR"))),(CONCATENATE(IF(ISBLANK('Ingest Template'!F323),"", 'Ingest Template'!F323&amp;"|Film Ops"),CHAR(10), IF(ISBLANK('Ingest Template'!G323),"", 'Ingest Template'!G323&amp;"|Film Ops"),CHAR(10), IF(ISBLANK('Ingest Template'!H323),"", 'Ingest Template'!H323&amp;"|Film Ops"))))</f>
        <v>
</v>
      </c>
      <c r="AD323" s="4"/>
      <c r="AE323" s="4"/>
      <c r="AF323" s="10"/>
      <c r="AG323" s="4"/>
      <c r="AH323" s="4"/>
    </row>
    <row r="324">
      <c r="A324" s="4"/>
      <c r="B324" s="4" t="str">
        <f>'Ingest Template'!B324&amp;IF('Ingest Template'!A324 = "Standard", " - DAR","")</f>
        <v/>
      </c>
      <c r="C324" s="5" t="s">
        <v>34</v>
      </c>
      <c r="D324" s="5" t="str">
        <f>CONCATENATE('Ingest Template'!C324,'Ingest Template'!D324)</f>
        <v/>
      </c>
      <c r="E324" s="4"/>
      <c r="F324" s="4"/>
      <c r="G324" s="4"/>
      <c r="H324" s="6"/>
      <c r="I324" s="6" t="str">
        <f>iF('Ingest Template'!A324="Standard","Pristine Brand","Unknown")</f>
        <v>Unknown</v>
      </c>
      <c r="J324" s="4" t="str">
        <f>iF('Ingest Template'!A324="Standard","LF // Beverages","Competitive View")</f>
        <v>Competitive View</v>
      </c>
      <c r="K324" s="7" t="s">
        <v>35</v>
      </c>
      <c r="L324" s="8"/>
      <c r="M324" s="4"/>
      <c r="N324" s="4"/>
      <c r="O324" s="4"/>
      <c r="P324" s="4"/>
      <c r="Q324" s="4"/>
      <c r="R324" s="7" t="s">
        <v>36</v>
      </c>
      <c r="S324" s="4" t="str">
        <f>'Ingest Template'!J324</f>
        <v/>
      </c>
      <c r="T324" s="4" t="str">
        <f>'Ingest Template'!I324</f>
        <v/>
      </c>
      <c r="U324" s="4" t="str">
        <f>LOWER(SUBSTITUTE(SUBSTITUTE(SUBSTITUTE(SUBSTITUTE(SUBSTITUTE('Ingest Template'!K324,"https:",""),"www.",""),"/",""),"?hl=en",""),"instagram.com",""))</f>
        <v/>
      </c>
      <c r="V324" s="9" t="str">
        <f>'Ingest Template'!L324</f>
        <v/>
      </c>
      <c r="W324" s="9" t="str">
        <f>'Ingest Template'!M324</f>
        <v/>
      </c>
      <c r="X324" s="4" t="str">
        <f>SUBSTITUTE(SUBSTITUTE(SUBSTITUTE('Ingest Template'!N324,"http:",""),"https:",""),"/","")</f>
        <v/>
      </c>
      <c r="Y324" s="4" t="str">
        <f t="array" ref="Y324">IF('Ingest Template'!A324="Standard",(IF(ISBLANK('Ingest Template'!O324),"", 'Ingest Template'!O324&amp;"|DAR")),(IF(ISBLANK('Ingest Template'!O324),"", 'Ingest Template'!O324&amp;"|Film Ops")))</f>
        <v/>
      </c>
      <c r="Z324" s="4"/>
      <c r="AA324" s="4" t="str">
        <f>'Ingest Template'!E324</f>
        <v/>
      </c>
      <c r="AB324" s="7"/>
      <c r="AC324" s="4" t="str">
        <f t="array" ref="AC324">IF('Ingest Template'!A324="Standard",(CONCATENATE(IF(ISBLANK('Ingest Template'!F324),"", 'Ingest Template'!F324&amp;"|DAR"),CHAR(10), IF(ISBLANK('Ingest Template'!G324),"", 'Ingest Template'!G324&amp;"|DAR"),CHAR(10), IF(ISBLANK('Ingest Template'!H324),"", 'Ingest Template'!H324&amp;"|DAR"))),(CONCATENATE(IF(ISBLANK('Ingest Template'!F324),"", 'Ingest Template'!F324&amp;"|Film Ops"),CHAR(10), IF(ISBLANK('Ingest Template'!G324),"", 'Ingest Template'!G324&amp;"|Film Ops"),CHAR(10), IF(ISBLANK('Ingest Template'!H324),"", 'Ingest Template'!H324&amp;"|Film Ops"))))</f>
        <v>
</v>
      </c>
      <c r="AD324" s="4"/>
      <c r="AE324" s="4"/>
      <c r="AF324" s="10"/>
      <c r="AG324" s="4"/>
      <c r="AH324" s="4"/>
    </row>
    <row r="325">
      <c r="A325" s="4"/>
      <c r="B325" s="4" t="str">
        <f>'Ingest Template'!B325&amp;IF('Ingest Template'!A325 = "Standard", " - DAR","")</f>
        <v/>
      </c>
      <c r="C325" s="5" t="s">
        <v>34</v>
      </c>
      <c r="D325" s="5" t="str">
        <f>CONCATENATE('Ingest Template'!C325,'Ingest Template'!D325)</f>
        <v/>
      </c>
      <c r="E325" s="4"/>
      <c r="F325" s="4"/>
      <c r="G325" s="4"/>
      <c r="H325" s="6"/>
      <c r="I325" s="6" t="str">
        <f>iF('Ingest Template'!A325="Standard","Pristine Brand","Unknown")</f>
        <v>Unknown</v>
      </c>
      <c r="J325" s="4" t="str">
        <f>iF('Ingest Template'!A325="Standard","LF // Beverages","Competitive View")</f>
        <v>Competitive View</v>
      </c>
      <c r="K325" s="7" t="s">
        <v>35</v>
      </c>
      <c r="L325" s="8"/>
      <c r="M325" s="4"/>
      <c r="N325" s="4"/>
      <c r="O325" s="4"/>
      <c r="P325" s="4"/>
      <c r="Q325" s="4"/>
      <c r="R325" s="7" t="s">
        <v>36</v>
      </c>
      <c r="S325" s="4" t="str">
        <f>'Ingest Template'!J325</f>
        <v/>
      </c>
      <c r="T325" s="4" t="str">
        <f>'Ingest Template'!I325</f>
        <v/>
      </c>
      <c r="U325" s="4" t="str">
        <f>LOWER(SUBSTITUTE(SUBSTITUTE(SUBSTITUTE(SUBSTITUTE(SUBSTITUTE('Ingest Template'!K325,"https:",""),"www.",""),"/",""),"?hl=en",""),"instagram.com",""))</f>
        <v/>
      </c>
      <c r="V325" s="9" t="str">
        <f>'Ingest Template'!L325</f>
        <v/>
      </c>
      <c r="W325" s="9" t="str">
        <f>'Ingest Template'!M325</f>
        <v/>
      </c>
      <c r="X325" s="4" t="str">
        <f>SUBSTITUTE(SUBSTITUTE(SUBSTITUTE('Ingest Template'!N325,"http:",""),"https:",""),"/","")</f>
        <v/>
      </c>
      <c r="Y325" s="4" t="str">
        <f t="array" ref="Y325">IF('Ingest Template'!A325="Standard",(IF(ISBLANK('Ingest Template'!O325),"", 'Ingest Template'!O325&amp;"|DAR")),(IF(ISBLANK('Ingest Template'!O325),"", 'Ingest Template'!O325&amp;"|Film Ops")))</f>
        <v/>
      </c>
      <c r="Z325" s="4"/>
      <c r="AA325" s="4" t="str">
        <f>'Ingest Template'!E325</f>
        <v/>
      </c>
      <c r="AB325" s="7"/>
      <c r="AC325" s="4" t="str">
        <f t="array" ref="AC325">IF('Ingest Template'!A325="Standard",(CONCATENATE(IF(ISBLANK('Ingest Template'!F325),"", 'Ingest Template'!F325&amp;"|DAR"),CHAR(10), IF(ISBLANK('Ingest Template'!G325),"", 'Ingest Template'!G325&amp;"|DAR"),CHAR(10), IF(ISBLANK('Ingest Template'!H325),"", 'Ingest Template'!H325&amp;"|DAR"))),(CONCATENATE(IF(ISBLANK('Ingest Template'!F325),"", 'Ingest Template'!F325&amp;"|Film Ops"),CHAR(10), IF(ISBLANK('Ingest Template'!G325),"", 'Ingest Template'!G325&amp;"|Film Ops"),CHAR(10), IF(ISBLANK('Ingest Template'!H325),"", 'Ingest Template'!H325&amp;"|Film Ops"))))</f>
        <v>
</v>
      </c>
      <c r="AD325" s="4"/>
      <c r="AE325" s="4"/>
      <c r="AF325" s="10"/>
      <c r="AG325" s="4"/>
      <c r="AH325" s="4"/>
    </row>
    <row r="326">
      <c r="A326" s="4"/>
      <c r="B326" s="4" t="str">
        <f>'Ingest Template'!B326&amp;IF('Ingest Template'!A326 = "Standard", " - DAR","")</f>
        <v/>
      </c>
      <c r="C326" s="5" t="s">
        <v>34</v>
      </c>
      <c r="D326" s="5" t="str">
        <f>CONCATENATE('Ingest Template'!C326,'Ingest Template'!D326)</f>
        <v/>
      </c>
      <c r="E326" s="4"/>
      <c r="F326" s="4"/>
      <c r="G326" s="4"/>
      <c r="H326" s="6"/>
      <c r="I326" s="6" t="str">
        <f>iF('Ingest Template'!A326="Standard","Pristine Brand","Unknown")</f>
        <v>Unknown</v>
      </c>
      <c r="J326" s="4" t="str">
        <f>iF('Ingest Template'!A326="Standard","LF // Beverages","Competitive View")</f>
        <v>Competitive View</v>
      </c>
      <c r="K326" s="7" t="s">
        <v>35</v>
      </c>
      <c r="L326" s="8"/>
      <c r="M326" s="4"/>
      <c r="N326" s="4"/>
      <c r="O326" s="4"/>
      <c r="P326" s="4"/>
      <c r="Q326" s="4"/>
      <c r="R326" s="7" t="s">
        <v>36</v>
      </c>
      <c r="S326" s="4" t="str">
        <f>'Ingest Template'!J326</f>
        <v/>
      </c>
      <c r="T326" s="4" t="str">
        <f>'Ingest Template'!I326</f>
        <v/>
      </c>
      <c r="U326" s="4" t="str">
        <f>LOWER(SUBSTITUTE(SUBSTITUTE(SUBSTITUTE(SUBSTITUTE(SUBSTITUTE('Ingest Template'!K326,"https:",""),"www.",""),"/",""),"?hl=en",""),"instagram.com",""))</f>
        <v/>
      </c>
      <c r="V326" s="9" t="str">
        <f>'Ingest Template'!L326</f>
        <v/>
      </c>
      <c r="W326" s="9" t="str">
        <f>'Ingest Template'!M326</f>
        <v/>
      </c>
      <c r="X326" s="4" t="str">
        <f>SUBSTITUTE(SUBSTITUTE(SUBSTITUTE('Ingest Template'!N326,"http:",""),"https:",""),"/","")</f>
        <v/>
      </c>
      <c r="Y326" s="4" t="str">
        <f t="array" ref="Y326">IF('Ingest Template'!A326="Standard",(IF(ISBLANK('Ingest Template'!O326),"", 'Ingest Template'!O326&amp;"|DAR")),(IF(ISBLANK('Ingest Template'!O326),"", 'Ingest Template'!O326&amp;"|Film Ops")))</f>
        <v/>
      </c>
      <c r="Z326" s="4"/>
      <c r="AA326" s="4" t="str">
        <f>'Ingest Template'!E326</f>
        <v/>
      </c>
      <c r="AB326" s="7"/>
      <c r="AC326" s="4" t="str">
        <f t="array" ref="AC326">IF('Ingest Template'!A326="Standard",(CONCATENATE(IF(ISBLANK('Ingest Template'!F326),"", 'Ingest Template'!F326&amp;"|DAR"),CHAR(10), IF(ISBLANK('Ingest Template'!G326),"", 'Ingest Template'!G326&amp;"|DAR"),CHAR(10), IF(ISBLANK('Ingest Template'!H326),"", 'Ingest Template'!H326&amp;"|DAR"))),(CONCATENATE(IF(ISBLANK('Ingest Template'!F326),"", 'Ingest Template'!F326&amp;"|Film Ops"),CHAR(10), IF(ISBLANK('Ingest Template'!G326),"", 'Ingest Template'!G326&amp;"|Film Ops"),CHAR(10), IF(ISBLANK('Ingest Template'!H326),"", 'Ingest Template'!H326&amp;"|Film Ops"))))</f>
        <v>
</v>
      </c>
      <c r="AD326" s="4"/>
      <c r="AE326" s="4"/>
      <c r="AF326" s="10"/>
      <c r="AG326" s="4"/>
      <c r="AH326" s="4"/>
    </row>
    <row r="327">
      <c r="A327" s="4"/>
      <c r="B327" s="4" t="str">
        <f>'Ingest Template'!B327&amp;IF('Ingest Template'!A327 = "Standard", " - DAR","")</f>
        <v/>
      </c>
      <c r="C327" s="5" t="s">
        <v>34</v>
      </c>
      <c r="D327" s="5" t="str">
        <f>CONCATENATE('Ingest Template'!C327,'Ingest Template'!D327)</f>
        <v/>
      </c>
      <c r="E327" s="4"/>
      <c r="F327" s="4"/>
      <c r="G327" s="4"/>
      <c r="H327" s="6"/>
      <c r="I327" s="6" t="str">
        <f>iF('Ingest Template'!A327="Standard","Pristine Brand","Unknown")</f>
        <v>Unknown</v>
      </c>
      <c r="J327" s="4" t="str">
        <f>iF('Ingest Template'!A327="Standard","LF // Beverages","Competitive View")</f>
        <v>Competitive View</v>
      </c>
      <c r="K327" s="7" t="s">
        <v>35</v>
      </c>
      <c r="L327" s="8"/>
      <c r="M327" s="4"/>
      <c r="N327" s="4"/>
      <c r="O327" s="4"/>
      <c r="P327" s="4"/>
      <c r="Q327" s="4"/>
      <c r="R327" s="7" t="s">
        <v>36</v>
      </c>
      <c r="S327" s="4" t="str">
        <f>'Ingest Template'!J327</f>
        <v/>
      </c>
      <c r="T327" s="4" t="str">
        <f>'Ingest Template'!I327</f>
        <v/>
      </c>
      <c r="U327" s="4" t="str">
        <f>LOWER(SUBSTITUTE(SUBSTITUTE(SUBSTITUTE(SUBSTITUTE(SUBSTITUTE('Ingest Template'!K327,"https:",""),"www.",""),"/",""),"?hl=en",""),"instagram.com",""))</f>
        <v/>
      </c>
      <c r="V327" s="9" t="str">
        <f>'Ingest Template'!L327</f>
        <v/>
      </c>
      <c r="W327" s="9" t="str">
        <f>'Ingest Template'!M327</f>
        <v/>
      </c>
      <c r="X327" s="4" t="str">
        <f>SUBSTITUTE(SUBSTITUTE(SUBSTITUTE('Ingest Template'!N327,"http:",""),"https:",""),"/","")</f>
        <v/>
      </c>
      <c r="Y327" s="4" t="str">
        <f t="array" ref="Y327">IF('Ingest Template'!A327="Standard",(IF(ISBLANK('Ingest Template'!O327),"", 'Ingest Template'!O327&amp;"|DAR")),(IF(ISBLANK('Ingest Template'!O327),"", 'Ingest Template'!O327&amp;"|Film Ops")))</f>
        <v/>
      </c>
      <c r="Z327" s="4"/>
      <c r="AA327" s="4" t="str">
        <f>'Ingest Template'!E327</f>
        <v/>
      </c>
      <c r="AB327" s="7"/>
      <c r="AC327" s="4" t="str">
        <f t="array" ref="AC327">IF('Ingest Template'!A327="Standard",(CONCATENATE(IF(ISBLANK('Ingest Template'!F327),"", 'Ingest Template'!F327&amp;"|DAR"),CHAR(10), IF(ISBLANK('Ingest Template'!G327),"", 'Ingest Template'!G327&amp;"|DAR"),CHAR(10), IF(ISBLANK('Ingest Template'!H327),"", 'Ingest Template'!H327&amp;"|DAR"))),(CONCATENATE(IF(ISBLANK('Ingest Template'!F327),"", 'Ingest Template'!F327&amp;"|Film Ops"),CHAR(10), IF(ISBLANK('Ingest Template'!G327),"", 'Ingest Template'!G327&amp;"|Film Ops"),CHAR(10), IF(ISBLANK('Ingest Template'!H327),"", 'Ingest Template'!H327&amp;"|Film Ops"))))</f>
        <v>
</v>
      </c>
      <c r="AD327" s="4"/>
      <c r="AE327" s="4"/>
      <c r="AF327" s="10"/>
      <c r="AG327" s="4"/>
      <c r="AH327" s="4"/>
    </row>
    <row r="328">
      <c r="A328" s="4"/>
      <c r="B328" s="4" t="str">
        <f>'Ingest Template'!B328&amp;IF('Ingest Template'!A328 = "Standard", " - DAR","")</f>
        <v/>
      </c>
      <c r="C328" s="5" t="s">
        <v>34</v>
      </c>
      <c r="D328" s="5" t="str">
        <f>CONCATENATE('Ingest Template'!C328,'Ingest Template'!D328)</f>
        <v/>
      </c>
      <c r="E328" s="4"/>
      <c r="F328" s="4"/>
      <c r="G328" s="4"/>
      <c r="H328" s="6"/>
      <c r="I328" s="6" t="str">
        <f>iF('Ingest Template'!A328="Standard","Pristine Brand","Unknown")</f>
        <v>Unknown</v>
      </c>
      <c r="J328" s="4" t="str">
        <f>iF('Ingest Template'!A328="Standard","LF // Beverages","Competitive View")</f>
        <v>Competitive View</v>
      </c>
      <c r="K328" s="7" t="s">
        <v>35</v>
      </c>
      <c r="L328" s="8"/>
      <c r="M328" s="4"/>
      <c r="N328" s="4"/>
      <c r="O328" s="4"/>
      <c r="P328" s="4"/>
      <c r="Q328" s="4"/>
      <c r="R328" s="7" t="s">
        <v>36</v>
      </c>
      <c r="S328" s="4" t="str">
        <f>'Ingest Template'!J328</f>
        <v/>
      </c>
      <c r="T328" s="4" t="str">
        <f>'Ingest Template'!I328</f>
        <v/>
      </c>
      <c r="U328" s="4" t="str">
        <f>LOWER(SUBSTITUTE(SUBSTITUTE(SUBSTITUTE(SUBSTITUTE(SUBSTITUTE('Ingest Template'!K328,"https:",""),"www.",""),"/",""),"?hl=en",""),"instagram.com",""))</f>
        <v/>
      </c>
      <c r="V328" s="9" t="str">
        <f>'Ingest Template'!L328</f>
        <v/>
      </c>
      <c r="W328" s="9" t="str">
        <f>'Ingest Template'!M328</f>
        <v/>
      </c>
      <c r="X328" s="4" t="str">
        <f>SUBSTITUTE(SUBSTITUTE(SUBSTITUTE('Ingest Template'!N328,"http:",""),"https:",""),"/","")</f>
        <v/>
      </c>
      <c r="Y328" s="4" t="str">
        <f t="array" ref="Y328">IF('Ingest Template'!A328="Standard",(IF(ISBLANK('Ingest Template'!O328),"", 'Ingest Template'!O328&amp;"|DAR")),(IF(ISBLANK('Ingest Template'!O328),"", 'Ingest Template'!O328&amp;"|Film Ops")))</f>
        <v/>
      </c>
      <c r="Z328" s="4"/>
      <c r="AA328" s="4" t="str">
        <f>'Ingest Template'!E328</f>
        <v/>
      </c>
      <c r="AB328" s="7"/>
      <c r="AC328" s="4" t="str">
        <f t="array" ref="AC328">IF('Ingest Template'!A328="Standard",(CONCATENATE(IF(ISBLANK('Ingest Template'!F328),"", 'Ingest Template'!F328&amp;"|DAR"),CHAR(10), IF(ISBLANK('Ingest Template'!G328),"", 'Ingest Template'!G328&amp;"|DAR"),CHAR(10), IF(ISBLANK('Ingest Template'!H328),"", 'Ingest Template'!H328&amp;"|DAR"))),(CONCATENATE(IF(ISBLANK('Ingest Template'!F328),"", 'Ingest Template'!F328&amp;"|Film Ops"),CHAR(10), IF(ISBLANK('Ingest Template'!G328),"", 'Ingest Template'!G328&amp;"|Film Ops"),CHAR(10), IF(ISBLANK('Ingest Template'!H328),"", 'Ingest Template'!H328&amp;"|Film Ops"))))</f>
        <v>
</v>
      </c>
      <c r="AD328" s="4"/>
      <c r="AE328" s="4"/>
      <c r="AF328" s="10"/>
      <c r="AG328" s="4"/>
      <c r="AH328" s="4"/>
    </row>
    <row r="329">
      <c r="A329" s="4"/>
      <c r="B329" s="4" t="str">
        <f>'Ingest Template'!B329&amp;IF('Ingest Template'!A329 = "Standard", " - DAR","")</f>
        <v/>
      </c>
      <c r="C329" s="5" t="s">
        <v>34</v>
      </c>
      <c r="D329" s="5" t="str">
        <f>CONCATENATE('Ingest Template'!C329,'Ingest Template'!D329)</f>
        <v/>
      </c>
      <c r="E329" s="4"/>
      <c r="F329" s="4"/>
      <c r="G329" s="4"/>
      <c r="H329" s="6"/>
      <c r="I329" s="6" t="str">
        <f>iF('Ingest Template'!A329="Standard","Pristine Brand","Unknown")</f>
        <v>Unknown</v>
      </c>
      <c r="J329" s="4" t="str">
        <f>iF('Ingest Template'!A329="Standard","LF // Beverages","Competitive View")</f>
        <v>Competitive View</v>
      </c>
      <c r="K329" s="7" t="s">
        <v>35</v>
      </c>
      <c r="L329" s="8"/>
      <c r="M329" s="4"/>
      <c r="N329" s="4"/>
      <c r="O329" s="4"/>
      <c r="P329" s="4"/>
      <c r="Q329" s="4"/>
      <c r="R329" s="7" t="s">
        <v>36</v>
      </c>
      <c r="S329" s="4" t="str">
        <f>'Ingest Template'!J329</f>
        <v/>
      </c>
      <c r="T329" s="4" t="str">
        <f>'Ingest Template'!I329</f>
        <v/>
      </c>
      <c r="U329" s="4" t="str">
        <f>LOWER(SUBSTITUTE(SUBSTITUTE(SUBSTITUTE(SUBSTITUTE(SUBSTITUTE('Ingest Template'!K329,"https:",""),"www.",""),"/",""),"?hl=en",""),"instagram.com",""))</f>
        <v/>
      </c>
      <c r="V329" s="9" t="str">
        <f>'Ingest Template'!L329</f>
        <v/>
      </c>
      <c r="W329" s="9" t="str">
        <f>'Ingest Template'!M329</f>
        <v/>
      </c>
      <c r="X329" s="4" t="str">
        <f>SUBSTITUTE(SUBSTITUTE(SUBSTITUTE('Ingest Template'!N329,"http:",""),"https:",""),"/","")</f>
        <v/>
      </c>
      <c r="Y329" s="4" t="str">
        <f t="array" ref="Y329">IF('Ingest Template'!A329="Standard",(IF(ISBLANK('Ingest Template'!O329),"", 'Ingest Template'!O329&amp;"|DAR")),(IF(ISBLANK('Ingest Template'!O329),"", 'Ingest Template'!O329&amp;"|Film Ops")))</f>
        <v/>
      </c>
      <c r="Z329" s="4"/>
      <c r="AA329" s="4" t="str">
        <f>'Ingest Template'!E329</f>
        <v/>
      </c>
      <c r="AB329" s="7"/>
      <c r="AC329" s="4" t="str">
        <f t="array" ref="AC329">IF('Ingest Template'!A329="Standard",(CONCATENATE(IF(ISBLANK('Ingest Template'!F329),"", 'Ingest Template'!F329&amp;"|DAR"),CHAR(10), IF(ISBLANK('Ingest Template'!G329),"", 'Ingest Template'!G329&amp;"|DAR"),CHAR(10), IF(ISBLANK('Ingest Template'!H329),"", 'Ingest Template'!H329&amp;"|DAR"))),(CONCATENATE(IF(ISBLANK('Ingest Template'!F329),"", 'Ingest Template'!F329&amp;"|Film Ops"),CHAR(10), IF(ISBLANK('Ingest Template'!G329),"", 'Ingest Template'!G329&amp;"|Film Ops"),CHAR(10), IF(ISBLANK('Ingest Template'!H329),"", 'Ingest Template'!H329&amp;"|Film Ops"))))</f>
        <v>
</v>
      </c>
      <c r="AD329" s="4"/>
      <c r="AE329" s="4"/>
      <c r="AF329" s="10"/>
      <c r="AG329" s="4"/>
      <c r="AH329" s="4"/>
    </row>
    <row r="330">
      <c r="A330" s="4"/>
      <c r="B330" s="4" t="str">
        <f>'Ingest Template'!B330&amp;IF('Ingest Template'!A330 = "Standard", " - DAR","")</f>
        <v/>
      </c>
      <c r="C330" s="5" t="s">
        <v>34</v>
      </c>
      <c r="D330" s="5" t="str">
        <f>CONCATENATE('Ingest Template'!C330,'Ingest Template'!D330)</f>
        <v/>
      </c>
      <c r="E330" s="4"/>
      <c r="F330" s="4"/>
      <c r="G330" s="4"/>
      <c r="H330" s="6"/>
      <c r="I330" s="6" t="str">
        <f>iF('Ingest Template'!A330="Standard","Pristine Brand","Unknown")</f>
        <v>Unknown</v>
      </c>
      <c r="J330" s="4" t="str">
        <f>iF('Ingest Template'!A330="Standard","LF // Beverages","Competitive View")</f>
        <v>Competitive View</v>
      </c>
      <c r="K330" s="7" t="s">
        <v>35</v>
      </c>
      <c r="L330" s="8"/>
      <c r="M330" s="4"/>
      <c r="N330" s="4"/>
      <c r="O330" s="4"/>
      <c r="P330" s="4"/>
      <c r="Q330" s="4"/>
      <c r="R330" s="7" t="s">
        <v>36</v>
      </c>
      <c r="S330" s="4" t="str">
        <f>'Ingest Template'!J330</f>
        <v/>
      </c>
      <c r="T330" s="4" t="str">
        <f>'Ingest Template'!I330</f>
        <v/>
      </c>
      <c r="U330" s="4" t="str">
        <f>LOWER(SUBSTITUTE(SUBSTITUTE(SUBSTITUTE(SUBSTITUTE(SUBSTITUTE('Ingest Template'!K330,"https:",""),"www.",""),"/",""),"?hl=en",""),"instagram.com",""))</f>
        <v/>
      </c>
      <c r="V330" s="9" t="str">
        <f>'Ingest Template'!L330</f>
        <v/>
      </c>
      <c r="W330" s="9" t="str">
        <f>'Ingest Template'!M330</f>
        <v/>
      </c>
      <c r="X330" s="4" t="str">
        <f>SUBSTITUTE(SUBSTITUTE(SUBSTITUTE('Ingest Template'!N330,"http:",""),"https:",""),"/","")</f>
        <v/>
      </c>
      <c r="Y330" s="4" t="str">
        <f t="array" ref="Y330">IF('Ingest Template'!A330="Standard",(IF(ISBLANK('Ingest Template'!O330),"", 'Ingest Template'!O330&amp;"|DAR")),(IF(ISBLANK('Ingest Template'!O330),"", 'Ingest Template'!O330&amp;"|Film Ops")))</f>
        <v/>
      </c>
      <c r="Z330" s="4"/>
      <c r="AA330" s="4" t="str">
        <f>'Ingest Template'!E330</f>
        <v/>
      </c>
      <c r="AB330" s="7"/>
      <c r="AC330" s="4" t="str">
        <f t="array" ref="AC330">IF('Ingest Template'!A330="Standard",(CONCATENATE(IF(ISBLANK('Ingest Template'!F330),"", 'Ingest Template'!F330&amp;"|DAR"),CHAR(10), IF(ISBLANK('Ingest Template'!G330),"", 'Ingest Template'!G330&amp;"|DAR"),CHAR(10), IF(ISBLANK('Ingest Template'!H330),"", 'Ingest Template'!H330&amp;"|DAR"))),(CONCATENATE(IF(ISBLANK('Ingest Template'!F330),"", 'Ingest Template'!F330&amp;"|Film Ops"),CHAR(10), IF(ISBLANK('Ingest Template'!G330),"", 'Ingest Template'!G330&amp;"|Film Ops"),CHAR(10), IF(ISBLANK('Ingest Template'!H330),"", 'Ingest Template'!H330&amp;"|Film Ops"))))</f>
        <v>
</v>
      </c>
      <c r="AD330" s="4"/>
      <c r="AE330" s="4"/>
      <c r="AF330" s="10"/>
      <c r="AG330" s="4"/>
      <c r="AH330" s="4"/>
    </row>
    <row r="331">
      <c r="A331" s="4"/>
      <c r="B331" s="4" t="str">
        <f>'Ingest Template'!B331&amp;IF('Ingest Template'!A331 = "Standard", " - DAR","")</f>
        <v/>
      </c>
      <c r="C331" s="5" t="s">
        <v>34</v>
      </c>
      <c r="D331" s="5" t="str">
        <f>CONCATENATE('Ingest Template'!C331,'Ingest Template'!D331)</f>
        <v/>
      </c>
      <c r="E331" s="4"/>
      <c r="F331" s="4"/>
      <c r="G331" s="4"/>
      <c r="H331" s="6"/>
      <c r="I331" s="6" t="str">
        <f>iF('Ingest Template'!A331="Standard","Pristine Brand","Unknown")</f>
        <v>Unknown</v>
      </c>
      <c r="J331" s="4" t="str">
        <f>iF('Ingest Template'!A331="Standard","LF // Beverages","Competitive View")</f>
        <v>Competitive View</v>
      </c>
      <c r="K331" s="7" t="s">
        <v>35</v>
      </c>
      <c r="L331" s="8"/>
      <c r="M331" s="4"/>
      <c r="N331" s="4"/>
      <c r="O331" s="4"/>
      <c r="P331" s="4"/>
      <c r="Q331" s="4"/>
      <c r="R331" s="7" t="s">
        <v>36</v>
      </c>
      <c r="S331" s="4" t="str">
        <f>'Ingest Template'!J331</f>
        <v/>
      </c>
      <c r="T331" s="4" t="str">
        <f>'Ingest Template'!I331</f>
        <v/>
      </c>
      <c r="U331" s="4" t="str">
        <f>LOWER(SUBSTITUTE(SUBSTITUTE(SUBSTITUTE(SUBSTITUTE(SUBSTITUTE('Ingest Template'!K331,"https:",""),"www.",""),"/",""),"?hl=en",""),"instagram.com",""))</f>
        <v/>
      </c>
      <c r="V331" s="9" t="str">
        <f>'Ingest Template'!L331</f>
        <v/>
      </c>
      <c r="W331" s="9" t="str">
        <f>'Ingest Template'!M331</f>
        <v/>
      </c>
      <c r="X331" s="4" t="str">
        <f>SUBSTITUTE(SUBSTITUTE(SUBSTITUTE('Ingest Template'!N331,"http:",""),"https:",""),"/","")</f>
        <v/>
      </c>
      <c r="Y331" s="4" t="str">
        <f t="array" ref="Y331">IF('Ingest Template'!A331="Standard",(IF(ISBLANK('Ingest Template'!O331),"", 'Ingest Template'!O331&amp;"|DAR")),(IF(ISBLANK('Ingest Template'!O331),"", 'Ingest Template'!O331&amp;"|Film Ops")))</f>
        <v/>
      </c>
      <c r="Z331" s="4"/>
      <c r="AA331" s="4" t="str">
        <f>'Ingest Template'!E331</f>
        <v/>
      </c>
      <c r="AB331" s="7"/>
      <c r="AC331" s="4" t="str">
        <f t="array" ref="AC331">IF('Ingest Template'!A331="Standard",(CONCATENATE(IF(ISBLANK('Ingest Template'!F331),"", 'Ingest Template'!F331&amp;"|DAR"),CHAR(10), IF(ISBLANK('Ingest Template'!G331),"", 'Ingest Template'!G331&amp;"|DAR"),CHAR(10), IF(ISBLANK('Ingest Template'!H331),"", 'Ingest Template'!H331&amp;"|DAR"))),(CONCATENATE(IF(ISBLANK('Ingest Template'!F331),"", 'Ingest Template'!F331&amp;"|Film Ops"),CHAR(10), IF(ISBLANK('Ingest Template'!G331),"", 'Ingest Template'!G331&amp;"|Film Ops"),CHAR(10), IF(ISBLANK('Ingest Template'!H331),"", 'Ingest Template'!H331&amp;"|Film Ops"))))</f>
        <v>
</v>
      </c>
      <c r="AD331" s="4"/>
      <c r="AE331" s="4"/>
      <c r="AF331" s="10"/>
      <c r="AG331" s="4"/>
      <c r="AH331" s="4"/>
    </row>
    <row r="332">
      <c r="A332" s="4"/>
      <c r="B332" s="4" t="str">
        <f>'Ingest Template'!B332&amp;IF('Ingest Template'!A332 = "Standard", " - DAR","")</f>
        <v/>
      </c>
      <c r="C332" s="5" t="s">
        <v>34</v>
      </c>
      <c r="D332" s="5" t="str">
        <f>CONCATENATE('Ingest Template'!C332,'Ingest Template'!D332)</f>
        <v/>
      </c>
      <c r="E332" s="4"/>
      <c r="F332" s="4"/>
      <c r="G332" s="4"/>
      <c r="H332" s="6"/>
      <c r="I332" s="6" t="str">
        <f>iF('Ingest Template'!A332="Standard","Pristine Brand","Unknown")</f>
        <v>Unknown</v>
      </c>
      <c r="J332" s="4" t="str">
        <f>iF('Ingest Template'!A332="Standard","LF // Beverages","Competitive View")</f>
        <v>Competitive View</v>
      </c>
      <c r="K332" s="7" t="s">
        <v>35</v>
      </c>
      <c r="L332" s="8"/>
      <c r="M332" s="4"/>
      <c r="N332" s="4"/>
      <c r="O332" s="4"/>
      <c r="P332" s="4"/>
      <c r="Q332" s="4"/>
      <c r="R332" s="7" t="s">
        <v>36</v>
      </c>
      <c r="S332" s="4" t="str">
        <f>'Ingest Template'!J332</f>
        <v/>
      </c>
      <c r="T332" s="4" t="str">
        <f>'Ingest Template'!I332</f>
        <v/>
      </c>
      <c r="U332" s="4" t="str">
        <f>LOWER(SUBSTITUTE(SUBSTITUTE(SUBSTITUTE(SUBSTITUTE(SUBSTITUTE('Ingest Template'!K332,"https:",""),"www.",""),"/",""),"?hl=en",""),"instagram.com",""))</f>
        <v/>
      </c>
      <c r="V332" s="9" t="str">
        <f>'Ingest Template'!L332</f>
        <v/>
      </c>
      <c r="W332" s="9" t="str">
        <f>'Ingest Template'!M332</f>
        <v/>
      </c>
      <c r="X332" s="4" t="str">
        <f>SUBSTITUTE(SUBSTITUTE(SUBSTITUTE('Ingest Template'!N332,"http:",""),"https:",""),"/","")</f>
        <v/>
      </c>
      <c r="Y332" s="4" t="str">
        <f t="array" ref="Y332">IF('Ingest Template'!A332="Standard",(IF(ISBLANK('Ingest Template'!O332),"", 'Ingest Template'!O332&amp;"|DAR")),(IF(ISBLANK('Ingest Template'!O332),"", 'Ingest Template'!O332&amp;"|Film Ops")))</f>
        <v/>
      </c>
      <c r="Z332" s="4"/>
      <c r="AA332" s="4" t="str">
        <f>'Ingest Template'!E332</f>
        <v/>
      </c>
      <c r="AB332" s="7"/>
      <c r="AC332" s="4" t="str">
        <f t="array" ref="AC332">IF('Ingest Template'!A332="Standard",(CONCATENATE(IF(ISBLANK('Ingest Template'!F332),"", 'Ingest Template'!F332&amp;"|DAR"),CHAR(10), IF(ISBLANK('Ingest Template'!G332),"", 'Ingest Template'!G332&amp;"|DAR"),CHAR(10), IF(ISBLANK('Ingest Template'!H332),"", 'Ingest Template'!H332&amp;"|DAR"))),(CONCATENATE(IF(ISBLANK('Ingest Template'!F332),"", 'Ingest Template'!F332&amp;"|Film Ops"),CHAR(10), IF(ISBLANK('Ingest Template'!G332),"", 'Ingest Template'!G332&amp;"|Film Ops"),CHAR(10), IF(ISBLANK('Ingest Template'!H332),"", 'Ingest Template'!H332&amp;"|Film Ops"))))</f>
        <v>
</v>
      </c>
      <c r="AD332" s="4"/>
      <c r="AE332" s="4"/>
      <c r="AF332" s="10"/>
      <c r="AG332" s="4"/>
      <c r="AH332" s="4"/>
    </row>
    <row r="333">
      <c r="A333" s="4"/>
      <c r="B333" s="4" t="str">
        <f>'Ingest Template'!B333&amp;IF('Ingest Template'!A333 = "Standard", " - DAR","")</f>
        <v/>
      </c>
      <c r="C333" s="5" t="s">
        <v>34</v>
      </c>
      <c r="D333" s="5" t="str">
        <f>CONCATENATE('Ingest Template'!C333,'Ingest Template'!D333)</f>
        <v/>
      </c>
      <c r="E333" s="4"/>
      <c r="F333" s="4"/>
      <c r="G333" s="4"/>
      <c r="H333" s="6"/>
      <c r="I333" s="6" t="str">
        <f>iF('Ingest Template'!A333="Standard","Pristine Brand","Unknown")</f>
        <v>Unknown</v>
      </c>
      <c r="J333" s="4" t="str">
        <f>iF('Ingest Template'!A333="Standard","LF // Beverages","Competitive View")</f>
        <v>Competitive View</v>
      </c>
      <c r="K333" s="7" t="s">
        <v>35</v>
      </c>
      <c r="L333" s="8"/>
      <c r="M333" s="4"/>
      <c r="N333" s="4"/>
      <c r="O333" s="4"/>
      <c r="P333" s="4"/>
      <c r="Q333" s="4"/>
      <c r="R333" s="7" t="s">
        <v>36</v>
      </c>
      <c r="S333" s="4" t="str">
        <f>'Ingest Template'!J333</f>
        <v/>
      </c>
      <c r="T333" s="4" t="str">
        <f>'Ingest Template'!I333</f>
        <v/>
      </c>
      <c r="U333" s="4" t="str">
        <f>LOWER(SUBSTITUTE(SUBSTITUTE(SUBSTITUTE(SUBSTITUTE(SUBSTITUTE('Ingest Template'!K333,"https:",""),"www.",""),"/",""),"?hl=en",""),"instagram.com",""))</f>
        <v/>
      </c>
      <c r="V333" s="9" t="str">
        <f>'Ingest Template'!L333</f>
        <v/>
      </c>
      <c r="W333" s="9" t="str">
        <f>'Ingest Template'!M333</f>
        <v/>
      </c>
      <c r="X333" s="4" t="str">
        <f>SUBSTITUTE(SUBSTITUTE(SUBSTITUTE('Ingest Template'!N333,"http:",""),"https:",""),"/","")</f>
        <v/>
      </c>
      <c r="Y333" s="4" t="str">
        <f t="array" ref="Y333">IF('Ingest Template'!A333="Standard",(IF(ISBLANK('Ingest Template'!O333),"", 'Ingest Template'!O333&amp;"|DAR")),(IF(ISBLANK('Ingest Template'!O333),"", 'Ingest Template'!O333&amp;"|Film Ops")))</f>
        <v/>
      </c>
      <c r="Z333" s="4"/>
      <c r="AA333" s="4" t="str">
        <f>'Ingest Template'!E333</f>
        <v/>
      </c>
      <c r="AB333" s="7"/>
      <c r="AC333" s="4" t="str">
        <f t="array" ref="AC333">IF('Ingest Template'!A333="Standard",(CONCATENATE(IF(ISBLANK('Ingest Template'!F333),"", 'Ingest Template'!F333&amp;"|DAR"),CHAR(10), IF(ISBLANK('Ingest Template'!G333),"", 'Ingest Template'!G333&amp;"|DAR"),CHAR(10), IF(ISBLANK('Ingest Template'!H333),"", 'Ingest Template'!H333&amp;"|DAR"))),(CONCATENATE(IF(ISBLANK('Ingest Template'!F333),"", 'Ingest Template'!F333&amp;"|Film Ops"),CHAR(10), IF(ISBLANK('Ingest Template'!G333),"", 'Ingest Template'!G333&amp;"|Film Ops"),CHAR(10), IF(ISBLANK('Ingest Template'!H333),"", 'Ingest Template'!H333&amp;"|Film Ops"))))</f>
        <v>
</v>
      </c>
      <c r="AD333" s="4"/>
      <c r="AE333" s="4"/>
      <c r="AF333" s="10"/>
      <c r="AG333" s="4"/>
      <c r="AH333" s="4"/>
    </row>
    <row r="334">
      <c r="A334" s="4"/>
      <c r="B334" s="4" t="str">
        <f>'Ingest Template'!B334&amp;IF('Ingest Template'!A334 = "Standard", " - DAR","")</f>
        <v/>
      </c>
      <c r="C334" s="5" t="s">
        <v>34</v>
      </c>
      <c r="D334" s="5" t="str">
        <f>CONCATENATE('Ingest Template'!C334,'Ingest Template'!D334)</f>
        <v/>
      </c>
      <c r="E334" s="4"/>
      <c r="F334" s="4"/>
      <c r="G334" s="4"/>
      <c r="H334" s="6"/>
      <c r="I334" s="6" t="str">
        <f>iF('Ingest Template'!A334="Standard","Pristine Brand","Unknown")</f>
        <v>Unknown</v>
      </c>
      <c r="J334" s="4" t="str">
        <f>iF('Ingest Template'!A334="Standard","LF // Beverages","Competitive View")</f>
        <v>Competitive View</v>
      </c>
      <c r="K334" s="7" t="s">
        <v>35</v>
      </c>
      <c r="L334" s="8"/>
      <c r="M334" s="4"/>
      <c r="N334" s="4"/>
      <c r="O334" s="4"/>
      <c r="P334" s="4"/>
      <c r="Q334" s="4"/>
      <c r="R334" s="7" t="s">
        <v>36</v>
      </c>
      <c r="S334" s="4" t="str">
        <f>'Ingest Template'!J334</f>
        <v/>
      </c>
      <c r="T334" s="4" t="str">
        <f>'Ingest Template'!I334</f>
        <v/>
      </c>
      <c r="U334" s="4" t="str">
        <f>LOWER(SUBSTITUTE(SUBSTITUTE(SUBSTITUTE(SUBSTITUTE(SUBSTITUTE('Ingest Template'!K334,"https:",""),"www.",""),"/",""),"?hl=en",""),"instagram.com",""))</f>
        <v/>
      </c>
      <c r="V334" s="9" t="str">
        <f>'Ingest Template'!L334</f>
        <v/>
      </c>
      <c r="W334" s="9" t="str">
        <f>'Ingest Template'!M334</f>
        <v/>
      </c>
      <c r="X334" s="4" t="str">
        <f>SUBSTITUTE(SUBSTITUTE(SUBSTITUTE('Ingest Template'!N334,"http:",""),"https:",""),"/","")</f>
        <v/>
      </c>
      <c r="Y334" s="4" t="str">
        <f t="array" ref="Y334">IF('Ingest Template'!A334="Standard",(IF(ISBLANK('Ingest Template'!O334),"", 'Ingest Template'!O334&amp;"|DAR")),(IF(ISBLANK('Ingest Template'!O334),"", 'Ingest Template'!O334&amp;"|Film Ops")))</f>
        <v/>
      </c>
      <c r="Z334" s="4"/>
      <c r="AA334" s="4" t="str">
        <f>'Ingest Template'!E334</f>
        <v/>
      </c>
      <c r="AB334" s="7"/>
      <c r="AC334" s="4" t="str">
        <f t="array" ref="AC334">IF('Ingest Template'!A334="Standard",(CONCATENATE(IF(ISBLANK('Ingest Template'!F334),"", 'Ingest Template'!F334&amp;"|DAR"),CHAR(10), IF(ISBLANK('Ingest Template'!G334),"", 'Ingest Template'!G334&amp;"|DAR"),CHAR(10), IF(ISBLANK('Ingest Template'!H334),"", 'Ingest Template'!H334&amp;"|DAR"))),(CONCATENATE(IF(ISBLANK('Ingest Template'!F334),"", 'Ingest Template'!F334&amp;"|Film Ops"),CHAR(10), IF(ISBLANK('Ingest Template'!G334),"", 'Ingest Template'!G334&amp;"|Film Ops"),CHAR(10), IF(ISBLANK('Ingest Template'!H334),"", 'Ingest Template'!H334&amp;"|Film Ops"))))</f>
        <v>
</v>
      </c>
      <c r="AD334" s="4"/>
      <c r="AE334" s="4"/>
      <c r="AF334" s="10"/>
      <c r="AG334" s="4"/>
      <c r="AH334" s="4"/>
    </row>
    <row r="335">
      <c r="A335" s="4"/>
      <c r="B335" s="4" t="str">
        <f>'Ingest Template'!B335&amp;IF('Ingest Template'!A335 = "Standard", " - DAR","")</f>
        <v/>
      </c>
      <c r="C335" s="5" t="s">
        <v>34</v>
      </c>
      <c r="D335" s="5" t="str">
        <f>CONCATENATE('Ingest Template'!C335,'Ingest Template'!D335)</f>
        <v/>
      </c>
      <c r="E335" s="4"/>
      <c r="F335" s="4"/>
      <c r="G335" s="4"/>
      <c r="H335" s="6"/>
      <c r="I335" s="6" t="str">
        <f>iF('Ingest Template'!A335="Standard","Pristine Brand","Unknown")</f>
        <v>Unknown</v>
      </c>
      <c r="J335" s="4" t="str">
        <f>iF('Ingest Template'!A335="Standard","LF // Beverages","Competitive View")</f>
        <v>Competitive View</v>
      </c>
      <c r="K335" s="7" t="s">
        <v>35</v>
      </c>
      <c r="L335" s="8"/>
      <c r="M335" s="4"/>
      <c r="N335" s="4"/>
      <c r="O335" s="4"/>
      <c r="P335" s="4"/>
      <c r="Q335" s="4"/>
      <c r="R335" s="7" t="s">
        <v>36</v>
      </c>
      <c r="S335" s="4" t="str">
        <f>'Ingest Template'!J335</f>
        <v/>
      </c>
      <c r="T335" s="4" t="str">
        <f>'Ingest Template'!I335</f>
        <v/>
      </c>
      <c r="U335" s="4" t="str">
        <f>LOWER(SUBSTITUTE(SUBSTITUTE(SUBSTITUTE(SUBSTITUTE(SUBSTITUTE('Ingest Template'!K335,"https:",""),"www.",""),"/",""),"?hl=en",""),"instagram.com",""))</f>
        <v/>
      </c>
      <c r="V335" s="9" t="str">
        <f>'Ingest Template'!L335</f>
        <v/>
      </c>
      <c r="W335" s="9" t="str">
        <f>'Ingest Template'!M335</f>
        <v/>
      </c>
      <c r="X335" s="4" t="str">
        <f>SUBSTITUTE(SUBSTITUTE(SUBSTITUTE('Ingest Template'!N335,"http:",""),"https:",""),"/","")</f>
        <v/>
      </c>
      <c r="Y335" s="4" t="str">
        <f t="array" ref="Y335">IF('Ingest Template'!A335="Standard",(IF(ISBLANK('Ingest Template'!O335),"", 'Ingest Template'!O335&amp;"|DAR")),(IF(ISBLANK('Ingest Template'!O335),"", 'Ingest Template'!O335&amp;"|Film Ops")))</f>
        <v/>
      </c>
      <c r="Z335" s="4"/>
      <c r="AA335" s="4" t="str">
        <f>'Ingest Template'!E335</f>
        <v/>
      </c>
      <c r="AB335" s="7"/>
      <c r="AC335" s="4" t="str">
        <f t="array" ref="AC335">IF('Ingest Template'!A335="Standard",(CONCATENATE(IF(ISBLANK('Ingest Template'!F335),"", 'Ingest Template'!F335&amp;"|DAR"),CHAR(10), IF(ISBLANK('Ingest Template'!G335),"", 'Ingest Template'!G335&amp;"|DAR"),CHAR(10), IF(ISBLANK('Ingest Template'!H335),"", 'Ingest Template'!H335&amp;"|DAR"))),(CONCATENATE(IF(ISBLANK('Ingest Template'!F335),"", 'Ingest Template'!F335&amp;"|Film Ops"),CHAR(10), IF(ISBLANK('Ingest Template'!G335),"", 'Ingest Template'!G335&amp;"|Film Ops"),CHAR(10), IF(ISBLANK('Ingest Template'!H335),"", 'Ingest Template'!H335&amp;"|Film Ops"))))</f>
        <v>
</v>
      </c>
      <c r="AD335" s="4"/>
      <c r="AE335" s="4"/>
      <c r="AF335" s="10"/>
      <c r="AG335" s="4"/>
      <c r="AH335" s="4"/>
    </row>
    <row r="336">
      <c r="A336" s="4"/>
      <c r="B336" s="4" t="str">
        <f>'Ingest Template'!B336&amp;IF('Ingest Template'!A336 = "Standard", " - DAR","")</f>
        <v/>
      </c>
      <c r="C336" s="5" t="s">
        <v>34</v>
      </c>
      <c r="D336" s="5" t="str">
        <f>CONCATENATE('Ingest Template'!C336,'Ingest Template'!D336)</f>
        <v/>
      </c>
      <c r="E336" s="4"/>
      <c r="F336" s="4"/>
      <c r="G336" s="4"/>
      <c r="H336" s="6"/>
      <c r="I336" s="6" t="str">
        <f>iF('Ingest Template'!A336="Standard","Pristine Brand","Unknown")</f>
        <v>Unknown</v>
      </c>
      <c r="J336" s="4" t="str">
        <f>iF('Ingest Template'!A336="Standard","LF // Beverages","Competitive View")</f>
        <v>Competitive View</v>
      </c>
      <c r="K336" s="7" t="s">
        <v>35</v>
      </c>
      <c r="L336" s="8"/>
      <c r="M336" s="4"/>
      <c r="N336" s="4"/>
      <c r="O336" s="4"/>
      <c r="P336" s="4"/>
      <c r="Q336" s="4"/>
      <c r="R336" s="7" t="s">
        <v>36</v>
      </c>
      <c r="S336" s="4" t="str">
        <f>'Ingest Template'!J336</f>
        <v/>
      </c>
      <c r="T336" s="4" t="str">
        <f>'Ingest Template'!I336</f>
        <v/>
      </c>
      <c r="U336" s="4" t="str">
        <f>LOWER(SUBSTITUTE(SUBSTITUTE(SUBSTITUTE(SUBSTITUTE(SUBSTITUTE('Ingest Template'!K336,"https:",""),"www.",""),"/",""),"?hl=en",""),"instagram.com",""))</f>
        <v/>
      </c>
      <c r="V336" s="9" t="str">
        <f>'Ingest Template'!L336</f>
        <v/>
      </c>
      <c r="W336" s="9" t="str">
        <f>'Ingest Template'!M336</f>
        <v/>
      </c>
      <c r="X336" s="4" t="str">
        <f>SUBSTITUTE(SUBSTITUTE(SUBSTITUTE('Ingest Template'!N336,"http:",""),"https:",""),"/","")</f>
        <v/>
      </c>
      <c r="Y336" s="4" t="str">
        <f t="array" ref="Y336">IF('Ingest Template'!A336="Standard",(IF(ISBLANK('Ingest Template'!O336),"", 'Ingest Template'!O336&amp;"|DAR")),(IF(ISBLANK('Ingest Template'!O336),"", 'Ingest Template'!O336&amp;"|Film Ops")))</f>
        <v/>
      </c>
      <c r="Z336" s="4"/>
      <c r="AA336" s="4" t="str">
        <f>'Ingest Template'!E336</f>
        <v/>
      </c>
      <c r="AB336" s="7"/>
      <c r="AC336" s="4" t="str">
        <f t="array" ref="AC336">IF('Ingest Template'!A336="Standard",(CONCATENATE(IF(ISBLANK('Ingest Template'!F336),"", 'Ingest Template'!F336&amp;"|DAR"),CHAR(10), IF(ISBLANK('Ingest Template'!G336),"", 'Ingest Template'!G336&amp;"|DAR"),CHAR(10), IF(ISBLANK('Ingest Template'!H336),"", 'Ingest Template'!H336&amp;"|DAR"))),(CONCATENATE(IF(ISBLANK('Ingest Template'!F336),"", 'Ingest Template'!F336&amp;"|Film Ops"),CHAR(10), IF(ISBLANK('Ingest Template'!G336),"", 'Ingest Template'!G336&amp;"|Film Ops"),CHAR(10), IF(ISBLANK('Ingest Template'!H336),"", 'Ingest Template'!H336&amp;"|Film Ops"))))</f>
        <v>
</v>
      </c>
      <c r="AD336" s="4"/>
      <c r="AE336" s="4"/>
      <c r="AF336" s="10"/>
      <c r="AG336" s="4"/>
      <c r="AH336" s="4"/>
    </row>
    <row r="337">
      <c r="A337" s="4"/>
      <c r="B337" s="4" t="str">
        <f>'Ingest Template'!B337&amp;IF('Ingest Template'!A337 = "Standard", " - DAR","")</f>
        <v/>
      </c>
      <c r="C337" s="5" t="s">
        <v>34</v>
      </c>
      <c r="D337" s="5" t="str">
        <f>CONCATENATE('Ingest Template'!C337,'Ingest Template'!D337)</f>
        <v/>
      </c>
      <c r="E337" s="4"/>
      <c r="F337" s="4"/>
      <c r="G337" s="4"/>
      <c r="H337" s="6"/>
      <c r="I337" s="6" t="str">
        <f>iF('Ingest Template'!A337="Standard","Pristine Brand","Unknown")</f>
        <v>Unknown</v>
      </c>
      <c r="J337" s="4" t="str">
        <f>iF('Ingest Template'!A337="Standard","LF // Beverages","Competitive View")</f>
        <v>Competitive View</v>
      </c>
      <c r="K337" s="7" t="s">
        <v>35</v>
      </c>
      <c r="L337" s="8"/>
      <c r="M337" s="4"/>
      <c r="N337" s="4"/>
      <c r="O337" s="4"/>
      <c r="P337" s="4"/>
      <c r="Q337" s="4"/>
      <c r="R337" s="7" t="s">
        <v>36</v>
      </c>
      <c r="S337" s="4" t="str">
        <f>'Ingest Template'!J337</f>
        <v/>
      </c>
      <c r="T337" s="4" t="str">
        <f>'Ingest Template'!I337</f>
        <v/>
      </c>
      <c r="U337" s="4" t="str">
        <f>LOWER(SUBSTITUTE(SUBSTITUTE(SUBSTITUTE(SUBSTITUTE(SUBSTITUTE('Ingest Template'!K337,"https:",""),"www.",""),"/",""),"?hl=en",""),"instagram.com",""))</f>
        <v/>
      </c>
      <c r="V337" s="9" t="str">
        <f>'Ingest Template'!L337</f>
        <v/>
      </c>
      <c r="W337" s="9" t="str">
        <f>'Ingest Template'!M337</f>
        <v/>
      </c>
      <c r="X337" s="4" t="str">
        <f>SUBSTITUTE(SUBSTITUTE(SUBSTITUTE('Ingest Template'!N337,"http:",""),"https:",""),"/","")</f>
        <v/>
      </c>
      <c r="Y337" s="4" t="str">
        <f t="array" ref="Y337">IF('Ingest Template'!A337="Standard",(IF(ISBLANK('Ingest Template'!O337),"", 'Ingest Template'!O337&amp;"|DAR")),(IF(ISBLANK('Ingest Template'!O337),"", 'Ingest Template'!O337&amp;"|Film Ops")))</f>
        <v/>
      </c>
      <c r="Z337" s="4"/>
      <c r="AA337" s="4" t="str">
        <f>'Ingest Template'!E337</f>
        <v/>
      </c>
      <c r="AB337" s="7"/>
      <c r="AC337" s="4" t="str">
        <f t="array" ref="AC337">IF('Ingest Template'!A337="Standard",(CONCATENATE(IF(ISBLANK('Ingest Template'!F337),"", 'Ingest Template'!F337&amp;"|DAR"),CHAR(10), IF(ISBLANK('Ingest Template'!G337),"", 'Ingest Template'!G337&amp;"|DAR"),CHAR(10), IF(ISBLANK('Ingest Template'!H337),"", 'Ingest Template'!H337&amp;"|DAR"))),(CONCATENATE(IF(ISBLANK('Ingest Template'!F337),"", 'Ingest Template'!F337&amp;"|Film Ops"),CHAR(10), IF(ISBLANK('Ingest Template'!G337),"", 'Ingest Template'!G337&amp;"|Film Ops"),CHAR(10), IF(ISBLANK('Ingest Template'!H337),"", 'Ingest Template'!H337&amp;"|Film Ops"))))</f>
        <v>
</v>
      </c>
      <c r="AD337" s="4"/>
      <c r="AE337" s="4"/>
      <c r="AF337" s="10"/>
      <c r="AG337" s="4"/>
      <c r="AH337" s="4"/>
    </row>
    <row r="338">
      <c r="A338" s="4"/>
      <c r="B338" s="4" t="str">
        <f>'Ingest Template'!B338&amp;IF('Ingest Template'!A338 = "Standard", " - DAR","")</f>
        <v/>
      </c>
      <c r="C338" s="5" t="s">
        <v>34</v>
      </c>
      <c r="D338" s="5" t="str">
        <f>CONCATENATE('Ingest Template'!C338,'Ingest Template'!D338)</f>
        <v/>
      </c>
      <c r="E338" s="4"/>
      <c r="F338" s="4"/>
      <c r="G338" s="4"/>
      <c r="H338" s="6"/>
      <c r="I338" s="6" t="str">
        <f>iF('Ingest Template'!A338="Standard","Pristine Brand","Unknown")</f>
        <v>Unknown</v>
      </c>
      <c r="J338" s="4" t="str">
        <f>iF('Ingest Template'!A338="Standard","LF // Beverages","Competitive View")</f>
        <v>Competitive View</v>
      </c>
      <c r="K338" s="7" t="s">
        <v>35</v>
      </c>
      <c r="L338" s="8"/>
      <c r="M338" s="4"/>
      <c r="N338" s="4"/>
      <c r="O338" s="4"/>
      <c r="P338" s="4"/>
      <c r="Q338" s="4"/>
      <c r="R338" s="7" t="s">
        <v>36</v>
      </c>
      <c r="S338" s="4" t="str">
        <f>'Ingest Template'!J338</f>
        <v/>
      </c>
      <c r="T338" s="4" t="str">
        <f>'Ingest Template'!I338</f>
        <v/>
      </c>
      <c r="U338" s="4" t="str">
        <f>LOWER(SUBSTITUTE(SUBSTITUTE(SUBSTITUTE(SUBSTITUTE(SUBSTITUTE('Ingest Template'!K338,"https:",""),"www.",""),"/",""),"?hl=en",""),"instagram.com",""))</f>
        <v/>
      </c>
      <c r="V338" s="9" t="str">
        <f>'Ingest Template'!L338</f>
        <v/>
      </c>
      <c r="W338" s="9" t="str">
        <f>'Ingest Template'!M338</f>
        <v/>
      </c>
      <c r="X338" s="4" t="str">
        <f>SUBSTITUTE(SUBSTITUTE(SUBSTITUTE('Ingest Template'!N338,"http:",""),"https:",""),"/","")</f>
        <v/>
      </c>
      <c r="Y338" s="4" t="str">
        <f t="array" ref="Y338">IF('Ingest Template'!A338="Standard",(IF(ISBLANK('Ingest Template'!O338),"", 'Ingest Template'!O338&amp;"|DAR")),(IF(ISBLANK('Ingest Template'!O338),"", 'Ingest Template'!O338&amp;"|Film Ops")))</f>
        <v/>
      </c>
      <c r="Z338" s="4"/>
      <c r="AA338" s="4" t="str">
        <f>'Ingest Template'!E338</f>
        <v/>
      </c>
      <c r="AB338" s="7"/>
      <c r="AC338" s="4" t="str">
        <f t="array" ref="AC338">IF('Ingest Template'!A338="Standard",(CONCATENATE(IF(ISBLANK('Ingest Template'!F338),"", 'Ingest Template'!F338&amp;"|DAR"),CHAR(10), IF(ISBLANK('Ingest Template'!G338),"", 'Ingest Template'!G338&amp;"|DAR"),CHAR(10), IF(ISBLANK('Ingest Template'!H338),"", 'Ingest Template'!H338&amp;"|DAR"))),(CONCATENATE(IF(ISBLANK('Ingest Template'!F338),"", 'Ingest Template'!F338&amp;"|Film Ops"),CHAR(10), IF(ISBLANK('Ingest Template'!G338),"", 'Ingest Template'!G338&amp;"|Film Ops"),CHAR(10), IF(ISBLANK('Ingest Template'!H338),"", 'Ingest Template'!H338&amp;"|Film Ops"))))</f>
        <v>
</v>
      </c>
      <c r="AD338" s="4"/>
      <c r="AE338" s="4"/>
      <c r="AF338" s="10"/>
      <c r="AG338" s="4"/>
      <c r="AH338" s="4"/>
    </row>
    <row r="339">
      <c r="A339" s="4"/>
      <c r="B339" s="4" t="str">
        <f>'Ingest Template'!B339&amp;IF('Ingest Template'!A339 = "Standard", " - DAR","")</f>
        <v/>
      </c>
      <c r="C339" s="5" t="s">
        <v>34</v>
      </c>
      <c r="D339" s="5" t="str">
        <f>CONCATENATE('Ingest Template'!C339,'Ingest Template'!D339)</f>
        <v/>
      </c>
      <c r="E339" s="4"/>
      <c r="F339" s="4"/>
      <c r="G339" s="4"/>
      <c r="H339" s="6"/>
      <c r="I339" s="6" t="str">
        <f>iF('Ingest Template'!A339="Standard","Pristine Brand","Unknown")</f>
        <v>Unknown</v>
      </c>
      <c r="J339" s="4" t="str">
        <f>iF('Ingest Template'!A339="Standard","LF // Beverages","Competitive View")</f>
        <v>Competitive View</v>
      </c>
      <c r="K339" s="7" t="s">
        <v>35</v>
      </c>
      <c r="L339" s="8"/>
      <c r="M339" s="4"/>
      <c r="N339" s="4"/>
      <c r="O339" s="4"/>
      <c r="P339" s="4"/>
      <c r="Q339" s="4"/>
      <c r="R339" s="7" t="s">
        <v>36</v>
      </c>
      <c r="S339" s="4" t="str">
        <f>'Ingest Template'!J339</f>
        <v/>
      </c>
      <c r="T339" s="4" t="str">
        <f>'Ingest Template'!I339</f>
        <v/>
      </c>
      <c r="U339" s="4" t="str">
        <f>LOWER(SUBSTITUTE(SUBSTITUTE(SUBSTITUTE(SUBSTITUTE(SUBSTITUTE('Ingest Template'!K339,"https:",""),"www.",""),"/",""),"?hl=en",""),"instagram.com",""))</f>
        <v/>
      </c>
      <c r="V339" s="9" t="str">
        <f>'Ingest Template'!L339</f>
        <v/>
      </c>
      <c r="W339" s="9" t="str">
        <f>'Ingest Template'!M339</f>
        <v/>
      </c>
      <c r="X339" s="4" t="str">
        <f>SUBSTITUTE(SUBSTITUTE(SUBSTITUTE('Ingest Template'!N339,"http:",""),"https:",""),"/","")</f>
        <v/>
      </c>
      <c r="Y339" s="4" t="str">
        <f t="array" ref="Y339">IF('Ingest Template'!A339="Standard",(IF(ISBLANK('Ingest Template'!O339),"", 'Ingest Template'!O339&amp;"|DAR")),(IF(ISBLANK('Ingest Template'!O339),"", 'Ingest Template'!O339&amp;"|Film Ops")))</f>
        <v/>
      </c>
      <c r="Z339" s="4"/>
      <c r="AA339" s="4" t="str">
        <f>'Ingest Template'!E339</f>
        <v/>
      </c>
      <c r="AB339" s="7"/>
      <c r="AC339" s="4" t="str">
        <f t="array" ref="AC339">IF('Ingest Template'!A339="Standard",(CONCATENATE(IF(ISBLANK('Ingest Template'!F339),"", 'Ingest Template'!F339&amp;"|DAR"),CHAR(10), IF(ISBLANK('Ingest Template'!G339),"", 'Ingest Template'!G339&amp;"|DAR"),CHAR(10), IF(ISBLANK('Ingest Template'!H339),"", 'Ingest Template'!H339&amp;"|DAR"))),(CONCATENATE(IF(ISBLANK('Ingest Template'!F339),"", 'Ingest Template'!F339&amp;"|Film Ops"),CHAR(10), IF(ISBLANK('Ingest Template'!G339),"", 'Ingest Template'!G339&amp;"|Film Ops"),CHAR(10), IF(ISBLANK('Ingest Template'!H339),"", 'Ingest Template'!H339&amp;"|Film Ops"))))</f>
        <v>
</v>
      </c>
      <c r="AD339" s="4"/>
      <c r="AE339" s="4"/>
      <c r="AF339" s="10"/>
      <c r="AG339" s="4"/>
      <c r="AH339" s="4"/>
    </row>
    <row r="340">
      <c r="A340" s="4"/>
      <c r="B340" s="4" t="str">
        <f>'Ingest Template'!B340&amp;IF('Ingest Template'!A340 = "Standard", " - DAR","")</f>
        <v/>
      </c>
      <c r="C340" s="5" t="s">
        <v>34</v>
      </c>
      <c r="D340" s="5" t="str">
        <f>CONCATENATE('Ingest Template'!C340,'Ingest Template'!D340)</f>
        <v/>
      </c>
      <c r="E340" s="4"/>
      <c r="F340" s="4"/>
      <c r="G340" s="4"/>
      <c r="H340" s="6"/>
      <c r="I340" s="6" t="str">
        <f>iF('Ingest Template'!A340="Standard","Pristine Brand","Unknown")</f>
        <v>Unknown</v>
      </c>
      <c r="J340" s="4" t="str">
        <f>iF('Ingest Template'!A340="Standard","LF // Beverages","Competitive View")</f>
        <v>Competitive View</v>
      </c>
      <c r="K340" s="7" t="s">
        <v>35</v>
      </c>
      <c r="L340" s="8"/>
      <c r="M340" s="4"/>
      <c r="N340" s="4"/>
      <c r="O340" s="4"/>
      <c r="P340" s="4"/>
      <c r="Q340" s="4"/>
      <c r="R340" s="7" t="s">
        <v>36</v>
      </c>
      <c r="S340" s="4" t="str">
        <f>'Ingest Template'!J340</f>
        <v/>
      </c>
      <c r="T340" s="4" t="str">
        <f>'Ingest Template'!I340</f>
        <v/>
      </c>
      <c r="U340" s="4" t="str">
        <f>LOWER(SUBSTITUTE(SUBSTITUTE(SUBSTITUTE(SUBSTITUTE(SUBSTITUTE('Ingest Template'!K340,"https:",""),"www.",""),"/",""),"?hl=en",""),"instagram.com",""))</f>
        <v/>
      </c>
      <c r="V340" s="9" t="str">
        <f>'Ingest Template'!L340</f>
        <v/>
      </c>
      <c r="W340" s="9" t="str">
        <f>'Ingest Template'!M340</f>
        <v/>
      </c>
      <c r="X340" s="4" t="str">
        <f>SUBSTITUTE(SUBSTITUTE(SUBSTITUTE('Ingest Template'!N340,"http:",""),"https:",""),"/","")</f>
        <v/>
      </c>
      <c r="Y340" s="4" t="str">
        <f t="array" ref="Y340">IF('Ingest Template'!A340="Standard",(IF(ISBLANK('Ingest Template'!O340),"", 'Ingest Template'!O340&amp;"|DAR")),(IF(ISBLANK('Ingest Template'!O340),"", 'Ingest Template'!O340&amp;"|Film Ops")))</f>
        <v/>
      </c>
      <c r="Z340" s="4"/>
      <c r="AA340" s="4" t="str">
        <f>'Ingest Template'!E340</f>
        <v/>
      </c>
      <c r="AB340" s="7"/>
      <c r="AC340" s="4" t="str">
        <f t="array" ref="AC340">IF('Ingest Template'!A340="Standard",(CONCATENATE(IF(ISBLANK('Ingest Template'!F340),"", 'Ingest Template'!F340&amp;"|DAR"),CHAR(10), IF(ISBLANK('Ingest Template'!G340),"", 'Ingest Template'!G340&amp;"|DAR"),CHAR(10), IF(ISBLANK('Ingest Template'!H340),"", 'Ingest Template'!H340&amp;"|DAR"))),(CONCATENATE(IF(ISBLANK('Ingest Template'!F340),"", 'Ingest Template'!F340&amp;"|Film Ops"),CHAR(10), IF(ISBLANK('Ingest Template'!G340),"", 'Ingest Template'!G340&amp;"|Film Ops"),CHAR(10), IF(ISBLANK('Ingest Template'!H340),"", 'Ingest Template'!H340&amp;"|Film Ops"))))</f>
        <v>
</v>
      </c>
      <c r="AD340" s="4"/>
      <c r="AE340" s="4"/>
      <c r="AF340" s="10"/>
      <c r="AG340" s="4"/>
      <c r="AH340" s="4"/>
    </row>
    <row r="341">
      <c r="A341" s="4"/>
      <c r="B341" s="4" t="str">
        <f>'Ingest Template'!B341&amp;IF('Ingest Template'!A341 = "Standard", " - DAR","")</f>
        <v/>
      </c>
      <c r="C341" s="5" t="s">
        <v>34</v>
      </c>
      <c r="D341" s="5" t="str">
        <f>CONCATENATE('Ingest Template'!C341,'Ingest Template'!D341)</f>
        <v/>
      </c>
      <c r="E341" s="4"/>
      <c r="F341" s="4"/>
      <c r="G341" s="4"/>
      <c r="H341" s="6"/>
      <c r="I341" s="6" t="str">
        <f>iF('Ingest Template'!A341="Standard","Pristine Brand","Unknown")</f>
        <v>Unknown</v>
      </c>
      <c r="J341" s="4" t="str">
        <f>iF('Ingest Template'!A341="Standard","LF // Beverages","Competitive View")</f>
        <v>Competitive View</v>
      </c>
      <c r="K341" s="7" t="s">
        <v>35</v>
      </c>
      <c r="L341" s="8"/>
      <c r="M341" s="4"/>
      <c r="N341" s="4"/>
      <c r="O341" s="4"/>
      <c r="P341" s="4"/>
      <c r="Q341" s="4"/>
      <c r="R341" s="7" t="s">
        <v>36</v>
      </c>
      <c r="S341" s="4" t="str">
        <f>'Ingest Template'!J341</f>
        <v/>
      </c>
      <c r="T341" s="4" t="str">
        <f>'Ingest Template'!I341</f>
        <v/>
      </c>
      <c r="U341" s="4" t="str">
        <f>LOWER(SUBSTITUTE(SUBSTITUTE(SUBSTITUTE(SUBSTITUTE(SUBSTITUTE('Ingest Template'!K341,"https:",""),"www.",""),"/",""),"?hl=en",""),"instagram.com",""))</f>
        <v/>
      </c>
      <c r="V341" s="9" t="str">
        <f>'Ingest Template'!L341</f>
        <v/>
      </c>
      <c r="W341" s="9" t="str">
        <f>'Ingest Template'!M341</f>
        <v/>
      </c>
      <c r="X341" s="4" t="str">
        <f>SUBSTITUTE(SUBSTITUTE(SUBSTITUTE('Ingest Template'!N341,"http:",""),"https:",""),"/","")</f>
        <v/>
      </c>
      <c r="Y341" s="4" t="str">
        <f t="array" ref="Y341">IF('Ingest Template'!A341="Standard",(IF(ISBLANK('Ingest Template'!O341),"", 'Ingest Template'!O341&amp;"|DAR")),(IF(ISBLANK('Ingest Template'!O341),"", 'Ingest Template'!O341&amp;"|Film Ops")))</f>
        <v/>
      </c>
      <c r="Z341" s="4"/>
      <c r="AA341" s="4" t="str">
        <f>'Ingest Template'!E341</f>
        <v/>
      </c>
      <c r="AB341" s="7"/>
      <c r="AC341" s="4" t="str">
        <f t="array" ref="AC341">IF('Ingest Template'!A341="Standard",(CONCATENATE(IF(ISBLANK('Ingest Template'!F341),"", 'Ingest Template'!F341&amp;"|DAR"),CHAR(10), IF(ISBLANK('Ingest Template'!G341),"", 'Ingest Template'!G341&amp;"|DAR"),CHAR(10), IF(ISBLANK('Ingest Template'!H341),"", 'Ingest Template'!H341&amp;"|DAR"))),(CONCATENATE(IF(ISBLANK('Ingest Template'!F341),"", 'Ingest Template'!F341&amp;"|Film Ops"),CHAR(10), IF(ISBLANK('Ingest Template'!G341),"", 'Ingest Template'!G341&amp;"|Film Ops"),CHAR(10), IF(ISBLANK('Ingest Template'!H341),"", 'Ingest Template'!H341&amp;"|Film Ops"))))</f>
        <v>
</v>
      </c>
      <c r="AD341" s="4"/>
      <c r="AE341" s="4"/>
      <c r="AF341" s="10"/>
      <c r="AG341" s="4"/>
      <c r="AH341" s="4"/>
    </row>
    <row r="342">
      <c r="A342" s="4"/>
      <c r="B342" s="4" t="str">
        <f>'Ingest Template'!B342&amp;IF('Ingest Template'!A342 = "Standard", " - DAR","")</f>
        <v/>
      </c>
      <c r="C342" s="5" t="s">
        <v>34</v>
      </c>
      <c r="D342" s="5" t="str">
        <f>CONCATENATE('Ingest Template'!C342,'Ingest Template'!D342)</f>
        <v/>
      </c>
      <c r="E342" s="4"/>
      <c r="F342" s="4"/>
      <c r="G342" s="4"/>
      <c r="H342" s="6"/>
      <c r="I342" s="6" t="str">
        <f>iF('Ingest Template'!A342="Standard","Pristine Brand","Unknown")</f>
        <v>Unknown</v>
      </c>
      <c r="J342" s="4" t="str">
        <f>iF('Ingest Template'!A342="Standard","LF // Beverages","Competitive View")</f>
        <v>Competitive View</v>
      </c>
      <c r="K342" s="7" t="s">
        <v>35</v>
      </c>
      <c r="L342" s="8"/>
      <c r="M342" s="4"/>
      <c r="N342" s="4"/>
      <c r="O342" s="4"/>
      <c r="P342" s="4"/>
      <c r="Q342" s="4"/>
      <c r="R342" s="7" t="s">
        <v>36</v>
      </c>
      <c r="S342" s="4" t="str">
        <f>'Ingest Template'!J342</f>
        <v/>
      </c>
      <c r="T342" s="4" t="str">
        <f>'Ingest Template'!I342</f>
        <v/>
      </c>
      <c r="U342" s="4" t="str">
        <f>LOWER(SUBSTITUTE(SUBSTITUTE(SUBSTITUTE(SUBSTITUTE(SUBSTITUTE('Ingest Template'!K342,"https:",""),"www.",""),"/",""),"?hl=en",""),"instagram.com",""))</f>
        <v/>
      </c>
      <c r="V342" s="9" t="str">
        <f>'Ingest Template'!L342</f>
        <v/>
      </c>
      <c r="W342" s="9" t="str">
        <f>'Ingest Template'!M342</f>
        <v/>
      </c>
      <c r="X342" s="4" t="str">
        <f>SUBSTITUTE(SUBSTITUTE(SUBSTITUTE('Ingest Template'!N342,"http:",""),"https:",""),"/","")</f>
        <v/>
      </c>
      <c r="Y342" s="4" t="str">
        <f t="array" ref="Y342">IF('Ingest Template'!A342="Standard",(IF(ISBLANK('Ingest Template'!O342),"", 'Ingest Template'!O342&amp;"|DAR")),(IF(ISBLANK('Ingest Template'!O342),"", 'Ingest Template'!O342&amp;"|Film Ops")))</f>
        <v/>
      </c>
      <c r="Z342" s="4"/>
      <c r="AA342" s="4" t="str">
        <f>'Ingest Template'!E342</f>
        <v/>
      </c>
      <c r="AB342" s="7"/>
      <c r="AC342" s="4" t="str">
        <f t="array" ref="AC342">IF('Ingest Template'!A342="Standard",(CONCATENATE(IF(ISBLANK('Ingest Template'!F342),"", 'Ingest Template'!F342&amp;"|DAR"),CHAR(10), IF(ISBLANK('Ingest Template'!G342),"", 'Ingest Template'!G342&amp;"|DAR"),CHAR(10), IF(ISBLANK('Ingest Template'!H342),"", 'Ingest Template'!H342&amp;"|DAR"))),(CONCATENATE(IF(ISBLANK('Ingest Template'!F342),"", 'Ingest Template'!F342&amp;"|Film Ops"),CHAR(10), IF(ISBLANK('Ingest Template'!G342),"", 'Ingest Template'!G342&amp;"|Film Ops"),CHAR(10), IF(ISBLANK('Ingest Template'!H342),"", 'Ingest Template'!H342&amp;"|Film Ops"))))</f>
        <v>
</v>
      </c>
      <c r="AD342" s="4"/>
      <c r="AE342" s="4"/>
      <c r="AF342" s="10"/>
      <c r="AG342" s="4"/>
      <c r="AH342" s="4"/>
    </row>
    <row r="343">
      <c r="A343" s="4"/>
      <c r="B343" s="4" t="str">
        <f>'Ingest Template'!B343&amp;IF('Ingest Template'!A343 = "Standard", " - DAR","")</f>
        <v/>
      </c>
      <c r="C343" s="5" t="s">
        <v>34</v>
      </c>
      <c r="D343" s="5" t="str">
        <f>CONCATENATE('Ingest Template'!C343,'Ingest Template'!D343)</f>
        <v/>
      </c>
      <c r="E343" s="4"/>
      <c r="F343" s="4"/>
      <c r="G343" s="4"/>
      <c r="H343" s="6"/>
      <c r="I343" s="6" t="str">
        <f>iF('Ingest Template'!A343="Standard","Pristine Brand","Unknown")</f>
        <v>Unknown</v>
      </c>
      <c r="J343" s="4" t="str">
        <f>iF('Ingest Template'!A343="Standard","LF // Beverages","Competitive View")</f>
        <v>Competitive View</v>
      </c>
      <c r="K343" s="7" t="s">
        <v>35</v>
      </c>
      <c r="L343" s="8"/>
      <c r="M343" s="4"/>
      <c r="N343" s="4"/>
      <c r="O343" s="4"/>
      <c r="P343" s="4"/>
      <c r="Q343" s="4"/>
      <c r="R343" s="7" t="s">
        <v>36</v>
      </c>
      <c r="S343" s="4" t="str">
        <f>'Ingest Template'!J343</f>
        <v/>
      </c>
      <c r="T343" s="4" t="str">
        <f>'Ingest Template'!I343</f>
        <v/>
      </c>
      <c r="U343" s="4" t="str">
        <f>LOWER(SUBSTITUTE(SUBSTITUTE(SUBSTITUTE(SUBSTITUTE(SUBSTITUTE('Ingest Template'!K343,"https:",""),"www.",""),"/",""),"?hl=en",""),"instagram.com",""))</f>
        <v/>
      </c>
      <c r="V343" s="9" t="str">
        <f>'Ingest Template'!L343</f>
        <v/>
      </c>
      <c r="W343" s="9" t="str">
        <f>'Ingest Template'!M343</f>
        <v/>
      </c>
      <c r="X343" s="4" t="str">
        <f>SUBSTITUTE(SUBSTITUTE(SUBSTITUTE('Ingest Template'!N343,"http:",""),"https:",""),"/","")</f>
        <v/>
      </c>
      <c r="Y343" s="4" t="str">
        <f t="array" ref="Y343">IF('Ingest Template'!A343="Standard",(IF(ISBLANK('Ingest Template'!O343),"", 'Ingest Template'!O343&amp;"|DAR")),(IF(ISBLANK('Ingest Template'!O343),"", 'Ingest Template'!O343&amp;"|Film Ops")))</f>
        <v/>
      </c>
      <c r="Z343" s="4"/>
      <c r="AA343" s="4" t="str">
        <f>'Ingest Template'!E343</f>
        <v/>
      </c>
      <c r="AB343" s="7"/>
      <c r="AC343" s="4" t="str">
        <f t="array" ref="AC343">IF('Ingest Template'!A343="Standard",(CONCATENATE(IF(ISBLANK('Ingest Template'!F343),"", 'Ingest Template'!F343&amp;"|DAR"),CHAR(10), IF(ISBLANK('Ingest Template'!G343),"", 'Ingest Template'!G343&amp;"|DAR"),CHAR(10), IF(ISBLANK('Ingest Template'!H343),"", 'Ingest Template'!H343&amp;"|DAR"))),(CONCATENATE(IF(ISBLANK('Ingest Template'!F343),"", 'Ingest Template'!F343&amp;"|Film Ops"),CHAR(10), IF(ISBLANK('Ingest Template'!G343),"", 'Ingest Template'!G343&amp;"|Film Ops"),CHAR(10), IF(ISBLANK('Ingest Template'!H343),"", 'Ingest Template'!H343&amp;"|Film Ops"))))</f>
        <v>
</v>
      </c>
      <c r="AD343" s="4"/>
      <c r="AE343" s="4"/>
      <c r="AF343" s="10"/>
      <c r="AG343" s="4"/>
      <c r="AH343" s="4"/>
    </row>
    <row r="344">
      <c r="A344" s="4"/>
      <c r="B344" s="4" t="str">
        <f>'Ingest Template'!B344&amp;IF('Ingest Template'!A344 = "Standard", " - DAR","")</f>
        <v/>
      </c>
      <c r="C344" s="5" t="s">
        <v>34</v>
      </c>
      <c r="D344" s="5" t="str">
        <f>CONCATENATE('Ingest Template'!C344,'Ingest Template'!D344)</f>
        <v/>
      </c>
      <c r="E344" s="4"/>
      <c r="F344" s="4"/>
      <c r="G344" s="4"/>
      <c r="H344" s="6"/>
      <c r="I344" s="6" t="str">
        <f>iF('Ingest Template'!A344="Standard","Pristine Brand","Unknown")</f>
        <v>Unknown</v>
      </c>
      <c r="J344" s="4" t="str">
        <f>iF('Ingest Template'!A344="Standard","LF // Beverages","Competitive View")</f>
        <v>Competitive View</v>
      </c>
      <c r="K344" s="7" t="s">
        <v>35</v>
      </c>
      <c r="L344" s="8"/>
      <c r="M344" s="4"/>
      <c r="N344" s="4"/>
      <c r="O344" s="4"/>
      <c r="P344" s="4"/>
      <c r="Q344" s="4"/>
      <c r="R344" s="7" t="s">
        <v>36</v>
      </c>
      <c r="S344" s="4" t="str">
        <f>'Ingest Template'!J344</f>
        <v/>
      </c>
      <c r="T344" s="4" t="str">
        <f>'Ingest Template'!I344</f>
        <v/>
      </c>
      <c r="U344" s="4" t="str">
        <f>LOWER(SUBSTITUTE(SUBSTITUTE(SUBSTITUTE(SUBSTITUTE(SUBSTITUTE('Ingest Template'!K344,"https:",""),"www.",""),"/",""),"?hl=en",""),"instagram.com",""))</f>
        <v/>
      </c>
      <c r="V344" s="9" t="str">
        <f>'Ingest Template'!L344</f>
        <v/>
      </c>
      <c r="W344" s="9" t="str">
        <f>'Ingest Template'!M344</f>
        <v/>
      </c>
      <c r="X344" s="4" t="str">
        <f>SUBSTITUTE(SUBSTITUTE(SUBSTITUTE('Ingest Template'!N344,"http:",""),"https:",""),"/","")</f>
        <v/>
      </c>
      <c r="Y344" s="4" t="str">
        <f t="array" ref="Y344">IF('Ingest Template'!A344="Standard",(IF(ISBLANK('Ingest Template'!O344),"", 'Ingest Template'!O344&amp;"|DAR")),(IF(ISBLANK('Ingest Template'!O344),"", 'Ingest Template'!O344&amp;"|Film Ops")))</f>
        <v/>
      </c>
      <c r="Z344" s="4"/>
      <c r="AA344" s="4" t="str">
        <f>'Ingest Template'!E344</f>
        <v/>
      </c>
      <c r="AB344" s="7"/>
      <c r="AC344" s="4" t="str">
        <f t="array" ref="AC344">IF('Ingest Template'!A344="Standard",(CONCATENATE(IF(ISBLANK('Ingest Template'!F344),"", 'Ingest Template'!F344&amp;"|DAR"),CHAR(10), IF(ISBLANK('Ingest Template'!G344),"", 'Ingest Template'!G344&amp;"|DAR"),CHAR(10), IF(ISBLANK('Ingest Template'!H344),"", 'Ingest Template'!H344&amp;"|DAR"))),(CONCATENATE(IF(ISBLANK('Ingest Template'!F344),"", 'Ingest Template'!F344&amp;"|Film Ops"),CHAR(10), IF(ISBLANK('Ingest Template'!G344),"", 'Ingest Template'!G344&amp;"|Film Ops"),CHAR(10), IF(ISBLANK('Ingest Template'!H344),"", 'Ingest Template'!H344&amp;"|Film Ops"))))</f>
        <v>
</v>
      </c>
      <c r="AD344" s="4"/>
      <c r="AE344" s="4"/>
      <c r="AF344" s="10"/>
      <c r="AG344" s="4"/>
      <c r="AH344" s="4"/>
    </row>
    <row r="345">
      <c r="A345" s="4"/>
      <c r="B345" s="4" t="str">
        <f>'Ingest Template'!B345&amp;IF('Ingest Template'!A345 = "Standard", " - DAR","")</f>
        <v/>
      </c>
      <c r="C345" s="5" t="s">
        <v>34</v>
      </c>
      <c r="D345" s="5" t="str">
        <f>CONCATENATE('Ingest Template'!C345,'Ingest Template'!D345)</f>
        <v/>
      </c>
      <c r="E345" s="4"/>
      <c r="F345" s="4"/>
      <c r="G345" s="4"/>
      <c r="H345" s="6"/>
      <c r="I345" s="6" t="str">
        <f>iF('Ingest Template'!A345="Standard","Pristine Brand","Unknown")</f>
        <v>Unknown</v>
      </c>
      <c r="J345" s="4" t="str">
        <f>iF('Ingest Template'!A345="Standard","LF // Beverages","Competitive View")</f>
        <v>Competitive View</v>
      </c>
      <c r="K345" s="7" t="s">
        <v>35</v>
      </c>
      <c r="L345" s="8"/>
      <c r="M345" s="4"/>
      <c r="N345" s="4"/>
      <c r="O345" s="4"/>
      <c r="P345" s="4"/>
      <c r="Q345" s="4"/>
      <c r="R345" s="7" t="s">
        <v>36</v>
      </c>
      <c r="S345" s="4" t="str">
        <f>'Ingest Template'!J345</f>
        <v/>
      </c>
      <c r="T345" s="4" t="str">
        <f>'Ingest Template'!I345</f>
        <v/>
      </c>
      <c r="U345" s="4" t="str">
        <f>LOWER(SUBSTITUTE(SUBSTITUTE(SUBSTITUTE(SUBSTITUTE(SUBSTITUTE('Ingest Template'!K345,"https:",""),"www.",""),"/",""),"?hl=en",""),"instagram.com",""))</f>
        <v/>
      </c>
      <c r="V345" s="9" t="str">
        <f>'Ingest Template'!L345</f>
        <v/>
      </c>
      <c r="W345" s="9" t="str">
        <f>'Ingest Template'!M345</f>
        <v/>
      </c>
      <c r="X345" s="4" t="str">
        <f>SUBSTITUTE(SUBSTITUTE(SUBSTITUTE('Ingest Template'!N345,"http:",""),"https:",""),"/","")</f>
        <v/>
      </c>
      <c r="Y345" s="4" t="str">
        <f t="array" ref="Y345">IF('Ingest Template'!A345="Standard",(IF(ISBLANK('Ingest Template'!O345),"", 'Ingest Template'!O345&amp;"|DAR")),(IF(ISBLANK('Ingest Template'!O345),"", 'Ingest Template'!O345&amp;"|Film Ops")))</f>
        <v/>
      </c>
      <c r="Z345" s="4"/>
      <c r="AA345" s="4" t="str">
        <f>'Ingest Template'!E345</f>
        <v/>
      </c>
      <c r="AB345" s="7"/>
      <c r="AC345" s="4" t="str">
        <f t="array" ref="AC345">IF('Ingest Template'!A345="Standard",(CONCATENATE(IF(ISBLANK('Ingest Template'!F345),"", 'Ingest Template'!F345&amp;"|DAR"),CHAR(10), IF(ISBLANK('Ingest Template'!G345),"", 'Ingest Template'!G345&amp;"|DAR"),CHAR(10), IF(ISBLANK('Ingest Template'!H345),"", 'Ingest Template'!H345&amp;"|DAR"))),(CONCATENATE(IF(ISBLANK('Ingest Template'!F345),"", 'Ingest Template'!F345&amp;"|Film Ops"),CHAR(10), IF(ISBLANK('Ingest Template'!G345),"", 'Ingest Template'!G345&amp;"|Film Ops"),CHAR(10), IF(ISBLANK('Ingest Template'!H345),"", 'Ingest Template'!H345&amp;"|Film Ops"))))</f>
        <v>
</v>
      </c>
      <c r="AD345" s="4"/>
      <c r="AE345" s="4"/>
      <c r="AF345" s="10"/>
      <c r="AG345" s="4"/>
      <c r="AH345" s="4"/>
    </row>
    <row r="346">
      <c r="A346" s="4"/>
      <c r="B346" s="4" t="str">
        <f>'Ingest Template'!B346&amp;IF('Ingest Template'!A346 = "Standard", " - DAR","")</f>
        <v/>
      </c>
      <c r="C346" s="5" t="s">
        <v>34</v>
      </c>
      <c r="D346" s="5" t="str">
        <f>CONCATENATE('Ingest Template'!C346,'Ingest Template'!D346)</f>
        <v/>
      </c>
      <c r="E346" s="4"/>
      <c r="F346" s="4"/>
      <c r="G346" s="4"/>
      <c r="H346" s="6"/>
      <c r="I346" s="6" t="str">
        <f>iF('Ingest Template'!A346="Standard","Pristine Brand","Unknown")</f>
        <v>Unknown</v>
      </c>
      <c r="J346" s="4" t="str">
        <f>iF('Ingest Template'!A346="Standard","LF // Beverages","Competitive View")</f>
        <v>Competitive View</v>
      </c>
      <c r="K346" s="7" t="s">
        <v>35</v>
      </c>
      <c r="L346" s="8"/>
      <c r="M346" s="4"/>
      <c r="N346" s="4"/>
      <c r="O346" s="4"/>
      <c r="P346" s="4"/>
      <c r="Q346" s="4"/>
      <c r="R346" s="7" t="s">
        <v>36</v>
      </c>
      <c r="S346" s="4" t="str">
        <f>'Ingest Template'!J346</f>
        <v/>
      </c>
      <c r="T346" s="4" t="str">
        <f>'Ingest Template'!I346</f>
        <v/>
      </c>
      <c r="U346" s="4" t="str">
        <f>LOWER(SUBSTITUTE(SUBSTITUTE(SUBSTITUTE(SUBSTITUTE(SUBSTITUTE('Ingest Template'!K346,"https:",""),"www.",""),"/",""),"?hl=en",""),"instagram.com",""))</f>
        <v/>
      </c>
      <c r="V346" s="9" t="str">
        <f>'Ingest Template'!L346</f>
        <v/>
      </c>
      <c r="W346" s="9" t="str">
        <f>'Ingest Template'!M346</f>
        <v/>
      </c>
      <c r="X346" s="4" t="str">
        <f>SUBSTITUTE(SUBSTITUTE(SUBSTITUTE('Ingest Template'!N346,"http:",""),"https:",""),"/","")</f>
        <v/>
      </c>
      <c r="Y346" s="4" t="str">
        <f t="array" ref="Y346">IF('Ingest Template'!A346="Standard",(IF(ISBLANK('Ingest Template'!O346),"", 'Ingest Template'!O346&amp;"|DAR")),(IF(ISBLANK('Ingest Template'!O346),"", 'Ingest Template'!O346&amp;"|Film Ops")))</f>
        <v/>
      </c>
      <c r="Z346" s="4"/>
      <c r="AA346" s="4" t="str">
        <f>'Ingest Template'!E346</f>
        <v/>
      </c>
      <c r="AB346" s="7"/>
      <c r="AC346" s="4" t="str">
        <f t="array" ref="AC346">IF('Ingest Template'!A346="Standard",(CONCATENATE(IF(ISBLANK('Ingest Template'!F346),"", 'Ingest Template'!F346&amp;"|DAR"),CHAR(10), IF(ISBLANK('Ingest Template'!G346),"", 'Ingest Template'!G346&amp;"|DAR"),CHAR(10), IF(ISBLANK('Ingest Template'!H346),"", 'Ingest Template'!H346&amp;"|DAR"))),(CONCATENATE(IF(ISBLANK('Ingest Template'!F346),"", 'Ingest Template'!F346&amp;"|Film Ops"),CHAR(10), IF(ISBLANK('Ingest Template'!G346),"", 'Ingest Template'!G346&amp;"|Film Ops"),CHAR(10), IF(ISBLANK('Ingest Template'!H346),"", 'Ingest Template'!H346&amp;"|Film Ops"))))</f>
        <v>
</v>
      </c>
      <c r="AD346" s="4"/>
      <c r="AE346" s="4"/>
      <c r="AF346" s="10"/>
      <c r="AG346" s="4"/>
      <c r="AH346" s="4"/>
    </row>
    <row r="347">
      <c r="A347" s="4"/>
      <c r="B347" s="4" t="str">
        <f>'Ingest Template'!B347&amp;IF('Ingest Template'!A347 = "Standard", " - DAR","")</f>
        <v/>
      </c>
      <c r="C347" s="5" t="s">
        <v>34</v>
      </c>
      <c r="D347" s="5" t="str">
        <f>CONCATENATE('Ingest Template'!C347,'Ingest Template'!D347)</f>
        <v/>
      </c>
      <c r="E347" s="4"/>
      <c r="F347" s="4"/>
      <c r="G347" s="4"/>
      <c r="H347" s="6"/>
      <c r="I347" s="6" t="str">
        <f>iF('Ingest Template'!A347="Standard","Pristine Brand","Unknown")</f>
        <v>Unknown</v>
      </c>
      <c r="J347" s="4" t="str">
        <f>iF('Ingest Template'!A347="Standard","LF // Beverages","Competitive View")</f>
        <v>Competitive View</v>
      </c>
      <c r="K347" s="7" t="s">
        <v>35</v>
      </c>
      <c r="L347" s="8"/>
      <c r="M347" s="4"/>
      <c r="N347" s="4"/>
      <c r="O347" s="4"/>
      <c r="P347" s="4"/>
      <c r="Q347" s="4"/>
      <c r="R347" s="7" t="s">
        <v>36</v>
      </c>
      <c r="S347" s="4" t="str">
        <f>'Ingest Template'!J347</f>
        <v/>
      </c>
      <c r="T347" s="4" t="str">
        <f>'Ingest Template'!I347</f>
        <v/>
      </c>
      <c r="U347" s="4" t="str">
        <f>LOWER(SUBSTITUTE(SUBSTITUTE(SUBSTITUTE(SUBSTITUTE(SUBSTITUTE('Ingest Template'!K347,"https:",""),"www.",""),"/",""),"?hl=en",""),"instagram.com",""))</f>
        <v/>
      </c>
      <c r="V347" s="9" t="str">
        <f>'Ingest Template'!L347</f>
        <v/>
      </c>
      <c r="W347" s="9" t="str">
        <f>'Ingest Template'!M347</f>
        <v/>
      </c>
      <c r="X347" s="4" t="str">
        <f>SUBSTITUTE(SUBSTITUTE(SUBSTITUTE('Ingest Template'!N347,"http:",""),"https:",""),"/","")</f>
        <v/>
      </c>
      <c r="Y347" s="4" t="str">
        <f t="array" ref="Y347">IF('Ingest Template'!A347="Standard",(IF(ISBLANK('Ingest Template'!O347),"", 'Ingest Template'!O347&amp;"|DAR")),(IF(ISBLANK('Ingest Template'!O347),"", 'Ingest Template'!O347&amp;"|Film Ops")))</f>
        <v/>
      </c>
      <c r="Z347" s="4"/>
      <c r="AA347" s="4" t="str">
        <f>'Ingest Template'!E347</f>
        <v/>
      </c>
      <c r="AB347" s="7"/>
      <c r="AC347" s="4" t="str">
        <f t="array" ref="AC347">IF('Ingest Template'!A347="Standard",(CONCATENATE(IF(ISBLANK('Ingest Template'!F347),"", 'Ingest Template'!F347&amp;"|DAR"),CHAR(10), IF(ISBLANK('Ingest Template'!G347),"", 'Ingest Template'!G347&amp;"|DAR"),CHAR(10), IF(ISBLANK('Ingest Template'!H347),"", 'Ingest Template'!H347&amp;"|DAR"))),(CONCATENATE(IF(ISBLANK('Ingest Template'!F347),"", 'Ingest Template'!F347&amp;"|Film Ops"),CHAR(10), IF(ISBLANK('Ingest Template'!G347),"", 'Ingest Template'!G347&amp;"|Film Ops"),CHAR(10), IF(ISBLANK('Ingest Template'!H347),"", 'Ingest Template'!H347&amp;"|Film Ops"))))</f>
        <v>
</v>
      </c>
      <c r="AD347" s="4"/>
      <c r="AE347" s="4"/>
      <c r="AF347" s="10"/>
      <c r="AG347" s="4"/>
      <c r="AH347" s="4"/>
    </row>
    <row r="348">
      <c r="A348" s="4"/>
      <c r="B348" s="4" t="str">
        <f>'Ingest Template'!B348&amp;IF('Ingest Template'!A348 = "Standard", " - DAR","")</f>
        <v/>
      </c>
      <c r="C348" s="5" t="s">
        <v>34</v>
      </c>
      <c r="D348" s="5" t="str">
        <f>CONCATENATE('Ingest Template'!C348,'Ingest Template'!D348)</f>
        <v/>
      </c>
      <c r="E348" s="4"/>
      <c r="F348" s="4"/>
      <c r="G348" s="4"/>
      <c r="H348" s="6"/>
      <c r="I348" s="6" t="str">
        <f>iF('Ingest Template'!A348="Standard","Pristine Brand","Unknown")</f>
        <v>Unknown</v>
      </c>
      <c r="J348" s="4" t="str">
        <f>iF('Ingest Template'!A348="Standard","LF // Beverages","Competitive View")</f>
        <v>Competitive View</v>
      </c>
      <c r="K348" s="7" t="s">
        <v>35</v>
      </c>
      <c r="L348" s="8"/>
      <c r="M348" s="4"/>
      <c r="N348" s="4"/>
      <c r="O348" s="4"/>
      <c r="P348" s="4"/>
      <c r="Q348" s="4"/>
      <c r="R348" s="7" t="s">
        <v>36</v>
      </c>
      <c r="S348" s="4" t="str">
        <f>'Ingest Template'!J348</f>
        <v/>
      </c>
      <c r="T348" s="4" t="str">
        <f>'Ingest Template'!I348</f>
        <v/>
      </c>
      <c r="U348" s="4" t="str">
        <f>LOWER(SUBSTITUTE(SUBSTITUTE(SUBSTITUTE(SUBSTITUTE(SUBSTITUTE('Ingest Template'!K348,"https:",""),"www.",""),"/",""),"?hl=en",""),"instagram.com",""))</f>
        <v/>
      </c>
      <c r="V348" s="9" t="str">
        <f>'Ingest Template'!L348</f>
        <v/>
      </c>
      <c r="W348" s="9" t="str">
        <f>'Ingest Template'!M348</f>
        <v/>
      </c>
      <c r="X348" s="4" t="str">
        <f>SUBSTITUTE(SUBSTITUTE(SUBSTITUTE('Ingest Template'!N348,"http:",""),"https:",""),"/","")</f>
        <v/>
      </c>
      <c r="Y348" s="4" t="str">
        <f t="array" ref="Y348">IF('Ingest Template'!A348="Standard",(IF(ISBLANK('Ingest Template'!O348),"", 'Ingest Template'!O348&amp;"|DAR")),(IF(ISBLANK('Ingest Template'!O348),"", 'Ingest Template'!O348&amp;"|Film Ops")))</f>
        <v/>
      </c>
      <c r="Z348" s="4"/>
      <c r="AA348" s="4" t="str">
        <f>'Ingest Template'!E348</f>
        <v/>
      </c>
      <c r="AB348" s="7"/>
      <c r="AC348" s="4" t="str">
        <f t="array" ref="AC348">IF('Ingest Template'!A348="Standard",(CONCATENATE(IF(ISBLANK('Ingest Template'!F348),"", 'Ingest Template'!F348&amp;"|DAR"),CHAR(10), IF(ISBLANK('Ingest Template'!G348),"", 'Ingest Template'!G348&amp;"|DAR"),CHAR(10), IF(ISBLANK('Ingest Template'!H348),"", 'Ingest Template'!H348&amp;"|DAR"))),(CONCATENATE(IF(ISBLANK('Ingest Template'!F348),"", 'Ingest Template'!F348&amp;"|Film Ops"),CHAR(10), IF(ISBLANK('Ingest Template'!G348),"", 'Ingest Template'!G348&amp;"|Film Ops"),CHAR(10), IF(ISBLANK('Ingest Template'!H348),"", 'Ingest Template'!H348&amp;"|Film Ops"))))</f>
        <v>
</v>
      </c>
      <c r="AD348" s="4"/>
      <c r="AE348" s="4"/>
      <c r="AF348" s="10"/>
      <c r="AG348" s="4"/>
      <c r="AH348" s="4"/>
    </row>
    <row r="349">
      <c r="A349" s="4"/>
      <c r="B349" s="4" t="str">
        <f>'Ingest Template'!B349&amp;IF('Ingest Template'!A349 = "Standard", " - DAR","")</f>
        <v/>
      </c>
      <c r="C349" s="5" t="s">
        <v>34</v>
      </c>
      <c r="D349" s="5" t="str">
        <f>CONCATENATE('Ingest Template'!C349,'Ingest Template'!D349)</f>
        <v/>
      </c>
      <c r="E349" s="4"/>
      <c r="F349" s="4"/>
      <c r="G349" s="4"/>
      <c r="H349" s="6"/>
      <c r="I349" s="6" t="str">
        <f>iF('Ingest Template'!A349="Standard","Pristine Brand","Unknown")</f>
        <v>Unknown</v>
      </c>
      <c r="J349" s="4" t="str">
        <f>iF('Ingest Template'!A349="Standard","LF // Beverages","Competitive View")</f>
        <v>Competitive View</v>
      </c>
      <c r="K349" s="7" t="s">
        <v>35</v>
      </c>
      <c r="L349" s="8"/>
      <c r="M349" s="4"/>
      <c r="N349" s="4"/>
      <c r="O349" s="4"/>
      <c r="P349" s="4"/>
      <c r="Q349" s="4"/>
      <c r="R349" s="7" t="s">
        <v>36</v>
      </c>
      <c r="S349" s="4" t="str">
        <f>'Ingest Template'!J349</f>
        <v/>
      </c>
      <c r="T349" s="4" t="str">
        <f>'Ingest Template'!I349</f>
        <v/>
      </c>
      <c r="U349" s="4" t="str">
        <f>LOWER(SUBSTITUTE(SUBSTITUTE(SUBSTITUTE(SUBSTITUTE(SUBSTITUTE('Ingest Template'!K349,"https:",""),"www.",""),"/",""),"?hl=en",""),"instagram.com",""))</f>
        <v/>
      </c>
      <c r="V349" s="9" t="str">
        <f>'Ingest Template'!L349</f>
        <v/>
      </c>
      <c r="W349" s="9" t="str">
        <f>'Ingest Template'!M349</f>
        <v/>
      </c>
      <c r="X349" s="4" t="str">
        <f>SUBSTITUTE(SUBSTITUTE(SUBSTITUTE('Ingest Template'!N349,"http:",""),"https:",""),"/","")</f>
        <v/>
      </c>
      <c r="Y349" s="4" t="str">
        <f t="array" ref="Y349">IF('Ingest Template'!A349="Standard",(IF(ISBLANK('Ingest Template'!O349),"", 'Ingest Template'!O349&amp;"|DAR")),(IF(ISBLANK('Ingest Template'!O349),"", 'Ingest Template'!O349&amp;"|Film Ops")))</f>
        <v/>
      </c>
      <c r="Z349" s="4"/>
      <c r="AA349" s="4" t="str">
        <f>'Ingest Template'!E349</f>
        <v/>
      </c>
      <c r="AB349" s="7"/>
      <c r="AC349" s="4" t="str">
        <f t="array" ref="AC349">IF('Ingest Template'!A349="Standard",(CONCATENATE(IF(ISBLANK('Ingest Template'!F349),"", 'Ingest Template'!F349&amp;"|DAR"),CHAR(10), IF(ISBLANK('Ingest Template'!G349),"", 'Ingest Template'!G349&amp;"|DAR"),CHAR(10), IF(ISBLANK('Ingest Template'!H349),"", 'Ingest Template'!H349&amp;"|DAR"))),(CONCATENATE(IF(ISBLANK('Ingest Template'!F349),"", 'Ingest Template'!F349&amp;"|Film Ops"),CHAR(10), IF(ISBLANK('Ingest Template'!G349),"", 'Ingest Template'!G349&amp;"|Film Ops"),CHAR(10), IF(ISBLANK('Ingest Template'!H349),"", 'Ingest Template'!H349&amp;"|Film Ops"))))</f>
        <v>
</v>
      </c>
      <c r="AD349" s="4"/>
      <c r="AE349" s="4"/>
      <c r="AF349" s="10"/>
      <c r="AG349" s="4"/>
      <c r="AH349" s="4"/>
    </row>
    <row r="350">
      <c r="A350" s="4"/>
      <c r="B350" s="4" t="str">
        <f>'Ingest Template'!B350&amp;IF('Ingest Template'!A350 = "Standard", " - DAR","")</f>
        <v/>
      </c>
      <c r="C350" s="5" t="s">
        <v>34</v>
      </c>
      <c r="D350" s="5" t="str">
        <f>CONCATENATE('Ingest Template'!C350,'Ingest Template'!D350)</f>
        <v/>
      </c>
      <c r="E350" s="4"/>
      <c r="F350" s="4"/>
      <c r="G350" s="4"/>
      <c r="H350" s="6"/>
      <c r="I350" s="6" t="str">
        <f>iF('Ingest Template'!A350="Standard","Pristine Brand","Unknown")</f>
        <v>Unknown</v>
      </c>
      <c r="J350" s="4" t="str">
        <f>iF('Ingest Template'!A350="Standard","LF // Beverages","Competitive View")</f>
        <v>Competitive View</v>
      </c>
      <c r="K350" s="7" t="s">
        <v>35</v>
      </c>
      <c r="L350" s="8"/>
      <c r="M350" s="4"/>
      <c r="N350" s="4"/>
      <c r="O350" s="4"/>
      <c r="P350" s="4"/>
      <c r="Q350" s="4"/>
      <c r="R350" s="7" t="s">
        <v>36</v>
      </c>
      <c r="S350" s="4" t="str">
        <f>'Ingest Template'!J350</f>
        <v/>
      </c>
      <c r="T350" s="4" t="str">
        <f>'Ingest Template'!I350</f>
        <v/>
      </c>
      <c r="U350" s="4" t="str">
        <f>LOWER(SUBSTITUTE(SUBSTITUTE(SUBSTITUTE(SUBSTITUTE(SUBSTITUTE('Ingest Template'!K350,"https:",""),"www.",""),"/",""),"?hl=en",""),"instagram.com",""))</f>
        <v/>
      </c>
      <c r="V350" s="9" t="str">
        <f>'Ingest Template'!L350</f>
        <v/>
      </c>
      <c r="W350" s="9" t="str">
        <f>'Ingest Template'!M350</f>
        <v/>
      </c>
      <c r="X350" s="4" t="str">
        <f>SUBSTITUTE(SUBSTITUTE(SUBSTITUTE('Ingest Template'!N350,"http:",""),"https:",""),"/","")</f>
        <v/>
      </c>
      <c r="Y350" s="4" t="str">
        <f t="array" ref="Y350">IF('Ingest Template'!A350="Standard",(IF(ISBLANK('Ingest Template'!O350),"", 'Ingest Template'!O350&amp;"|DAR")),(IF(ISBLANK('Ingest Template'!O350),"", 'Ingest Template'!O350&amp;"|Film Ops")))</f>
        <v/>
      </c>
      <c r="Z350" s="4"/>
      <c r="AA350" s="4" t="str">
        <f>'Ingest Template'!E350</f>
        <v/>
      </c>
      <c r="AB350" s="7"/>
      <c r="AC350" s="4" t="str">
        <f t="array" ref="AC350">IF('Ingest Template'!A350="Standard",(CONCATENATE(IF(ISBLANK('Ingest Template'!F350),"", 'Ingest Template'!F350&amp;"|DAR"),CHAR(10), IF(ISBLANK('Ingest Template'!G350),"", 'Ingest Template'!G350&amp;"|DAR"),CHAR(10), IF(ISBLANK('Ingest Template'!H350),"", 'Ingest Template'!H350&amp;"|DAR"))),(CONCATENATE(IF(ISBLANK('Ingest Template'!F350),"", 'Ingest Template'!F350&amp;"|Film Ops"),CHAR(10), IF(ISBLANK('Ingest Template'!G350),"", 'Ingest Template'!G350&amp;"|Film Ops"),CHAR(10), IF(ISBLANK('Ingest Template'!H350),"", 'Ingest Template'!H350&amp;"|Film Ops"))))</f>
        <v>
</v>
      </c>
      <c r="AD350" s="4"/>
      <c r="AE350" s="4"/>
      <c r="AF350" s="10"/>
      <c r="AG350" s="4"/>
      <c r="AH350" s="4"/>
    </row>
    <row r="351">
      <c r="A351" s="4"/>
      <c r="B351" s="4" t="str">
        <f>'Ingest Template'!B351&amp;IF('Ingest Template'!A351 = "Standard", " - DAR","")</f>
        <v/>
      </c>
      <c r="C351" s="5" t="s">
        <v>34</v>
      </c>
      <c r="D351" s="5" t="str">
        <f>CONCATENATE('Ingest Template'!C351,'Ingest Template'!D351)</f>
        <v/>
      </c>
      <c r="E351" s="4"/>
      <c r="F351" s="4"/>
      <c r="G351" s="4"/>
      <c r="H351" s="6"/>
      <c r="I351" s="6" t="str">
        <f>iF('Ingest Template'!A351="Standard","Pristine Brand","Unknown")</f>
        <v>Unknown</v>
      </c>
      <c r="J351" s="4" t="str">
        <f>iF('Ingest Template'!A351="Standard","LF // Beverages","Competitive View")</f>
        <v>Competitive View</v>
      </c>
      <c r="K351" s="7" t="s">
        <v>35</v>
      </c>
      <c r="L351" s="8"/>
      <c r="M351" s="4"/>
      <c r="N351" s="4"/>
      <c r="O351" s="4"/>
      <c r="P351" s="4"/>
      <c r="Q351" s="4"/>
      <c r="R351" s="7" t="s">
        <v>36</v>
      </c>
      <c r="S351" s="4" t="str">
        <f>'Ingest Template'!J351</f>
        <v/>
      </c>
      <c r="T351" s="4" t="str">
        <f>'Ingest Template'!I351</f>
        <v/>
      </c>
      <c r="U351" s="4" t="str">
        <f>LOWER(SUBSTITUTE(SUBSTITUTE(SUBSTITUTE(SUBSTITUTE(SUBSTITUTE('Ingest Template'!K351,"https:",""),"www.",""),"/",""),"?hl=en",""),"instagram.com",""))</f>
        <v/>
      </c>
      <c r="V351" s="9" t="str">
        <f>'Ingest Template'!L351</f>
        <v/>
      </c>
      <c r="W351" s="9" t="str">
        <f>'Ingest Template'!M351</f>
        <v/>
      </c>
      <c r="X351" s="4" t="str">
        <f>SUBSTITUTE(SUBSTITUTE(SUBSTITUTE('Ingest Template'!N351,"http:",""),"https:",""),"/","")</f>
        <v/>
      </c>
      <c r="Y351" s="4" t="str">
        <f t="array" ref="Y351">IF('Ingest Template'!A351="Standard",(IF(ISBLANK('Ingest Template'!O351),"", 'Ingest Template'!O351&amp;"|DAR")),(IF(ISBLANK('Ingest Template'!O351),"", 'Ingest Template'!O351&amp;"|Film Ops")))</f>
        <v/>
      </c>
      <c r="Z351" s="4"/>
      <c r="AA351" s="4" t="str">
        <f>'Ingest Template'!E351</f>
        <v/>
      </c>
      <c r="AB351" s="7"/>
      <c r="AC351" s="4" t="str">
        <f t="array" ref="AC351">IF('Ingest Template'!A351="Standard",(CONCATENATE(IF(ISBLANK('Ingest Template'!F351),"", 'Ingest Template'!F351&amp;"|DAR"),CHAR(10), IF(ISBLANK('Ingest Template'!G351),"", 'Ingest Template'!G351&amp;"|DAR"),CHAR(10), IF(ISBLANK('Ingest Template'!H351),"", 'Ingest Template'!H351&amp;"|DAR"))),(CONCATENATE(IF(ISBLANK('Ingest Template'!F351),"", 'Ingest Template'!F351&amp;"|Film Ops"),CHAR(10), IF(ISBLANK('Ingest Template'!G351),"", 'Ingest Template'!G351&amp;"|Film Ops"),CHAR(10), IF(ISBLANK('Ingest Template'!H351),"", 'Ingest Template'!H351&amp;"|Film Ops"))))</f>
        <v>
</v>
      </c>
      <c r="AD351" s="4"/>
      <c r="AE351" s="4"/>
      <c r="AF351" s="10"/>
      <c r="AG351" s="4"/>
      <c r="AH351" s="4"/>
    </row>
    <row r="352">
      <c r="A352" s="4"/>
      <c r="B352" s="4" t="str">
        <f>'Ingest Template'!B352&amp;IF('Ingest Template'!A352 = "Standard", " - DAR","")</f>
        <v/>
      </c>
      <c r="C352" s="5" t="s">
        <v>34</v>
      </c>
      <c r="D352" s="5" t="str">
        <f>CONCATENATE('Ingest Template'!C352,'Ingest Template'!D352)</f>
        <v/>
      </c>
      <c r="E352" s="4"/>
      <c r="F352" s="4"/>
      <c r="G352" s="4"/>
      <c r="H352" s="6"/>
      <c r="I352" s="6" t="str">
        <f>iF('Ingest Template'!A352="Standard","Pristine Brand","Unknown")</f>
        <v>Unknown</v>
      </c>
      <c r="J352" s="4" t="str">
        <f>iF('Ingest Template'!A352="Standard","LF // Beverages","Competitive View")</f>
        <v>Competitive View</v>
      </c>
      <c r="K352" s="7" t="s">
        <v>35</v>
      </c>
      <c r="L352" s="8"/>
      <c r="M352" s="4"/>
      <c r="N352" s="4"/>
      <c r="O352" s="4"/>
      <c r="P352" s="4"/>
      <c r="Q352" s="4"/>
      <c r="R352" s="7" t="s">
        <v>36</v>
      </c>
      <c r="S352" s="4" t="str">
        <f>'Ingest Template'!J352</f>
        <v/>
      </c>
      <c r="T352" s="4" t="str">
        <f>'Ingest Template'!I352</f>
        <v/>
      </c>
      <c r="U352" s="4" t="str">
        <f>LOWER(SUBSTITUTE(SUBSTITUTE(SUBSTITUTE(SUBSTITUTE(SUBSTITUTE('Ingest Template'!K352,"https:",""),"www.",""),"/",""),"?hl=en",""),"instagram.com",""))</f>
        <v/>
      </c>
      <c r="V352" s="9" t="str">
        <f>'Ingest Template'!L352</f>
        <v/>
      </c>
      <c r="W352" s="9" t="str">
        <f>'Ingest Template'!M352</f>
        <v/>
      </c>
      <c r="X352" s="4" t="str">
        <f>SUBSTITUTE(SUBSTITUTE(SUBSTITUTE('Ingest Template'!N352,"http:",""),"https:",""),"/","")</f>
        <v/>
      </c>
      <c r="Y352" s="4" t="str">
        <f t="array" ref="Y352">IF('Ingest Template'!A352="Standard",(IF(ISBLANK('Ingest Template'!O352),"", 'Ingest Template'!O352&amp;"|DAR")),(IF(ISBLANK('Ingest Template'!O352),"", 'Ingest Template'!O352&amp;"|Film Ops")))</f>
        <v/>
      </c>
      <c r="Z352" s="4"/>
      <c r="AA352" s="4" t="str">
        <f>'Ingest Template'!E352</f>
        <v/>
      </c>
      <c r="AB352" s="7"/>
      <c r="AC352" s="4" t="str">
        <f t="array" ref="AC352">IF('Ingest Template'!A352="Standard",(CONCATENATE(IF(ISBLANK('Ingest Template'!F352),"", 'Ingest Template'!F352&amp;"|DAR"),CHAR(10), IF(ISBLANK('Ingest Template'!G352),"", 'Ingest Template'!G352&amp;"|DAR"),CHAR(10), IF(ISBLANK('Ingest Template'!H352),"", 'Ingest Template'!H352&amp;"|DAR"))),(CONCATENATE(IF(ISBLANK('Ingest Template'!F352),"", 'Ingest Template'!F352&amp;"|Film Ops"),CHAR(10), IF(ISBLANK('Ingest Template'!G352),"", 'Ingest Template'!G352&amp;"|Film Ops"),CHAR(10), IF(ISBLANK('Ingest Template'!H352),"", 'Ingest Template'!H352&amp;"|Film Ops"))))</f>
        <v>
</v>
      </c>
      <c r="AD352" s="4"/>
      <c r="AE352" s="4"/>
      <c r="AF352" s="10"/>
      <c r="AG352" s="4"/>
      <c r="AH352" s="4"/>
    </row>
    <row r="353">
      <c r="A353" s="4"/>
      <c r="B353" s="4" t="str">
        <f>'Ingest Template'!B353&amp;IF('Ingest Template'!A353 = "Standard", " - DAR","")</f>
        <v/>
      </c>
      <c r="C353" s="5" t="s">
        <v>34</v>
      </c>
      <c r="D353" s="5" t="str">
        <f>CONCATENATE('Ingest Template'!C353,'Ingest Template'!D353)</f>
        <v/>
      </c>
      <c r="E353" s="4"/>
      <c r="F353" s="4"/>
      <c r="G353" s="4"/>
      <c r="H353" s="6"/>
      <c r="I353" s="6" t="str">
        <f>iF('Ingest Template'!A353="Standard","Pristine Brand","Unknown")</f>
        <v>Unknown</v>
      </c>
      <c r="J353" s="4" t="str">
        <f>iF('Ingest Template'!A353="Standard","LF // Beverages","Competitive View")</f>
        <v>Competitive View</v>
      </c>
      <c r="K353" s="7" t="s">
        <v>35</v>
      </c>
      <c r="L353" s="8"/>
      <c r="M353" s="4"/>
      <c r="N353" s="4"/>
      <c r="O353" s="4"/>
      <c r="P353" s="4"/>
      <c r="Q353" s="4"/>
      <c r="R353" s="7" t="s">
        <v>36</v>
      </c>
      <c r="S353" s="4" t="str">
        <f>'Ingest Template'!J353</f>
        <v/>
      </c>
      <c r="T353" s="4" t="str">
        <f>'Ingest Template'!I353</f>
        <v/>
      </c>
      <c r="U353" s="4" t="str">
        <f>LOWER(SUBSTITUTE(SUBSTITUTE(SUBSTITUTE(SUBSTITUTE(SUBSTITUTE('Ingest Template'!K353,"https:",""),"www.",""),"/",""),"?hl=en",""),"instagram.com",""))</f>
        <v/>
      </c>
      <c r="V353" s="9" t="str">
        <f>'Ingest Template'!L353</f>
        <v/>
      </c>
      <c r="W353" s="9" t="str">
        <f>'Ingest Template'!M353</f>
        <v/>
      </c>
      <c r="X353" s="4" t="str">
        <f>SUBSTITUTE(SUBSTITUTE(SUBSTITUTE('Ingest Template'!N353,"http:",""),"https:",""),"/","")</f>
        <v/>
      </c>
      <c r="Y353" s="4" t="str">
        <f t="array" ref="Y353">IF('Ingest Template'!A353="Standard",(IF(ISBLANK('Ingest Template'!O353),"", 'Ingest Template'!O353&amp;"|DAR")),(IF(ISBLANK('Ingest Template'!O353),"", 'Ingest Template'!O353&amp;"|Film Ops")))</f>
        <v/>
      </c>
      <c r="Z353" s="4"/>
      <c r="AA353" s="4" t="str">
        <f>'Ingest Template'!E353</f>
        <v/>
      </c>
      <c r="AB353" s="7"/>
      <c r="AC353" s="4" t="str">
        <f t="array" ref="AC353">IF('Ingest Template'!A353="Standard",(CONCATENATE(IF(ISBLANK('Ingest Template'!F353),"", 'Ingest Template'!F353&amp;"|DAR"),CHAR(10), IF(ISBLANK('Ingest Template'!G353),"", 'Ingest Template'!G353&amp;"|DAR"),CHAR(10), IF(ISBLANK('Ingest Template'!H353),"", 'Ingest Template'!H353&amp;"|DAR"))),(CONCATENATE(IF(ISBLANK('Ingest Template'!F353),"", 'Ingest Template'!F353&amp;"|Film Ops"),CHAR(10), IF(ISBLANK('Ingest Template'!G353),"", 'Ingest Template'!G353&amp;"|Film Ops"),CHAR(10), IF(ISBLANK('Ingest Template'!H353),"", 'Ingest Template'!H353&amp;"|Film Ops"))))</f>
        <v>
</v>
      </c>
      <c r="AD353" s="4"/>
      <c r="AE353" s="4"/>
      <c r="AF353" s="10"/>
      <c r="AG353" s="4"/>
      <c r="AH353" s="4"/>
    </row>
    <row r="354">
      <c r="A354" s="4"/>
      <c r="B354" s="4" t="str">
        <f>'Ingest Template'!B354&amp;IF('Ingest Template'!A354 = "Standard", " - DAR","")</f>
        <v/>
      </c>
      <c r="C354" s="5" t="s">
        <v>34</v>
      </c>
      <c r="D354" s="5" t="str">
        <f>CONCATENATE('Ingest Template'!C354,'Ingest Template'!D354)</f>
        <v/>
      </c>
      <c r="E354" s="4"/>
      <c r="F354" s="4"/>
      <c r="G354" s="4"/>
      <c r="H354" s="6"/>
      <c r="I354" s="6" t="str">
        <f>iF('Ingest Template'!A354="Standard","Pristine Brand","Unknown")</f>
        <v>Unknown</v>
      </c>
      <c r="J354" s="4" t="str">
        <f>iF('Ingest Template'!A354="Standard","LF // Beverages","Competitive View")</f>
        <v>Competitive View</v>
      </c>
      <c r="K354" s="7" t="s">
        <v>35</v>
      </c>
      <c r="L354" s="8"/>
      <c r="M354" s="4"/>
      <c r="N354" s="4"/>
      <c r="O354" s="4"/>
      <c r="P354" s="4"/>
      <c r="Q354" s="4"/>
      <c r="R354" s="7" t="s">
        <v>36</v>
      </c>
      <c r="S354" s="4" t="str">
        <f>'Ingest Template'!J354</f>
        <v/>
      </c>
      <c r="T354" s="4" t="str">
        <f>'Ingest Template'!I354</f>
        <v/>
      </c>
      <c r="U354" s="4" t="str">
        <f>LOWER(SUBSTITUTE(SUBSTITUTE(SUBSTITUTE(SUBSTITUTE(SUBSTITUTE('Ingest Template'!K354,"https:",""),"www.",""),"/",""),"?hl=en",""),"instagram.com",""))</f>
        <v/>
      </c>
      <c r="V354" s="9" t="str">
        <f>'Ingest Template'!L354</f>
        <v/>
      </c>
      <c r="W354" s="9" t="str">
        <f>'Ingest Template'!M354</f>
        <v/>
      </c>
      <c r="X354" s="4" t="str">
        <f>SUBSTITUTE(SUBSTITUTE(SUBSTITUTE('Ingest Template'!N354,"http:",""),"https:",""),"/","")</f>
        <v/>
      </c>
      <c r="Y354" s="4" t="str">
        <f t="array" ref="Y354">IF('Ingest Template'!A354="Standard",(IF(ISBLANK('Ingest Template'!O354),"", 'Ingest Template'!O354&amp;"|DAR")),(IF(ISBLANK('Ingest Template'!O354),"", 'Ingest Template'!O354&amp;"|Film Ops")))</f>
        <v/>
      </c>
      <c r="Z354" s="4"/>
      <c r="AA354" s="4" t="str">
        <f>'Ingest Template'!E354</f>
        <v/>
      </c>
      <c r="AB354" s="7"/>
      <c r="AC354" s="4" t="str">
        <f t="array" ref="AC354">IF('Ingest Template'!A354="Standard",(CONCATENATE(IF(ISBLANK('Ingest Template'!F354),"", 'Ingest Template'!F354&amp;"|DAR"),CHAR(10), IF(ISBLANK('Ingest Template'!G354),"", 'Ingest Template'!G354&amp;"|DAR"),CHAR(10), IF(ISBLANK('Ingest Template'!H354),"", 'Ingest Template'!H354&amp;"|DAR"))),(CONCATENATE(IF(ISBLANK('Ingest Template'!F354),"", 'Ingest Template'!F354&amp;"|Film Ops"),CHAR(10), IF(ISBLANK('Ingest Template'!G354),"", 'Ingest Template'!G354&amp;"|Film Ops"),CHAR(10), IF(ISBLANK('Ingest Template'!H354),"", 'Ingest Template'!H354&amp;"|Film Ops"))))</f>
        <v>
</v>
      </c>
      <c r="AD354" s="4"/>
      <c r="AE354" s="4"/>
      <c r="AF354" s="10"/>
      <c r="AG354" s="4"/>
      <c r="AH354" s="4"/>
    </row>
    <row r="355">
      <c r="A355" s="4"/>
      <c r="B355" s="4" t="str">
        <f>'Ingest Template'!B355&amp;IF('Ingest Template'!A355 = "Standard", " - DAR","")</f>
        <v/>
      </c>
      <c r="C355" s="5" t="s">
        <v>34</v>
      </c>
      <c r="D355" s="5" t="str">
        <f>CONCATENATE('Ingest Template'!C355,'Ingest Template'!D355)</f>
        <v/>
      </c>
      <c r="E355" s="4"/>
      <c r="F355" s="4"/>
      <c r="G355" s="4"/>
      <c r="H355" s="6"/>
      <c r="I355" s="6" t="str">
        <f>iF('Ingest Template'!A355="Standard","Pristine Brand","Unknown")</f>
        <v>Unknown</v>
      </c>
      <c r="J355" s="4" t="str">
        <f>iF('Ingest Template'!A355="Standard","LF // Beverages","Competitive View")</f>
        <v>Competitive View</v>
      </c>
      <c r="K355" s="7" t="s">
        <v>35</v>
      </c>
      <c r="L355" s="8"/>
      <c r="M355" s="4"/>
      <c r="N355" s="4"/>
      <c r="O355" s="4"/>
      <c r="P355" s="4"/>
      <c r="Q355" s="4"/>
      <c r="R355" s="7" t="s">
        <v>36</v>
      </c>
      <c r="S355" s="4" t="str">
        <f>'Ingest Template'!J355</f>
        <v/>
      </c>
      <c r="T355" s="4" t="str">
        <f>'Ingest Template'!I355</f>
        <v/>
      </c>
      <c r="U355" s="4" t="str">
        <f>LOWER(SUBSTITUTE(SUBSTITUTE(SUBSTITUTE(SUBSTITUTE(SUBSTITUTE('Ingest Template'!K355,"https:",""),"www.",""),"/",""),"?hl=en",""),"instagram.com",""))</f>
        <v/>
      </c>
      <c r="V355" s="9" t="str">
        <f>'Ingest Template'!L355</f>
        <v/>
      </c>
      <c r="W355" s="9" t="str">
        <f>'Ingest Template'!M355</f>
        <v/>
      </c>
      <c r="X355" s="4" t="str">
        <f>SUBSTITUTE(SUBSTITUTE(SUBSTITUTE('Ingest Template'!N355,"http:",""),"https:",""),"/","")</f>
        <v/>
      </c>
      <c r="Y355" s="4" t="str">
        <f t="array" ref="Y355">IF('Ingest Template'!A355="Standard",(IF(ISBLANK('Ingest Template'!O355),"", 'Ingest Template'!O355&amp;"|DAR")),(IF(ISBLANK('Ingest Template'!O355),"", 'Ingest Template'!O355&amp;"|Film Ops")))</f>
        <v/>
      </c>
      <c r="Z355" s="4"/>
      <c r="AA355" s="4" t="str">
        <f>'Ingest Template'!E355</f>
        <v/>
      </c>
      <c r="AB355" s="7"/>
      <c r="AC355" s="4" t="str">
        <f t="array" ref="AC355">IF('Ingest Template'!A355="Standard",(CONCATENATE(IF(ISBLANK('Ingest Template'!F355),"", 'Ingest Template'!F355&amp;"|DAR"),CHAR(10), IF(ISBLANK('Ingest Template'!G355),"", 'Ingest Template'!G355&amp;"|DAR"),CHAR(10), IF(ISBLANK('Ingest Template'!H355),"", 'Ingest Template'!H355&amp;"|DAR"))),(CONCATENATE(IF(ISBLANK('Ingest Template'!F355),"", 'Ingest Template'!F355&amp;"|Film Ops"),CHAR(10), IF(ISBLANK('Ingest Template'!G355),"", 'Ingest Template'!G355&amp;"|Film Ops"),CHAR(10), IF(ISBLANK('Ingest Template'!H355),"", 'Ingest Template'!H355&amp;"|Film Ops"))))</f>
        <v>
</v>
      </c>
      <c r="AD355" s="4"/>
      <c r="AE355" s="4"/>
      <c r="AF355" s="10"/>
      <c r="AG355" s="4"/>
      <c r="AH355" s="4"/>
    </row>
    <row r="356">
      <c r="A356" s="4"/>
      <c r="B356" s="4" t="str">
        <f>'Ingest Template'!B356&amp;IF('Ingest Template'!A356 = "Standard", " - DAR","")</f>
        <v/>
      </c>
      <c r="C356" s="5" t="s">
        <v>34</v>
      </c>
      <c r="D356" s="5" t="str">
        <f>CONCATENATE('Ingest Template'!C356,'Ingest Template'!D356)</f>
        <v/>
      </c>
      <c r="E356" s="4"/>
      <c r="F356" s="4"/>
      <c r="G356" s="4"/>
      <c r="H356" s="6"/>
      <c r="I356" s="6" t="str">
        <f>iF('Ingest Template'!A356="Standard","Pristine Brand","Unknown")</f>
        <v>Unknown</v>
      </c>
      <c r="J356" s="4" t="str">
        <f>iF('Ingest Template'!A356="Standard","LF // Beverages","Competitive View")</f>
        <v>Competitive View</v>
      </c>
      <c r="K356" s="7" t="s">
        <v>35</v>
      </c>
      <c r="L356" s="8"/>
      <c r="M356" s="4"/>
      <c r="N356" s="4"/>
      <c r="O356" s="4"/>
      <c r="P356" s="4"/>
      <c r="Q356" s="4"/>
      <c r="R356" s="7" t="s">
        <v>36</v>
      </c>
      <c r="S356" s="4" t="str">
        <f>'Ingest Template'!J356</f>
        <v/>
      </c>
      <c r="T356" s="4" t="str">
        <f>'Ingest Template'!I356</f>
        <v/>
      </c>
      <c r="U356" s="4" t="str">
        <f>LOWER(SUBSTITUTE(SUBSTITUTE(SUBSTITUTE(SUBSTITUTE(SUBSTITUTE('Ingest Template'!K356,"https:",""),"www.",""),"/",""),"?hl=en",""),"instagram.com",""))</f>
        <v/>
      </c>
      <c r="V356" s="9" t="str">
        <f>'Ingest Template'!L356</f>
        <v/>
      </c>
      <c r="W356" s="9" t="str">
        <f>'Ingest Template'!M356</f>
        <v/>
      </c>
      <c r="X356" s="4" t="str">
        <f>SUBSTITUTE(SUBSTITUTE(SUBSTITUTE('Ingest Template'!N356,"http:",""),"https:",""),"/","")</f>
        <v/>
      </c>
      <c r="Y356" s="4" t="str">
        <f t="array" ref="Y356">IF('Ingest Template'!A356="Standard",(IF(ISBLANK('Ingest Template'!O356),"", 'Ingest Template'!O356&amp;"|DAR")),(IF(ISBLANK('Ingest Template'!O356),"", 'Ingest Template'!O356&amp;"|Film Ops")))</f>
        <v/>
      </c>
      <c r="Z356" s="4"/>
      <c r="AA356" s="4" t="str">
        <f>'Ingest Template'!E356</f>
        <v/>
      </c>
      <c r="AB356" s="7"/>
      <c r="AC356" s="4" t="str">
        <f t="array" ref="AC356">IF('Ingest Template'!A356="Standard",(CONCATENATE(IF(ISBLANK('Ingest Template'!F356),"", 'Ingest Template'!F356&amp;"|DAR"),CHAR(10), IF(ISBLANK('Ingest Template'!G356),"", 'Ingest Template'!G356&amp;"|DAR"),CHAR(10), IF(ISBLANK('Ingest Template'!H356),"", 'Ingest Template'!H356&amp;"|DAR"))),(CONCATENATE(IF(ISBLANK('Ingest Template'!F356),"", 'Ingest Template'!F356&amp;"|Film Ops"),CHAR(10), IF(ISBLANK('Ingest Template'!G356),"", 'Ingest Template'!G356&amp;"|Film Ops"),CHAR(10), IF(ISBLANK('Ingest Template'!H356),"", 'Ingest Template'!H356&amp;"|Film Ops"))))</f>
        <v>
</v>
      </c>
      <c r="AD356" s="4"/>
      <c r="AE356" s="4"/>
      <c r="AF356" s="10"/>
      <c r="AG356" s="4"/>
      <c r="AH356" s="4"/>
    </row>
    <row r="357">
      <c r="A357" s="4"/>
      <c r="B357" s="4" t="str">
        <f>'Ingest Template'!B357&amp;IF('Ingest Template'!A357 = "Standard", " - DAR","")</f>
        <v/>
      </c>
      <c r="C357" s="5" t="s">
        <v>34</v>
      </c>
      <c r="D357" s="5" t="str">
        <f>CONCATENATE('Ingest Template'!C357,'Ingest Template'!D357)</f>
        <v/>
      </c>
      <c r="E357" s="4"/>
      <c r="F357" s="4"/>
      <c r="G357" s="4"/>
      <c r="H357" s="6"/>
      <c r="I357" s="6" t="str">
        <f>iF('Ingest Template'!A357="Standard","Pristine Brand","Unknown")</f>
        <v>Unknown</v>
      </c>
      <c r="J357" s="4" t="str">
        <f>iF('Ingest Template'!A357="Standard","LF // Beverages","Competitive View")</f>
        <v>Competitive View</v>
      </c>
      <c r="K357" s="7" t="s">
        <v>35</v>
      </c>
      <c r="L357" s="8"/>
      <c r="M357" s="4"/>
      <c r="N357" s="4"/>
      <c r="O357" s="4"/>
      <c r="P357" s="4"/>
      <c r="Q357" s="4"/>
      <c r="R357" s="7" t="s">
        <v>36</v>
      </c>
      <c r="S357" s="4" t="str">
        <f>'Ingest Template'!J357</f>
        <v/>
      </c>
      <c r="T357" s="4" t="str">
        <f>'Ingest Template'!I357</f>
        <v/>
      </c>
      <c r="U357" s="4" t="str">
        <f>LOWER(SUBSTITUTE(SUBSTITUTE(SUBSTITUTE(SUBSTITUTE(SUBSTITUTE('Ingest Template'!K357,"https:",""),"www.",""),"/",""),"?hl=en",""),"instagram.com",""))</f>
        <v/>
      </c>
      <c r="V357" s="9" t="str">
        <f>'Ingest Template'!L357</f>
        <v/>
      </c>
      <c r="W357" s="9" t="str">
        <f>'Ingest Template'!M357</f>
        <v/>
      </c>
      <c r="X357" s="4" t="str">
        <f>SUBSTITUTE(SUBSTITUTE(SUBSTITUTE('Ingest Template'!N357,"http:",""),"https:",""),"/","")</f>
        <v/>
      </c>
      <c r="Y357" s="4" t="str">
        <f t="array" ref="Y357">IF('Ingest Template'!A357="Standard",(IF(ISBLANK('Ingest Template'!O357),"", 'Ingest Template'!O357&amp;"|DAR")),(IF(ISBLANK('Ingest Template'!O357),"", 'Ingest Template'!O357&amp;"|Film Ops")))</f>
        <v/>
      </c>
      <c r="Z357" s="4"/>
      <c r="AA357" s="4" t="str">
        <f>'Ingest Template'!E357</f>
        <v/>
      </c>
      <c r="AB357" s="7"/>
      <c r="AC357" s="4" t="str">
        <f t="array" ref="AC357">IF('Ingest Template'!A357="Standard",(CONCATENATE(IF(ISBLANK('Ingest Template'!F357),"", 'Ingest Template'!F357&amp;"|DAR"),CHAR(10), IF(ISBLANK('Ingest Template'!G357),"", 'Ingest Template'!G357&amp;"|DAR"),CHAR(10), IF(ISBLANK('Ingest Template'!H357),"", 'Ingest Template'!H357&amp;"|DAR"))),(CONCATENATE(IF(ISBLANK('Ingest Template'!F357),"", 'Ingest Template'!F357&amp;"|Film Ops"),CHAR(10), IF(ISBLANK('Ingest Template'!G357),"", 'Ingest Template'!G357&amp;"|Film Ops"),CHAR(10), IF(ISBLANK('Ingest Template'!H357),"", 'Ingest Template'!H357&amp;"|Film Ops"))))</f>
        <v>
</v>
      </c>
      <c r="AD357" s="4"/>
      <c r="AE357" s="4"/>
      <c r="AF357" s="10"/>
      <c r="AG357" s="4"/>
      <c r="AH357" s="4"/>
    </row>
    <row r="358">
      <c r="A358" s="4"/>
      <c r="B358" s="4" t="str">
        <f>'Ingest Template'!B358&amp;IF('Ingest Template'!A358 = "Standard", " - DAR","")</f>
        <v/>
      </c>
      <c r="C358" s="5" t="s">
        <v>34</v>
      </c>
      <c r="D358" s="5" t="str">
        <f>CONCATENATE('Ingest Template'!C358,'Ingest Template'!D358)</f>
        <v/>
      </c>
      <c r="E358" s="4"/>
      <c r="F358" s="4"/>
      <c r="G358" s="4"/>
      <c r="H358" s="6"/>
      <c r="I358" s="6" t="str">
        <f>iF('Ingest Template'!A358="Standard","Pristine Brand","Unknown")</f>
        <v>Unknown</v>
      </c>
      <c r="J358" s="4" t="str">
        <f>iF('Ingest Template'!A358="Standard","LF // Beverages","Competitive View")</f>
        <v>Competitive View</v>
      </c>
      <c r="K358" s="7" t="s">
        <v>35</v>
      </c>
      <c r="L358" s="8"/>
      <c r="M358" s="4"/>
      <c r="N358" s="4"/>
      <c r="O358" s="4"/>
      <c r="P358" s="4"/>
      <c r="Q358" s="4"/>
      <c r="R358" s="7" t="s">
        <v>36</v>
      </c>
      <c r="S358" s="4" t="str">
        <f>'Ingest Template'!J358</f>
        <v/>
      </c>
      <c r="T358" s="4" t="str">
        <f>'Ingest Template'!I358</f>
        <v/>
      </c>
      <c r="U358" s="4" t="str">
        <f>LOWER(SUBSTITUTE(SUBSTITUTE(SUBSTITUTE(SUBSTITUTE(SUBSTITUTE('Ingest Template'!K358,"https:",""),"www.",""),"/",""),"?hl=en",""),"instagram.com",""))</f>
        <v/>
      </c>
      <c r="V358" s="9" t="str">
        <f>'Ingest Template'!L358</f>
        <v/>
      </c>
      <c r="W358" s="9" t="str">
        <f>'Ingest Template'!M358</f>
        <v/>
      </c>
      <c r="X358" s="4" t="str">
        <f>SUBSTITUTE(SUBSTITUTE(SUBSTITUTE('Ingest Template'!N358,"http:",""),"https:",""),"/","")</f>
        <v/>
      </c>
      <c r="Y358" s="4" t="str">
        <f t="array" ref="Y358">IF('Ingest Template'!A358="Standard",(IF(ISBLANK('Ingest Template'!O358),"", 'Ingest Template'!O358&amp;"|DAR")),(IF(ISBLANK('Ingest Template'!O358),"", 'Ingest Template'!O358&amp;"|Film Ops")))</f>
        <v/>
      </c>
      <c r="Z358" s="4"/>
      <c r="AA358" s="4" t="str">
        <f>'Ingest Template'!E358</f>
        <v/>
      </c>
      <c r="AB358" s="7"/>
      <c r="AC358" s="4" t="str">
        <f t="array" ref="AC358">IF('Ingest Template'!A358="Standard",(CONCATENATE(IF(ISBLANK('Ingest Template'!F358),"", 'Ingest Template'!F358&amp;"|DAR"),CHAR(10), IF(ISBLANK('Ingest Template'!G358),"", 'Ingest Template'!G358&amp;"|DAR"),CHAR(10), IF(ISBLANK('Ingest Template'!H358),"", 'Ingest Template'!H358&amp;"|DAR"))),(CONCATENATE(IF(ISBLANK('Ingest Template'!F358),"", 'Ingest Template'!F358&amp;"|Film Ops"),CHAR(10), IF(ISBLANK('Ingest Template'!G358),"", 'Ingest Template'!G358&amp;"|Film Ops"),CHAR(10), IF(ISBLANK('Ingest Template'!H358),"", 'Ingest Template'!H358&amp;"|Film Ops"))))</f>
        <v>
</v>
      </c>
      <c r="AD358" s="4"/>
      <c r="AE358" s="4"/>
      <c r="AF358" s="10"/>
      <c r="AG358" s="4"/>
      <c r="AH358" s="4"/>
    </row>
    <row r="359">
      <c r="A359" s="4"/>
      <c r="B359" s="4" t="str">
        <f>'Ingest Template'!B359&amp;IF('Ingest Template'!A359 = "Standard", " - DAR","")</f>
        <v/>
      </c>
      <c r="C359" s="5" t="s">
        <v>34</v>
      </c>
      <c r="D359" s="5" t="str">
        <f>CONCATENATE('Ingest Template'!C359,'Ingest Template'!D359)</f>
        <v/>
      </c>
      <c r="E359" s="4"/>
      <c r="F359" s="4"/>
      <c r="G359" s="4"/>
      <c r="H359" s="6"/>
      <c r="I359" s="6" t="str">
        <f>iF('Ingest Template'!A359="Standard","Pristine Brand","Unknown")</f>
        <v>Unknown</v>
      </c>
      <c r="J359" s="4" t="str">
        <f>iF('Ingest Template'!A359="Standard","LF // Beverages","Competitive View")</f>
        <v>Competitive View</v>
      </c>
      <c r="K359" s="7" t="s">
        <v>35</v>
      </c>
      <c r="L359" s="8"/>
      <c r="M359" s="4"/>
      <c r="N359" s="4"/>
      <c r="O359" s="4"/>
      <c r="P359" s="4"/>
      <c r="Q359" s="4"/>
      <c r="R359" s="7" t="s">
        <v>36</v>
      </c>
      <c r="S359" s="4" t="str">
        <f>'Ingest Template'!J359</f>
        <v/>
      </c>
      <c r="T359" s="4" t="str">
        <f>'Ingest Template'!I359</f>
        <v/>
      </c>
      <c r="U359" s="4" t="str">
        <f>LOWER(SUBSTITUTE(SUBSTITUTE(SUBSTITUTE(SUBSTITUTE(SUBSTITUTE('Ingest Template'!K359,"https:",""),"www.",""),"/",""),"?hl=en",""),"instagram.com",""))</f>
        <v/>
      </c>
      <c r="V359" s="9" t="str">
        <f>'Ingest Template'!L359</f>
        <v/>
      </c>
      <c r="W359" s="9" t="str">
        <f>'Ingest Template'!M359</f>
        <v/>
      </c>
      <c r="X359" s="4" t="str">
        <f>SUBSTITUTE(SUBSTITUTE(SUBSTITUTE('Ingest Template'!N359,"http:",""),"https:",""),"/","")</f>
        <v/>
      </c>
      <c r="Y359" s="4" t="str">
        <f t="array" ref="Y359">IF('Ingest Template'!A359="Standard",(IF(ISBLANK('Ingest Template'!O359),"", 'Ingest Template'!O359&amp;"|DAR")),(IF(ISBLANK('Ingest Template'!O359),"", 'Ingest Template'!O359&amp;"|Film Ops")))</f>
        <v/>
      </c>
      <c r="Z359" s="4"/>
      <c r="AA359" s="4" t="str">
        <f>'Ingest Template'!E359</f>
        <v/>
      </c>
      <c r="AB359" s="7"/>
      <c r="AC359" s="4" t="str">
        <f t="array" ref="AC359">IF('Ingest Template'!A359="Standard",(CONCATENATE(IF(ISBLANK('Ingest Template'!F359),"", 'Ingest Template'!F359&amp;"|DAR"),CHAR(10), IF(ISBLANK('Ingest Template'!G359),"", 'Ingest Template'!G359&amp;"|DAR"),CHAR(10), IF(ISBLANK('Ingest Template'!H359),"", 'Ingest Template'!H359&amp;"|DAR"))),(CONCATENATE(IF(ISBLANK('Ingest Template'!F359),"", 'Ingest Template'!F359&amp;"|Film Ops"),CHAR(10), IF(ISBLANK('Ingest Template'!G359),"", 'Ingest Template'!G359&amp;"|Film Ops"),CHAR(10), IF(ISBLANK('Ingest Template'!H359),"", 'Ingest Template'!H359&amp;"|Film Ops"))))</f>
        <v>
</v>
      </c>
      <c r="AD359" s="4"/>
      <c r="AE359" s="4"/>
      <c r="AF359" s="10"/>
      <c r="AG359" s="4"/>
      <c r="AH359" s="4"/>
    </row>
    <row r="360">
      <c r="A360" s="4"/>
      <c r="B360" s="4" t="str">
        <f>'Ingest Template'!B360&amp;IF('Ingest Template'!A360 = "Standard", " - DAR","")</f>
        <v/>
      </c>
      <c r="C360" s="5" t="s">
        <v>34</v>
      </c>
      <c r="D360" s="5" t="str">
        <f>CONCATENATE('Ingest Template'!C360,'Ingest Template'!D360)</f>
        <v/>
      </c>
      <c r="E360" s="4"/>
      <c r="F360" s="4"/>
      <c r="G360" s="4"/>
      <c r="H360" s="6"/>
      <c r="I360" s="6" t="str">
        <f>iF('Ingest Template'!A360="Standard","Pristine Brand","Unknown")</f>
        <v>Unknown</v>
      </c>
      <c r="J360" s="4" t="str">
        <f>iF('Ingest Template'!A360="Standard","LF // Beverages","Competitive View")</f>
        <v>Competitive View</v>
      </c>
      <c r="K360" s="7" t="s">
        <v>35</v>
      </c>
      <c r="L360" s="8"/>
      <c r="M360" s="4"/>
      <c r="N360" s="4"/>
      <c r="O360" s="4"/>
      <c r="P360" s="4"/>
      <c r="Q360" s="4"/>
      <c r="R360" s="7" t="s">
        <v>36</v>
      </c>
      <c r="S360" s="4" t="str">
        <f>'Ingest Template'!J360</f>
        <v/>
      </c>
      <c r="T360" s="4" t="str">
        <f>'Ingest Template'!I360</f>
        <v/>
      </c>
      <c r="U360" s="4" t="str">
        <f>LOWER(SUBSTITUTE(SUBSTITUTE(SUBSTITUTE(SUBSTITUTE(SUBSTITUTE('Ingest Template'!K360,"https:",""),"www.",""),"/",""),"?hl=en",""),"instagram.com",""))</f>
        <v/>
      </c>
      <c r="V360" s="9" t="str">
        <f>'Ingest Template'!L360</f>
        <v/>
      </c>
      <c r="W360" s="9" t="str">
        <f>'Ingest Template'!M360</f>
        <v/>
      </c>
      <c r="X360" s="4" t="str">
        <f>SUBSTITUTE(SUBSTITUTE(SUBSTITUTE('Ingest Template'!N360,"http:",""),"https:",""),"/","")</f>
        <v/>
      </c>
      <c r="Y360" s="4" t="str">
        <f t="array" ref="Y360">IF('Ingest Template'!A360="Standard",(IF(ISBLANK('Ingest Template'!O360),"", 'Ingest Template'!O360&amp;"|DAR")),(IF(ISBLANK('Ingest Template'!O360),"", 'Ingest Template'!O360&amp;"|Film Ops")))</f>
        <v/>
      </c>
      <c r="Z360" s="4"/>
      <c r="AA360" s="4" t="str">
        <f>'Ingest Template'!E360</f>
        <v/>
      </c>
      <c r="AB360" s="7"/>
      <c r="AC360" s="4" t="str">
        <f t="array" ref="AC360">IF('Ingest Template'!A360="Standard",(CONCATENATE(IF(ISBLANK('Ingest Template'!F360),"", 'Ingest Template'!F360&amp;"|DAR"),CHAR(10), IF(ISBLANK('Ingest Template'!G360),"", 'Ingest Template'!G360&amp;"|DAR"),CHAR(10), IF(ISBLANK('Ingest Template'!H360),"", 'Ingest Template'!H360&amp;"|DAR"))),(CONCATENATE(IF(ISBLANK('Ingest Template'!F360),"", 'Ingest Template'!F360&amp;"|Film Ops"),CHAR(10), IF(ISBLANK('Ingest Template'!G360),"", 'Ingest Template'!G360&amp;"|Film Ops"),CHAR(10), IF(ISBLANK('Ingest Template'!H360),"", 'Ingest Template'!H360&amp;"|Film Ops"))))</f>
        <v>
</v>
      </c>
      <c r="AD360" s="4"/>
      <c r="AE360" s="4"/>
      <c r="AF360" s="10"/>
      <c r="AG360" s="4"/>
      <c r="AH360" s="4"/>
    </row>
    <row r="361">
      <c r="A361" s="4"/>
      <c r="B361" s="4" t="str">
        <f>'Ingest Template'!B361&amp;IF('Ingest Template'!A361 = "Standard", " - DAR","")</f>
        <v/>
      </c>
      <c r="C361" s="5" t="s">
        <v>34</v>
      </c>
      <c r="D361" s="5" t="str">
        <f>CONCATENATE('Ingest Template'!C361,'Ingest Template'!D361)</f>
        <v/>
      </c>
      <c r="E361" s="4"/>
      <c r="F361" s="4"/>
      <c r="G361" s="4"/>
      <c r="H361" s="6"/>
      <c r="I361" s="6" t="str">
        <f>iF('Ingest Template'!A361="Standard","Pristine Brand","Unknown")</f>
        <v>Unknown</v>
      </c>
      <c r="J361" s="4" t="str">
        <f>iF('Ingest Template'!A361="Standard","LF // Beverages","Competitive View")</f>
        <v>Competitive View</v>
      </c>
      <c r="K361" s="7" t="s">
        <v>35</v>
      </c>
      <c r="L361" s="8"/>
      <c r="M361" s="4"/>
      <c r="N361" s="4"/>
      <c r="O361" s="4"/>
      <c r="P361" s="4"/>
      <c r="Q361" s="4"/>
      <c r="R361" s="7" t="s">
        <v>36</v>
      </c>
      <c r="S361" s="4" t="str">
        <f>'Ingest Template'!J361</f>
        <v/>
      </c>
      <c r="T361" s="4" t="str">
        <f>'Ingest Template'!I361</f>
        <v/>
      </c>
      <c r="U361" s="4" t="str">
        <f>LOWER(SUBSTITUTE(SUBSTITUTE(SUBSTITUTE(SUBSTITUTE(SUBSTITUTE('Ingest Template'!K361,"https:",""),"www.",""),"/",""),"?hl=en",""),"instagram.com",""))</f>
        <v/>
      </c>
      <c r="V361" s="9" t="str">
        <f>'Ingest Template'!L361</f>
        <v/>
      </c>
      <c r="W361" s="9" t="str">
        <f>'Ingest Template'!M361</f>
        <v/>
      </c>
      <c r="X361" s="4" t="str">
        <f>SUBSTITUTE(SUBSTITUTE(SUBSTITUTE('Ingest Template'!N361,"http:",""),"https:",""),"/","")</f>
        <v/>
      </c>
      <c r="Y361" s="4" t="str">
        <f t="array" ref="Y361">IF('Ingest Template'!A361="Standard",(IF(ISBLANK('Ingest Template'!O361),"", 'Ingest Template'!O361&amp;"|DAR")),(IF(ISBLANK('Ingest Template'!O361),"", 'Ingest Template'!O361&amp;"|Film Ops")))</f>
        <v/>
      </c>
      <c r="Z361" s="4"/>
      <c r="AA361" s="4" t="str">
        <f>'Ingest Template'!E361</f>
        <v/>
      </c>
      <c r="AB361" s="7"/>
      <c r="AC361" s="4" t="str">
        <f t="array" ref="AC361">IF('Ingest Template'!A361="Standard",(CONCATENATE(IF(ISBLANK('Ingest Template'!F361),"", 'Ingest Template'!F361&amp;"|DAR"),CHAR(10), IF(ISBLANK('Ingest Template'!G361),"", 'Ingest Template'!G361&amp;"|DAR"),CHAR(10), IF(ISBLANK('Ingest Template'!H361),"", 'Ingest Template'!H361&amp;"|DAR"))),(CONCATENATE(IF(ISBLANK('Ingest Template'!F361),"", 'Ingest Template'!F361&amp;"|Film Ops"),CHAR(10), IF(ISBLANK('Ingest Template'!G361),"", 'Ingest Template'!G361&amp;"|Film Ops"),CHAR(10), IF(ISBLANK('Ingest Template'!H361),"", 'Ingest Template'!H361&amp;"|Film Ops"))))</f>
        <v>
</v>
      </c>
      <c r="AD361" s="4"/>
      <c r="AE361" s="4"/>
      <c r="AF361" s="10"/>
      <c r="AG361" s="4"/>
      <c r="AH361" s="4"/>
    </row>
    <row r="362">
      <c r="A362" s="4"/>
      <c r="B362" s="4" t="str">
        <f>'Ingest Template'!B362&amp;IF('Ingest Template'!A362 = "Standard", " - DAR","")</f>
        <v/>
      </c>
      <c r="C362" s="5" t="s">
        <v>34</v>
      </c>
      <c r="D362" s="5" t="str">
        <f>CONCATENATE('Ingest Template'!C362,'Ingest Template'!D362)</f>
        <v/>
      </c>
      <c r="E362" s="4"/>
      <c r="F362" s="4"/>
      <c r="G362" s="4"/>
      <c r="H362" s="6"/>
      <c r="I362" s="6" t="str">
        <f>iF('Ingest Template'!A362="Standard","Pristine Brand","Unknown")</f>
        <v>Unknown</v>
      </c>
      <c r="J362" s="4" t="str">
        <f>iF('Ingest Template'!A362="Standard","LF // Beverages","Competitive View")</f>
        <v>Competitive View</v>
      </c>
      <c r="K362" s="7" t="s">
        <v>35</v>
      </c>
      <c r="L362" s="8"/>
      <c r="M362" s="4"/>
      <c r="N362" s="4"/>
      <c r="O362" s="4"/>
      <c r="P362" s="4"/>
      <c r="Q362" s="4"/>
      <c r="R362" s="7" t="s">
        <v>36</v>
      </c>
      <c r="S362" s="4" t="str">
        <f>'Ingest Template'!J362</f>
        <v/>
      </c>
      <c r="T362" s="4" t="str">
        <f>'Ingest Template'!I362</f>
        <v/>
      </c>
      <c r="U362" s="4" t="str">
        <f>LOWER(SUBSTITUTE(SUBSTITUTE(SUBSTITUTE(SUBSTITUTE(SUBSTITUTE('Ingest Template'!K362,"https:",""),"www.",""),"/",""),"?hl=en",""),"instagram.com",""))</f>
        <v/>
      </c>
      <c r="V362" s="9" t="str">
        <f>'Ingest Template'!L362</f>
        <v/>
      </c>
      <c r="W362" s="9" t="str">
        <f>'Ingest Template'!M362</f>
        <v/>
      </c>
      <c r="X362" s="4" t="str">
        <f>SUBSTITUTE(SUBSTITUTE(SUBSTITUTE('Ingest Template'!N362,"http:",""),"https:",""),"/","")</f>
        <v/>
      </c>
      <c r="Y362" s="4" t="str">
        <f t="array" ref="Y362">IF('Ingest Template'!A362="Standard",(IF(ISBLANK('Ingest Template'!O362),"", 'Ingest Template'!O362&amp;"|DAR")),(IF(ISBLANK('Ingest Template'!O362),"", 'Ingest Template'!O362&amp;"|Film Ops")))</f>
        <v/>
      </c>
      <c r="Z362" s="4"/>
      <c r="AA362" s="4" t="str">
        <f>'Ingest Template'!E362</f>
        <v/>
      </c>
      <c r="AB362" s="7"/>
      <c r="AC362" s="4" t="str">
        <f t="array" ref="AC362">IF('Ingest Template'!A362="Standard",(CONCATENATE(IF(ISBLANK('Ingest Template'!F362),"", 'Ingest Template'!F362&amp;"|DAR"),CHAR(10), IF(ISBLANK('Ingest Template'!G362),"", 'Ingest Template'!G362&amp;"|DAR"),CHAR(10), IF(ISBLANK('Ingest Template'!H362),"", 'Ingest Template'!H362&amp;"|DAR"))),(CONCATENATE(IF(ISBLANK('Ingest Template'!F362),"", 'Ingest Template'!F362&amp;"|Film Ops"),CHAR(10), IF(ISBLANK('Ingest Template'!G362),"", 'Ingest Template'!G362&amp;"|Film Ops"),CHAR(10), IF(ISBLANK('Ingest Template'!H362),"", 'Ingest Template'!H362&amp;"|Film Ops"))))</f>
        <v>
</v>
      </c>
      <c r="AD362" s="4"/>
      <c r="AE362" s="4"/>
      <c r="AF362" s="10"/>
      <c r="AG362" s="4"/>
      <c r="AH362" s="4"/>
    </row>
    <row r="363">
      <c r="A363" s="4"/>
      <c r="B363" s="4" t="str">
        <f>'Ingest Template'!B363&amp;IF('Ingest Template'!A363 = "Standard", " - DAR","")</f>
        <v/>
      </c>
      <c r="C363" s="5" t="s">
        <v>34</v>
      </c>
      <c r="D363" s="5" t="str">
        <f>CONCATENATE('Ingest Template'!C363,'Ingest Template'!D363)</f>
        <v/>
      </c>
      <c r="E363" s="4"/>
      <c r="F363" s="4"/>
      <c r="G363" s="4"/>
      <c r="H363" s="6"/>
      <c r="I363" s="6" t="str">
        <f>iF('Ingest Template'!A363="Standard","Pristine Brand","Unknown")</f>
        <v>Unknown</v>
      </c>
      <c r="J363" s="4" t="str">
        <f>iF('Ingest Template'!A363="Standard","LF // Beverages","Competitive View")</f>
        <v>Competitive View</v>
      </c>
      <c r="K363" s="7" t="s">
        <v>35</v>
      </c>
      <c r="L363" s="8"/>
      <c r="M363" s="4"/>
      <c r="N363" s="4"/>
      <c r="O363" s="4"/>
      <c r="P363" s="4"/>
      <c r="Q363" s="4"/>
      <c r="R363" s="7" t="s">
        <v>36</v>
      </c>
      <c r="S363" s="4" t="str">
        <f>'Ingest Template'!J363</f>
        <v/>
      </c>
      <c r="T363" s="4" t="str">
        <f>'Ingest Template'!I363</f>
        <v/>
      </c>
      <c r="U363" s="4" t="str">
        <f>LOWER(SUBSTITUTE(SUBSTITUTE(SUBSTITUTE(SUBSTITUTE(SUBSTITUTE('Ingest Template'!K363,"https:",""),"www.",""),"/",""),"?hl=en",""),"instagram.com",""))</f>
        <v/>
      </c>
      <c r="V363" s="9" t="str">
        <f>'Ingest Template'!L363</f>
        <v/>
      </c>
      <c r="W363" s="9" t="str">
        <f>'Ingest Template'!M363</f>
        <v/>
      </c>
      <c r="X363" s="4" t="str">
        <f>SUBSTITUTE(SUBSTITUTE(SUBSTITUTE('Ingest Template'!N363,"http:",""),"https:",""),"/","")</f>
        <v/>
      </c>
      <c r="Y363" s="4" t="str">
        <f t="array" ref="Y363">IF('Ingest Template'!A363="Standard",(IF(ISBLANK('Ingest Template'!O363),"", 'Ingest Template'!O363&amp;"|DAR")),(IF(ISBLANK('Ingest Template'!O363),"", 'Ingest Template'!O363&amp;"|Film Ops")))</f>
        <v/>
      </c>
      <c r="Z363" s="4"/>
      <c r="AA363" s="4" t="str">
        <f>'Ingest Template'!E363</f>
        <v/>
      </c>
      <c r="AB363" s="7"/>
      <c r="AC363" s="4" t="str">
        <f t="array" ref="AC363">IF('Ingest Template'!A363="Standard",(CONCATENATE(IF(ISBLANK('Ingest Template'!F363),"", 'Ingest Template'!F363&amp;"|DAR"),CHAR(10), IF(ISBLANK('Ingest Template'!G363),"", 'Ingest Template'!G363&amp;"|DAR"),CHAR(10), IF(ISBLANK('Ingest Template'!H363),"", 'Ingest Template'!H363&amp;"|DAR"))),(CONCATENATE(IF(ISBLANK('Ingest Template'!F363),"", 'Ingest Template'!F363&amp;"|Film Ops"),CHAR(10), IF(ISBLANK('Ingest Template'!G363),"", 'Ingest Template'!G363&amp;"|Film Ops"),CHAR(10), IF(ISBLANK('Ingest Template'!H363),"", 'Ingest Template'!H363&amp;"|Film Ops"))))</f>
        <v>
</v>
      </c>
      <c r="AD363" s="4"/>
      <c r="AE363" s="4"/>
      <c r="AF363" s="10"/>
      <c r="AG363" s="4"/>
      <c r="AH363" s="4"/>
    </row>
    <row r="364">
      <c r="A364" s="4"/>
      <c r="B364" s="4" t="str">
        <f>'Ingest Template'!B364&amp;IF('Ingest Template'!A364 = "Standard", " - DAR","")</f>
        <v/>
      </c>
      <c r="C364" s="5" t="s">
        <v>34</v>
      </c>
      <c r="D364" s="5" t="str">
        <f>CONCATENATE('Ingest Template'!C364,'Ingest Template'!D364)</f>
        <v/>
      </c>
      <c r="E364" s="4"/>
      <c r="F364" s="4"/>
      <c r="G364" s="4"/>
      <c r="H364" s="6"/>
      <c r="I364" s="6" t="str">
        <f>iF('Ingest Template'!A364="Standard","Pristine Brand","Unknown")</f>
        <v>Unknown</v>
      </c>
      <c r="J364" s="4" t="str">
        <f>iF('Ingest Template'!A364="Standard","LF // Beverages","Competitive View")</f>
        <v>Competitive View</v>
      </c>
      <c r="K364" s="7" t="s">
        <v>35</v>
      </c>
      <c r="L364" s="8"/>
      <c r="M364" s="4"/>
      <c r="N364" s="4"/>
      <c r="O364" s="4"/>
      <c r="P364" s="4"/>
      <c r="Q364" s="4"/>
      <c r="R364" s="7" t="s">
        <v>36</v>
      </c>
      <c r="S364" s="4" t="str">
        <f>'Ingest Template'!J364</f>
        <v/>
      </c>
      <c r="T364" s="4" t="str">
        <f>'Ingest Template'!I364</f>
        <v/>
      </c>
      <c r="U364" s="4" t="str">
        <f>LOWER(SUBSTITUTE(SUBSTITUTE(SUBSTITUTE(SUBSTITUTE(SUBSTITUTE('Ingest Template'!K364,"https:",""),"www.",""),"/",""),"?hl=en",""),"instagram.com",""))</f>
        <v/>
      </c>
      <c r="V364" s="9" t="str">
        <f>'Ingest Template'!L364</f>
        <v/>
      </c>
      <c r="W364" s="9" t="str">
        <f>'Ingest Template'!M364</f>
        <v/>
      </c>
      <c r="X364" s="4" t="str">
        <f>SUBSTITUTE(SUBSTITUTE(SUBSTITUTE('Ingest Template'!N364,"http:",""),"https:",""),"/","")</f>
        <v/>
      </c>
      <c r="Y364" s="4" t="str">
        <f t="array" ref="Y364">IF('Ingest Template'!A364="Standard",(IF(ISBLANK('Ingest Template'!O364),"", 'Ingest Template'!O364&amp;"|DAR")),(IF(ISBLANK('Ingest Template'!O364),"", 'Ingest Template'!O364&amp;"|Film Ops")))</f>
        <v/>
      </c>
      <c r="Z364" s="4"/>
      <c r="AA364" s="4" t="str">
        <f>'Ingest Template'!E364</f>
        <v/>
      </c>
      <c r="AB364" s="7"/>
      <c r="AC364" s="4" t="str">
        <f t="array" ref="AC364">IF('Ingest Template'!A364="Standard",(CONCATENATE(IF(ISBLANK('Ingest Template'!F364),"", 'Ingest Template'!F364&amp;"|DAR"),CHAR(10), IF(ISBLANK('Ingest Template'!G364),"", 'Ingest Template'!G364&amp;"|DAR"),CHAR(10), IF(ISBLANK('Ingest Template'!H364),"", 'Ingest Template'!H364&amp;"|DAR"))),(CONCATENATE(IF(ISBLANK('Ingest Template'!F364),"", 'Ingest Template'!F364&amp;"|Film Ops"),CHAR(10), IF(ISBLANK('Ingest Template'!G364),"", 'Ingest Template'!G364&amp;"|Film Ops"),CHAR(10), IF(ISBLANK('Ingest Template'!H364),"", 'Ingest Template'!H364&amp;"|Film Ops"))))</f>
        <v>
</v>
      </c>
      <c r="AD364" s="4"/>
      <c r="AE364" s="4"/>
      <c r="AF364" s="10"/>
      <c r="AG364" s="4"/>
      <c r="AH364" s="4"/>
    </row>
    <row r="365">
      <c r="A365" s="4"/>
      <c r="B365" s="4" t="str">
        <f>'Ingest Template'!B365&amp;IF('Ingest Template'!A365 = "Standard", " - DAR","")</f>
        <v/>
      </c>
      <c r="C365" s="5" t="s">
        <v>34</v>
      </c>
      <c r="D365" s="5" t="str">
        <f>CONCATENATE('Ingest Template'!C365,'Ingest Template'!D365)</f>
        <v/>
      </c>
      <c r="E365" s="4"/>
      <c r="F365" s="4"/>
      <c r="G365" s="4"/>
      <c r="H365" s="6"/>
      <c r="I365" s="6" t="str">
        <f>iF('Ingest Template'!A365="Standard","Pristine Brand","Unknown")</f>
        <v>Unknown</v>
      </c>
      <c r="J365" s="4" t="str">
        <f>iF('Ingest Template'!A365="Standard","LF // Beverages","Competitive View")</f>
        <v>Competitive View</v>
      </c>
      <c r="K365" s="7" t="s">
        <v>35</v>
      </c>
      <c r="L365" s="8"/>
      <c r="M365" s="4"/>
      <c r="N365" s="4"/>
      <c r="O365" s="4"/>
      <c r="P365" s="4"/>
      <c r="Q365" s="4"/>
      <c r="R365" s="7" t="s">
        <v>36</v>
      </c>
      <c r="S365" s="4" t="str">
        <f>'Ingest Template'!J365</f>
        <v/>
      </c>
      <c r="T365" s="4" t="str">
        <f>'Ingest Template'!I365</f>
        <v/>
      </c>
      <c r="U365" s="4" t="str">
        <f>LOWER(SUBSTITUTE(SUBSTITUTE(SUBSTITUTE(SUBSTITUTE(SUBSTITUTE('Ingest Template'!K365,"https:",""),"www.",""),"/",""),"?hl=en",""),"instagram.com",""))</f>
        <v/>
      </c>
      <c r="V365" s="9" t="str">
        <f>'Ingest Template'!L365</f>
        <v/>
      </c>
      <c r="W365" s="9" t="str">
        <f>'Ingest Template'!M365</f>
        <v/>
      </c>
      <c r="X365" s="4" t="str">
        <f>SUBSTITUTE(SUBSTITUTE(SUBSTITUTE('Ingest Template'!N365,"http:",""),"https:",""),"/","")</f>
        <v/>
      </c>
      <c r="Y365" s="4" t="str">
        <f t="array" ref="Y365">IF('Ingest Template'!A365="Standard",(IF(ISBLANK('Ingest Template'!O365),"", 'Ingest Template'!O365&amp;"|DAR")),(IF(ISBLANK('Ingest Template'!O365),"", 'Ingest Template'!O365&amp;"|Film Ops")))</f>
        <v/>
      </c>
      <c r="Z365" s="4"/>
      <c r="AA365" s="4" t="str">
        <f>'Ingest Template'!E365</f>
        <v/>
      </c>
      <c r="AB365" s="7"/>
      <c r="AC365" s="4" t="str">
        <f t="array" ref="AC365">IF('Ingest Template'!A365="Standard",(CONCATENATE(IF(ISBLANK('Ingest Template'!F365),"", 'Ingest Template'!F365&amp;"|DAR"),CHAR(10), IF(ISBLANK('Ingest Template'!G365),"", 'Ingest Template'!G365&amp;"|DAR"),CHAR(10), IF(ISBLANK('Ingest Template'!H365),"", 'Ingest Template'!H365&amp;"|DAR"))),(CONCATENATE(IF(ISBLANK('Ingest Template'!F365),"", 'Ingest Template'!F365&amp;"|Film Ops"),CHAR(10), IF(ISBLANK('Ingest Template'!G365),"", 'Ingest Template'!G365&amp;"|Film Ops"),CHAR(10), IF(ISBLANK('Ingest Template'!H365),"", 'Ingest Template'!H365&amp;"|Film Ops"))))</f>
        <v>
</v>
      </c>
      <c r="AD365" s="4"/>
      <c r="AE365" s="4"/>
      <c r="AF365" s="10"/>
      <c r="AG365" s="4"/>
      <c r="AH365" s="4"/>
    </row>
    <row r="366">
      <c r="A366" s="4"/>
      <c r="B366" s="4" t="str">
        <f>'Ingest Template'!B366&amp;IF('Ingest Template'!A366 = "Standard", " - DAR","")</f>
        <v/>
      </c>
      <c r="C366" s="5" t="s">
        <v>34</v>
      </c>
      <c r="D366" s="5" t="str">
        <f>CONCATENATE('Ingest Template'!C366,'Ingest Template'!D366)</f>
        <v/>
      </c>
      <c r="E366" s="4"/>
      <c r="F366" s="4"/>
      <c r="G366" s="4"/>
      <c r="H366" s="6"/>
      <c r="I366" s="6" t="str">
        <f>iF('Ingest Template'!A366="Standard","Pristine Brand","Unknown")</f>
        <v>Unknown</v>
      </c>
      <c r="J366" s="4" t="str">
        <f>iF('Ingest Template'!A366="Standard","LF // Beverages","Competitive View")</f>
        <v>Competitive View</v>
      </c>
      <c r="K366" s="7" t="s">
        <v>35</v>
      </c>
      <c r="L366" s="8"/>
      <c r="M366" s="4"/>
      <c r="N366" s="4"/>
      <c r="O366" s="4"/>
      <c r="P366" s="4"/>
      <c r="Q366" s="4"/>
      <c r="R366" s="7" t="s">
        <v>36</v>
      </c>
      <c r="S366" s="4" t="str">
        <f>'Ingest Template'!J366</f>
        <v/>
      </c>
      <c r="T366" s="4" t="str">
        <f>'Ingest Template'!I366</f>
        <v/>
      </c>
      <c r="U366" s="4" t="str">
        <f>LOWER(SUBSTITUTE(SUBSTITUTE(SUBSTITUTE(SUBSTITUTE(SUBSTITUTE('Ingest Template'!K366,"https:",""),"www.",""),"/",""),"?hl=en",""),"instagram.com",""))</f>
        <v/>
      </c>
      <c r="V366" s="9" t="str">
        <f>'Ingest Template'!L366</f>
        <v/>
      </c>
      <c r="W366" s="9" t="str">
        <f>'Ingest Template'!M366</f>
        <v/>
      </c>
      <c r="X366" s="4" t="str">
        <f>SUBSTITUTE(SUBSTITUTE(SUBSTITUTE('Ingest Template'!N366,"http:",""),"https:",""),"/","")</f>
        <v/>
      </c>
      <c r="Y366" s="4" t="str">
        <f t="array" ref="Y366">IF('Ingest Template'!A366="Standard",(IF(ISBLANK('Ingest Template'!O366),"", 'Ingest Template'!O366&amp;"|DAR")),(IF(ISBLANK('Ingest Template'!O366),"", 'Ingest Template'!O366&amp;"|Film Ops")))</f>
        <v/>
      </c>
      <c r="Z366" s="4"/>
      <c r="AA366" s="4" t="str">
        <f>'Ingest Template'!E366</f>
        <v/>
      </c>
      <c r="AB366" s="7"/>
      <c r="AC366" s="4" t="str">
        <f t="array" ref="AC366">IF('Ingest Template'!A366="Standard",(CONCATENATE(IF(ISBLANK('Ingest Template'!F366),"", 'Ingest Template'!F366&amp;"|DAR"),CHAR(10), IF(ISBLANK('Ingest Template'!G366),"", 'Ingest Template'!G366&amp;"|DAR"),CHAR(10), IF(ISBLANK('Ingest Template'!H366),"", 'Ingest Template'!H366&amp;"|DAR"))),(CONCATENATE(IF(ISBLANK('Ingest Template'!F366),"", 'Ingest Template'!F366&amp;"|Film Ops"),CHAR(10), IF(ISBLANK('Ingest Template'!G366),"", 'Ingest Template'!G366&amp;"|Film Ops"),CHAR(10), IF(ISBLANK('Ingest Template'!H366),"", 'Ingest Template'!H366&amp;"|Film Ops"))))</f>
        <v>
</v>
      </c>
      <c r="AD366" s="4"/>
      <c r="AE366" s="4"/>
      <c r="AF366" s="10"/>
      <c r="AG366" s="4"/>
      <c r="AH366" s="4"/>
    </row>
    <row r="367">
      <c r="A367" s="4"/>
      <c r="B367" s="4" t="str">
        <f>'Ingest Template'!B367&amp;IF('Ingest Template'!A367 = "Standard", " - DAR","")</f>
        <v/>
      </c>
      <c r="C367" s="5" t="s">
        <v>34</v>
      </c>
      <c r="D367" s="5" t="str">
        <f>CONCATENATE('Ingest Template'!C367,'Ingest Template'!D367)</f>
        <v/>
      </c>
      <c r="E367" s="4"/>
      <c r="F367" s="4"/>
      <c r="G367" s="4"/>
      <c r="H367" s="6"/>
      <c r="I367" s="6" t="str">
        <f>iF('Ingest Template'!A367="Standard","Pristine Brand","Unknown")</f>
        <v>Unknown</v>
      </c>
      <c r="J367" s="4" t="str">
        <f>iF('Ingest Template'!A367="Standard","LF // Beverages","Competitive View")</f>
        <v>Competitive View</v>
      </c>
      <c r="K367" s="7" t="s">
        <v>35</v>
      </c>
      <c r="L367" s="8"/>
      <c r="M367" s="4"/>
      <c r="N367" s="4"/>
      <c r="O367" s="4"/>
      <c r="P367" s="4"/>
      <c r="Q367" s="4"/>
      <c r="R367" s="7" t="s">
        <v>36</v>
      </c>
      <c r="S367" s="4" t="str">
        <f>'Ingest Template'!J367</f>
        <v/>
      </c>
      <c r="T367" s="4" t="str">
        <f>'Ingest Template'!I367</f>
        <v/>
      </c>
      <c r="U367" s="4" t="str">
        <f>LOWER(SUBSTITUTE(SUBSTITUTE(SUBSTITUTE(SUBSTITUTE(SUBSTITUTE('Ingest Template'!K367,"https:",""),"www.",""),"/",""),"?hl=en",""),"instagram.com",""))</f>
        <v/>
      </c>
      <c r="V367" s="9" t="str">
        <f>'Ingest Template'!L367</f>
        <v/>
      </c>
      <c r="W367" s="9" t="str">
        <f>'Ingest Template'!M367</f>
        <v/>
      </c>
      <c r="X367" s="4" t="str">
        <f>SUBSTITUTE(SUBSTITUTE(SUBSTITUTE('Ingest Template'!N367,"http:",""),"https:",""),"/","")</f>
        <v/>
      </c>
      <c r="Y367" s="4" t="str">
        <f t="array" ref="Y367">IF('Ingest Template'!A367="Standard",(IF(ISBLANK('Ingest Template'!O367),"", 'Ingest Template'!O367&amp;"|DAR")),(IF(ISBLANK('Ingest Template'!O367),"", 'Ingest Template'!O367&amp;"|Film Ops")))</f>
        <v/>
      </c>
      <c r="Z367" s="4"/>
      <c r="AA367" s="4" t="str">
        <f>'Ingest Template'!E367</f>
        <v/>
      </c>
      <c r="AB367" s="7"/>
      <c r="AC367" s="4" t="str">
        <f t="array" ref="AC367">IF('Ingest Template'!A367="Standard",(CONCATENATE(IF(ISBLANK('Ingest Template'!F367),"", 'Ingest Template'!F367&amp;"|DAR"),CHAR(10), IF(ISBLANK('Ingest Template'!G367),"", 'Ingest Template'!G367&amp;"|DAR"),CHAR(10), IF(ISBLANK('Ingest Template'!H367),"", 'Ingest Template'!H367&amp;"|DAR"))),(CONCATENATE(IF(ISBLANK('Ingest Template'!F367),"", 'Ingest Template'!F367&amp;"|Film Ops"),CHAR(10), IF(ISBLANK('Ingest Template'!G367),"", 'Ingest Template'!G367&amp;"|Film Ops"),CHAR(10), IF(ISBLANK('Ingest Template'!H367),"", 'Ingest Template'!H367&amp;"|Film Ops"))))</f>
        <v>
</v>
      </c>
      <c r="AD367" s="4"/>
      <c r="AE367" s="4"/>
      <c r="AF367" s="10"/>
      <c r="AG367" s="4"/>
      <c r="AH367" s="4"/>
    </row>
    <row r="368">
      <c r="A368" s="4"/>
      <c r="B368" s="4" t="str">
        <f>'Ingest Template'!B368&amp;IF('Ingest Template'!A368 = "Standard", " - DAR","")</f>
        <v/>
      </c>
      <c r="C368" s="5" t="s">
        <v>34</v>
      </c>
      <c r="D368" s="5" t="str">
        <f>CONCATENATE('Ingest Template'!C368,'Ingest Template'!D368)</f>
        <v/>
      </c>
      <c r="E368" s="4"/>
      <c r="F368" s="4"/>
      <c r="G368" s="4"/>
      <c r="H368" s="6"/>
      <c r="I368" s="6" t="str">
        <f>iF('Ingest Template'!A368="Standard","Pristine Brand","Unknown")</f>
        <v>Unknown</v>
      </c>
      <c r="J368" s="4" t="str">
        <f>iF('Ingest Template'!A368="Standard","LF // Beverages","Competitive View")</f>
        <v>Competitive View</v>
      </c>
      <c r="K368" s="7" t="s">
        <v>35</v>
      </c>
      <c r="L368" s="8"/>
      <c r="M368" s="4"/>
      <c r="N368" s="4"/>
      <c r="O368" s="4"/>
      <c r="P368" s="4"/>
      <c r="Q368" s="4"/>
      <c r="R368" s="7" t="s">
        <v>36</v>
      </c>
      <c r="S368" s="4" t="str">
        <f>'Ingest Template'!J368</f>
        <v/>
      </c>
      <c r="T368" s="4" t="str">
        <f>'Ingest Template'!I368</f>
        <v/>
      </c>
      <c r="U368" s="4" t="str">
        <f>LOWER(SUBSTITUTE(SUBSTITUTE(SUBSTITUTE(SUBSTITUTE(SUBSTITUTE('Ingest Template'!K368,"https:",""),"www.",""),"/",""),"?hl=en",""),"instagram.com",""))</f>
        <v/>
      </c>
      <c r="V368" s="9" t="str">
        <f>'Ingest Template'!L368</f>
        <v/>
      </c>
      <c r="W368" s="9" t="str">
        <f>'Ingest Template'!M368</f>
        <v/>
      </c>
      <c r="X368" s="4" t="str">
        <f>SUBSTITUTE(SUBSTITUTE(SUBSTITUTE('Ingest Template'!N368,"http:",""),"https:",""),"/","")</f>
        <v/>
      </c>
      <c r="Y368" s="4" t="str">
        <f t="array" ref="Y368">IF('Ingest Template'!A368="Standard",(IF(ISBLANK('Ingest Template'!O368),"", 'Ingest Template'!O368&amp;"|DAR")),(IF(ISBLANK('Ingest Template'!O368),"", 'Ingest Template'!O368&amp;"|Film Ops")))</f>
        <v/>
      </c>
      <c r="Z368" s="4"/>
      <c r="AA368" s="4" t="str">
        <f>'Ingest Template'!E368</f>
        <v/>
      </c>
      <c r="AB368" s="7"/>
      <c r="AC368" s="4" t="str">
        <f t="array" ref="AC368">IF('Ingest Template'!A368="Standard",(CONCATENATE(IF(ISBLANK('Ingest Template'!F368),"", 'Ingest Template'!F368&amp;"|DAR"),CHAR(10), IF(ISBLANK('Ingest Template'!G368),"", 'Ingest Template'!G368&amp;"|DAR"),CHAR(10), IF(ISBLANK('Ingest Template'!H368),"", 'Ingest Template'!H368&amp;"|DAR"))),(CONCATENATE(IF(ISBLANK('Ingest Template'!F368),"", 'Ingest Template'!F368&amp;"|Film Ops"),CHAR(10), IF(ISBLANK('Ingest Template'!G368),"", 'Ingest Template'!G368&amp;"|Film Ops"),CHAR(10), IF(ISBLANK('Ingest Template'!H368),"", 'Ingest Template'!H368&amp;"|Film Ops"))))</f>
        <v>
</v>
      </c>
      <c r="AD368" s="4"/>
      <c r="AE368" s="4"/>
      <c r="AF368" s="10"/>
      <c r="AG368" s="4"/>
      <c r="AH368" s="4"/>
    </row>
    <row r="369">
      <c r="A369" s="4"/>
      <c r="B369" s="4" t="str">
        <f>'Ingest Template'!B369&amp;IF('Ingest Template'!A369 = "Standard", " - DAR","")</f>
        <v/>
      </c>
      <c r="C369" s="5" t="s">
        <v>34</v>
      </c>
      <c r="D369" s="5" t="str">
        <f>CONCATENATE('Ingest Template'!C369,'Ingest Template'!D369)</f>
        <v/>
      </c>
      <c r="E369" s="4"/>
      <c r="F369" s="4"/>
      <c r="G369" s="4"/>
      <c r="H369" s="6"/>
      <c r="I369" s="6" t="str">
        <f>iF('Ingest Template'!A369="Standard","Pristine Brand","Unknown")</f>
        <v>Unknown</v>
      </c>
      <c r="J369" s="4" t="str">
        <f>iF('Ingest Template'!A369="Standard","LF // Beverages","Competitive View")</f>
        <v>Competitive View</v>
      </c>
      <c r="K369" s="7" t="s">
        <v>35</v>
      </c>
      <c r="L369" s="8"/>
      <c r="M369" s="4"/>
      <c r="N369" s="4"/>
      <c r="O369" s="4"/>
      <c r="P369" s="4"/>
      <c r="Q369" s="4"/>
      <c r="R369" s="7" t="s">
        <v>36</v>
      </c>
      <c r="S369" s="4" t="str">
        <f>'Ingest Template'!J369</f>
        <v/>
      </c>
      <c r="T369" s="4" t="str">
        <f>'Ingest Template'!I369</f>
        <v/>
      </c>
      <c r="U369" s="4" t="str">
        <f>LOWER(SUBSTITUTE(SUBSTITUTE(SUBSTITUTE(SUBSTITUTE(SUBSTITUTE('Ingest Template'!K369,"https:",""),"www.",""),"/",""),"?hl=en",""),"instagram.com",""))</f>
        <v/>
      </c>
      <c r="V369" s="9" t="str">
        <f>'Ingest Template'!L369</f>
        <v/>
      </c>
      <c r="W369" s="9" t="str">
        <f>'Ingest Template'!M369</f>
        <v/>
      </c>
      <c r="X369" s="4" t="str">
        <f>SUBSTITUTE(SUBSTITUTE(SUBSTITUTE('Ingest Template'!N369,"http:",""),"https:",""),"/","")</f>
        <v/>
      </c>
      <c r="Y369" s="4" t="str">
        <f t="array" ref="Y369">IF('Ingest Template'!A369="Standard",(IF(ISBLANK('Ingest Template'!O369),"", 'Ingest Template'!O369&amp;"|DAR")),(IF(ISBLANK('Ingest Template'!O369),"", 'Ingest Template'!O369&amp;"|Film Ops")))</f>
        <v/>
      </c>
      <c r="Z369" s="4"/>
      <c r="AA369" s="4" t="str">
        <f>'Ingest Template'!E369</f>
        <v/>
      </c>
      <c r="AB369" s="7"/>
      <c r="AC369" s="4" t="str">
        <f t="array" ref="AC369">IF('Ingest Template'!A369="Standard",(CONCATENATE(IF(ISBLANK('Ingest Template'!F369),"", 'Ingest Template'!F369&amp;"|DAR"),CHAR(10), IF(ISBLANK('Ingest Template'!G369),"", 'Ingest Template'!G369&amp;"|DAR"),CHAR(10), IF(ISBLANK('Ingest Template'!H369),"", 'Ingest Template'!H369&amp;"|DAR"))),(CONCATENATE(IF(ISBLANK('Ingest Template'!F369),"", 'Ingest Template'!F369&amp;"|Film Ops"),CHAR(10), IF(ISBLANK('Ingest Template'!G369),"", 'Ingest Template'!G369&amp;"|Film Ops"),CHAR(10), IF(ISBLANK('Ingest Template'!H369),"", 'Ingest Template'!H369&amp;"|Film Ops"))))</f>
        <v>
</v>
      </c>
      <c r="AD369" s="4"/>
      <c r="AE369" s="4"/>
      <c r="AF369" s="10"/>
      <c r="AG369" s="4"/>
      <c r="AH369" s="4"/>
    </row>
    <row r="370">
      <c r="A370" s="4"/>
      <c r="B370" s="4" t="str">
        <f>'Ingest Template'!B370&amp;IF('Ingest Template'!A370 = "Standard", " - DAR","")</f>
        <v/>
      </c>
      <c r="C370" s="5" t="s">
        <v>34</v>
      </c>
      <c r="D370" s="5" t="str">
        <f>CONCATENATE('Ingest Template'!C370,'Ingest Template'!D370)</f>
        <v/>
      </c>
      <c r="E370" s="4"/>
      <c r="F370" s="4"/>
      <c r="G370" s="4"/>
      <c r="H370" s="6"/>
      <c r="I370" s="6" t="str">
        <f>iF('Ingest Template'!A370="Standard","Pristine Brand","Unknown")</f>
        <v>Unknown</v>
      </c>
      <c r="J370" s="4" t="str">
        <f>iF('Ingest Template'!A370="Standard","LF // Beverages","Competitive View")</f>
        <v>Competitive View</v>
      </c>
      <c r="K370" s="7" t="s">
        <v>35</v>
      </c>
      <c r="L370" s="8"/>
      <c r="M370" s="4"/>
      <c r="N370" s="4"/>
      <c r="O370" s="4"/>
      <c r="P370" s="4"/>
      <c r="Q370" s="4"/>
      <c r="R370" s="7" t="s">
        <v>36</v>
      </c>
      <c r="S370" s="4" t="str">
        <f>'Ingest Template'!J370</f>
        <v/>
      </c>
      <c r="T370" s="4" t="str">
        <f>'Ingest Template'!I370</f>
        <v/>
      </c>
      <c r="U370" s="4" t="str">
        <f>LOWER(SUBSTITUTE(SUBSTITUTE(SUBSTITUTE(SUBSTITUTE(SUBSTITUTE('Ingest Template'!K370,"https:",""),"www.",""),"/",""),"?hl=en",""),"instagram.com",""))</f>
        <v/>
      </c>
      <c r="V370" s="9" t="str">
        <f>'Ingest Template'!L370</f>
        <v/>
      </c>
      <c r="W370" s="9" t="str">
        <f>'Ingest Template'!M370</f>
        <v/>
      </c>
      <c r="X370" s="4" t="str">
        <f>SUBSTITUTE(SUBSTITUTE(SUBSTITUTE('Ingest Template'!N370,"http:",""),"https:",""),"/","")</f>
        <v/>
      </c>
      <c r="Y370" s="4" t="str">
        <f t="array" ref="Y370">IF('Ingest Template'!A370="Standard",(IF(ISBLANK('Ingest Template'!O370),"", 'Ingest Template'!O370&amp;"|DAR")),(IF(ISBLANK('Ingest Template'!O370),"", 'Ingest Template'!O370&amp;"|Film Ops")))</f>
        <v/>
      </c>
      <c r="Z370" s="4"/>
      <c r="AA370" s="4" t="str">
        <f>'Ingest Template'!E370</f>
        <v/>
      </c>
      <c r="AB370" s="7"/>
      <c r="AC370" s="4" t="str">
        <f t="array" ref="AC370">IF('Ingest Template'!A370="Standard",(CONCATENATE(IF(ISBLANK('Ingest Template'!F370),"", 'Ingest Template'!F370&amp;"|DAR"),CHAR(10), IF(ISBLANK('Ingest Template'!G370),"", 'Ingest Template'!G370&amp;"|DAR"),CHAR(10), IF(ISBLANK('Ingest Template'!H370),"", 'Ingest Template'!H370&amp;"|DAR"))),(CONCATENATE(IF(ISBLANK('Ingest Template'!F370),"", 'Ingest Template'!F370&amp;"|Film Ops"),CHAR(10), IF(ISBLANK('Ingest Template'!G370),"", 'Ingest Template'!G370&amp;"|Film Ops"),CHAR(10), IF(ISBLANK('Ingest Template'!H370),"", 'Ingest Template'!H370&amp;"|Film Ops"))))</f>
        <v>
</v>
      </c>
      <c r="AD370" s="4"/>
      <c r="AE370" s="4"/>
      <c r="AF370" s="10"/>
      <c r="AG370" s="4"/>
      <c r="AH370" s="4"/>
    </row>
    <row r="371">
      <c r="A371" s="4"/>
      <c r="B371" s="4" t="str">
        <f>'Ingest Template'!B371&amp;IF('Ingest Template'!A371 = "Standard", " - DAR","")</f>
        <v/>
      </c>
      <c r="C371" s="5" t="s">
        <v>34</v>
      </c>
      <c r="D371" s="5" t="str">
        <f>CONCATENATE('Ingest Template'!C371,'Ingest Template'!D371)</f>
        <v/>
      </c>
      <c r="E371" s="4"/>
      <c r="F371" s="4"/>
      <c r="G371" s="4"/>
      <c r="H371" s="6"/>
      <c r="I371" s="6" t="str">
        <f>iF('Ingest Template'!A371="Standard","Pristine Brand","Unknown")</f>
        <v>Unknown</v>
      </c>
      <c r="J371" s="4" t="str">
        <f>iF('Ingest Template'!A371="Standard","LF // Beverages","Competitive View")</f>
        <v>Competitive View</v>
      </c>
      <c r="K371" s="7" t="s">
        <v>35</v>
      </c>
      <c r="L371" s="8"/>
      <c r="M371" s="4"/>
      <c r="N371" s="4"/>
      <c r="O371" s="4"/>
      <c r="P371" s="4"/>
      <c r="Q371" s="4"/>
      <c r="R371" s="7" t="s">
        <v>36</v>
      </c>
      <c r="S371" s="4" t="str">
        <f>'Ingest Template'!J371</f>
        <v/>
      </c>
      <c r="T371" s="4" t="str">
        <f>'Ingest Template'!I371</f>
        <v/>
      </c>
      <c r="U371" s="4" t="str">
        <f>LOWER(SUBSTITUTE(SUBSTITUTE(SUBSTITUTE(SUBSTITUTE(SUBSTITUTE('Ingest Template'!K371,"https:",""),"www.",""),"/",""),"?hl=en",""),"instagram.com",""))</f>
        <v/>
      </c>
      <c r="V371" s="9" t="str">
        <f>'Ingest Template'!L371</f>
        <v/>
      </c>
      <c r="W371" s="9" t="str">
        <f>'Ingest Template'!M371</f>
        <v/>
      </c>
      <c r="X371" s="4" t="str">
        <f>SUBSTITUTE(SUBSTITUTE(SUBSTITUTE('Ingest Template'!N371,"http:",""),"https:",""),"/","")</f>
        <v/>
      </c>
      <c r="Y371" s="4" t="str">
        <f t="array" ref="Y371">IF('Ingest Template'!A371="Standard",(IF(ISBLANK('Ingest Template'!O371),"", 'Ingest Template'!O371&amp;"|DAR")),(IF(ISBLANK('Ingest Template'!O371),"", 'Ingest Template'!O371&amp;"|Film Ops")))</f>
        <v/>
      </c>
      <c r="Z371" s="4"/>
      <c r="AA371" s="4" t="str">
        <f>'Ingest Template'!E371</f>
        <v/>
      </c>
      <c r="AB371" s="7"/>
      <c r="AC371" s="4" t="str">
        <f t="array" ref="AC371">IF('Ingest Template'!A371="Standard",(CONCATENATE(IF(ISBLANK('Ingest Template'!F371),"", 'Ingest Template'!F371&amp;"|DAR"),CHAR(10), IF(ISBLANK('Ingest Template'!G371),"", 'Ingest Template'!G371&amp;"|DAR"),CHAR(10), IF(ISBLANK('Ingest Template'!H371),"", 'Ingest Template'!H371&amp;"|DAR"))),(CONCATENATE(IF(ISBLANK('Ingest Template'!F371),"", 'Ingest Template'!F371&amp;"|Film Ops"),CHAR(10), IF(ISBLANK('Ingest Template'!G371),"", 'Ingest Template'!G371&amp;"|Film Ops"),CHAR(10), IF(ISBLANK('Ingest Template'!H371),"", 'Ingest Template'!H371&amp;"|Film Ops"))))</f>
        <v>
</v>
      </c>
      <c r="AD371" s="4"/>
      <c r="AE371" s="4"/>
      <c r="AF371" s="10"/>
      <c r="AG371" s="4"/>
      <c r="AH371" s="4"/>
    </row>
    <row r="372">
      <c r="A372" s="4"/>
      <c r="B372" s="4" t="str">
        <f>'Ingest Template'!B372&amp;IF('Ingest Template'!A372 = "Standard", " - DAR","")</f>
        <v/>
      </c>
      <c r="C372" s="5" t="s">
        <v>34</v>
      </c>
      <c r="D372" s="5" t="str">
        <f>CONCATENATE('Ingest Template'!C372,'Ingest Template'!D372)</f>
        <v/>
      </c>
      <c r="E372" s="4"/>
      <c r="F372" s="4"/>
      <c r="G372" s="4"/>
      <c r="H372" s="6"/>
      <c r="I372" s="6" t="str">
        <f>iF('Ingest Template'!A372="Standard","Pristine Brand","Unknown")</f>
        <v>Unknown</v>
      </c>
      <c r="J372" s="4" t="str">
        <f>iF('Ingest Template'!A372="Standard","LF // Beverages","Competitive View")</f>
        <v>Competitive View</v>
      </c>
      <c r="K372" s="7" t="s">
        <v>35</v>
      </c>
      <c r="L372" s="8"/>
      <c r="M372" s="4"/>
      <c r="N372" s="4"/>
      <c r="O372" s="4"/>
      <c r="P372" s="4"/>
      <c r="Q372" s="4"/>
      <c r="R372" s="7" t="s">
        <v>36</v>
      </c>
      <c r="S372" s="4" t="str">
        <f>'Ingest Template'!J372</f>
        <v/>
      </c>
      <c r="T372" s="4" t="str">
        <f>'Ingest Template'!I372</f>
        <v/>
      </c>
      <c r="U372" s="4" t="str">
        <f>LOWER(SUBSTITUTE(SUBSTITUTE(SUBSTITUTE(SUBSTITUTE(SUBSTITUTE('Ingest Template'!K372,"https:",""),"www.",""),"/",""),"?hl=en",""),"instagram.com",""))</f>
        <v/>
      </c>
      <c r="V372" s="9" t="str">
        <f>'Ingest Template'!L372</f>
        <v/>
      </c>
      <c r="W372" s="9" t="str">
        <f>'Ingest Template'!M372</f>
        <v/>
      </c>
      <c r="X372" s="4" t="str">
        <f>SUBSTITUTE(SUBSTITUTE(SUBSTITUTE('Ingest Template'!N372,"http:",""),"https:",""),"/","")</f>
        <v/>
      </c>
      <c r="Y372" s="4" t="str">
        <f t="array" ref="Y372">IF('Ingest Template'!A372="Standard",(IF(ISBLANK('Ingest Template'!O372),"", 'Ingest Template'!O372&amp;"|DAR")),(IF(ISBLANK('Ingest Template'!O372),"", 'Ingest Template'!O372&amp;"|Film Ops")))</f>
        <v/>
      </c>
      <c r="Z372" s="4"/>
      <c r="AA372" s="4" t="str">
        <f>'Ingest Template'!E372</f>
        <v/>
      </c>
      <c r="AB372" s="7"/>
      <c r="AC372" s="4" t="str">
        <f t="array" ref="AC372">IF('Ingest Template'!A372="Standard",(CONCATENATE(IF(ISBLANK('Ingest Template'!F372),"", 'Ingest Template'!F372&amp;"|DAR"),CHAR(10), IF(ISBLANK('Ingest Template'!G372),"", 'Ingest Template'!G372&amp;"|DAR"),CHAR(10), IF(ISBLANK('Ingest Template'!H372),"", 'Ingest Template'!H372&amp;"|DAR"))),(CONCATENATE(IF(ISBLANK('Ingest Template'!F372),"", 'Ingest Template'!F372&amp;"|Film Ops"),CHAR(10), IF(ISBLANK('Ingest Template'!G372),"", 'Ingest Template'!G372&amp;"|Film Ops"),CHAR(10), IF(ISBLANK('Ingest Template'!H372),"", 'Ingest Template'!H372&amp;"|Film Ops"))))</f>
        <v>
</v>
      </c>
      <c r="AD372" s="4"/>
      <c r="AE372" s="4"/>
      <c r="AF372" s="10"/>
      <c r="AG372" s="4"/>
      <c r="AH372" s="4"/>
    </row>
    <row r="373">
      <c r="A373" s="4"/>
      <c r="B373" s="4" t="str">
        <f>'Ingest Template'!B373&amp;IF('Ingest Template'!A373 = "Standard", " - DAR","")</f>
        <v/>
      </c>
      <c r="C373" s="5" t="s">
        <v>34</v>
      </c>
      <c r="D373" s="5" t="str">
        <f>CONCATENATE('Ingest Template'!C373,'Ingest Template'!D373)</f>
        <v/>
      </c>
      <c r="E373" s="4"/>
      <c r="F373" s="4"/>
      <c r="G373" s="4"/>
      <c r="H373" s="6"/>
      <c r="I373" s="6" t="str">
        <f>iF('Ingest Template'!A373="Standard","Pristine Brand","Unknown")</f>
        <v>Unknown</v>
      </c>
      <c r="J373" s="4" t="str">
        <f>iF('Ingest Template'!A373="Standard","LF // Beverages","Competitive View")</f>
        <v>Competitive View</v>
      </c>
      <c r="K373" s="7" t="s">
        <v>35</v>
      </c>
      <c r="L373" s="8"/>
      <c r="M373" s="4"/>
      <c r="N373" s="4"/>
      <c r="O373" s="4"/>
      <c r="P373" s="4"/>
      <c r="Q373" s="4"/>
      <c r="R373" s="7" t="s">
        <v>36</v>
      </c>
      <c r="S373" s="4" t="str">
        <f>'Ingest Template'!J373</f>
        <v/>
      </c>
      <c r="T373" s="4" t="str">
        <f>'Ingest Template'!I373</f>
        <v/>
      </c>
      <c r="U373" s="4" t="str">
        <f>LOWER(SUBSTITUTE(SUBSTITUTE(SUBSTITUTE(SUBSTITUTE(SUBSTITUTE('Ingest Template'!K373,"https:",""),"www.",""),"/",""),"?hl=en",""),"instagram.com",""))</f>
        <v/>
      </c>
      <c r="V373" s="9" t="str">
        <f>'Ingest Template'!L373</f>
        <v/>
      </c>
      <c r="W373" s="9" t="str">
        <f>'Ingest Template'!M373</f>
        <v/>
      </c>
      <c r="X373" s="4" t="str">
        <f>SUBSTITUTE(SUBSTITUTE(SUBSTITUTE('Ingest Template'!N373,"http:",""),"https:",""),"/","")</f>
        <v/>
      </c>
      <c r="Y373" s="4" t="str">
        <f t="array" ref="Y373">IF('Ingest Template'!A373="Standard",(IF(ISBLANK('Ingest Template'!O373),"", 'Ingest Template'!O373&amp;"|DAR")),(IF(ISBLANK('Ingest Template'!O373),"", 'Ingest Template'!O373&amp;"|Film Ops")))</f>
        <v/>
      </c>
      <c r="Z373" s="4"/>
      <c r="AA373" s="4" t="str">
        <f>'Ingest Template'!E373</f>
        <v/>
      </c>
      <c r="AB373" s="7"/>
      <c r="AC373" s="4" t="str">
        <f t="array" ref="AC373">IF('Ingest Template'!A373="Standard",(CONCATENATE(IF(ISBLANK('Ingest Template'!F373),"", 'Ingest Template'!F373&amp;"|DAR"),CHAR(10), IF(ISBLANK('Ingest Template'!G373),"", 'Ingest Template'!G373&amp;"|DAR"),CHAR(10), IF(ISBLANK('Ingest Template'!H373),"", 'Ingest Template'!H373&amp;"|DAR"))),(CONCATENATE(IF(ISBLANK('Ingest Template'!F373),"", 'Ingest Template'!F373&amp;"|Film Ops"),CHAR(10), IF(ISBLANK('Ingest Template'!G373),"", 'Ingest Template'!G373&amp;"|Film Ops"),CHAR(10), IF(ISBLANK('Ingest Template'!H373),"", 'Ingest Template'!H373&amp;"|Film Ops"))))</f>
        <v>
</v>
      </c>
      <c r="AD373" s="4"/>
      <c r="AE373" s="4"/>
      <c r="AF373" s="10"/>
      <c r="AG373" s="4"/>
      <c r="AH373" s="4"/>
    </row>
    <row r="374">
      <c r="A374" s="4"/>
      <c r="B374" s="4" t="str">
        <f>'Ingest Template'!B374&amp;IF('Ingest Template'!A374 = "Standard", " - DAR","")</f>
        <v/>
      </c>
      <c r="C374" s="5" t="s">
        <v>34</v>
      </c>
      <c r="D374" s="5" t="str">
        <f>CONCATENATE('Ingest Template'!C374,'Ingest Template'!D374)</f>
        <v/>
      </c>
      <c r="E374" s="4"/>
      <c r="F374" s="4"/>
      <c r="G374" s="4"/>
      <c r="H374" s="6"/>
      <c r="I374" s="6" t="str">
        <f>iF('Ingest Template'!A374="Standard","Pristine Brand","Unknown")</f>
        <v>Unknown</v>
      </c>
      <c r="J374" s="4" t="str">
        <f>iF('Ingest Template'!A374="Standard","LF // Beverages","Competitive View")</f>
        <v>Competitive View</v>
      </c>
      <c r="K374" s="7" t="s">
        <v>35</v>
      </c>
      <c r="L374" s="8"/>
      <c r="M374" s="4"/>
      <c r="N374" s="4"/>
      <c r="O374" s="4"/>
      <c r="P374" s="4"/>
      <c r="Q374" s="4"/>
      <c r="R374" s="7" t="s">
        <v>36</v>
      </c>
      <c r="S374" s="4" t="str">
        <f>'Ingest Template'!J374</f>
        <v/>
      </c>
      <c r="T374" s="4" t="str">
        <f>'Ingest Template'!I374</f>
        <v/>
      </c>
      <c r="U374" s="4" t="str">
        <f>LOWER(SUBSTITUTE(SUBSTITUTE(SUBSTITUTE(SUBSTITUTE(SUBSTITUTE('Ingest Template'!K374,"https:",""),"www.",""),"/",""),"?hl=en",""),"instagram.com",""))</f>
        <v/>
      </c>
      <c r="V374" s="9" t="str">
        <f>'Ingest Template'!L374</f>
        <v/>
      </c>
      <c r="W374" s="9" t="str">
        <f>'Ingest Template'!M374</f>
        <v/>
      </c>
      <c r="X374" s="4" t="str">
        <f>SUBSTITUTE(SUBSTITUTE(SUBSTITUTE('Ingest Template'!N374,"http:",""),"https:",""),"/","")</f>
        <v/>
      </c>
      <c r="Y374" s="4" t="str">
        <f t="array" ref="Y374">IF('Ingest Template'!A374="Standard",(IF(ISBLANK('Ingest Template'!O374),"", 'Ingest Template'!O374&amp;"|DAR")),(IF(ISBLANK('Ingest Template'!O374),"", 'Ingest Template'!O374&amp;"|Film Ops")))</f>
        <v/>
      </c>
      <c r="Z374" s="4"/>
      <c r="AA374" s="4" t="str">
        <f>'Ingest Template'!E374</f>
        <v/>
      </c>
      <c r="AB374" s="7"/>
      <c r="AC374" s="4" t="str">
        <f t="array" ref="AC374">IF('Ingest Template'!A374="Standard",(CONCATENATE(IF(ISBLANK('Ingest Template'!F374),"", 'Ingest Template'!F374&amp;"|DAR"),CHAR(10), IF(ISBLANK('Ingest Template'!G374),"", 'Ingest Template'!G374&amp;"|DAR"),CHAR(10), IF(ISBLANK('Ingest Template'!H374),"", 'Ingest Template'!H374&amp;"|DAR"))),(CONCATENATE(IF(ISBLANK('Ingest Template'!F374),"", 'Ingest Template'!F374&amp;"|Film Ops"),CHAR(10), IF(ISBLANK('Ingest Template'!G374),"", 'Ingest Template'!G374&amp;"|Film Ops"),CHAR(10), IF(ISBLANK('Ingest Template'!H374),"", 'Ingest Template'!H374&amp;"|Film Ops"))))</f>
        <v>
</v>
      </c>
      <c r="AD374" s="4"/>
      <c r="AE374" s="4"/>
      <c r="AF374" s="10"/>
      <c r="AG374" s="4"/>
      <c r="AH374" s="4"/>
    </row>
    <row r="375">
      <c r="A375" s="4"/>
      <c r="B375" s="4" t="str">
        <f>'Ingest Template'!B375&amp;IF('Ingest Template'!A375 = "Standard", " - DAR","")</f>
        <v/>
      </c>
      <c r="C375" s="5" t="s">
        <v>34</v>
      </c>
      <c r="D375" s="5" t="str">
        <f>CONCATENATE('Ingest Template'!C375,'Ingest Template'!D375)</f>
        <v/>
      </c>
      <c r="E375" s="4"/>
      <c r="F375" s="4"/>
      <c r="G375" s="4"/>
      <c r="H375" s="6"/>
      <c r="I375" s="6" t="str">
        <f>iF('Ingest Template'!A375="Standard","Pristine Brand","Unknown")</f>
        <v>Unknown</v>
      </c>
      <c r="J375" s="4" t="str">
        <f>iF('Ingest Template'!A375="Standard","LF // Beverages","Competitive View")</f>
        <v>Competitive View</v>
      </c>
      <c r="K375" s="7" t="s">
        <v>35</v>
      </c>
      <c r="L375" s="8"/>
      <c r="M375" s="4"/>
      <c r="N375" s="4"/>
      <c r="O375" s="4"/>
      <c r="P375" s="4"/>
      <c r="Q375" s="4"/>
      <c r="R375" s="7" t="s">
        <v>36</v>
      </c>
      <c r="S375" s="4" t="str">
        <f>'Ingest Template'!J375</f>
        <v/>
      </c>
      <c r="T375" s="4" t="str">
        <f>'Ingest Template'!I375</f>
        <v/>
      </c>
      <c r="U375" s="4" t="str">
        <f>LOWER(SUBSTITUTE(SUBSTITUTE(SUBSTITUTE(SUBSTITUTE(SUBSTITUTE('Ingest Template'!K375,"https:",""),"www.",""),"/",""),"?hl=en",""),"instagram.com",""))</f>
        <v/>
      </c>
      <c r="V375" s="9" t="str">
        <f>'Ingest Template'!L375</f>
        <v/>
      </c>
      <c r="W375" s="9" t="str">
        <f>'Ingest Template'!M375</f>
        <v/>
      </c>
      <c r="X375" s="4" t="str">
        <f>SUBSTITUTE(SUBSTITUTE(SUBSTITUTE('Ingest Template'!N375,"http:",""),"https:",""),"/","")</f>
        <v/>
      </c>
      <c r="Y375" s="4" t="str">
        <f t="array" ref="Y375">IF('Ingest Template'!A375="Standard",(IF(ISBLANK('Ingest Template'!O375),"", 'Ingest Template'!O375&amp;"|DAR")),(IF(ISBLANK('Ingest Template'!O375),"", 'Ingest Template'!O375&amp;"|Film Ops")))</f>
        <v/>
      </c>
      <c r="Z375" s="4"/>
      <c r="AA375" s="4" t="str">
        <f>'Ingest Template'!E375</f>
        <v/>
      </c>
      <c r="AB375" s="7"/>
      <c r="AC375" s="4" t="str">
        <f t="array" ref="AC375">IF('Ingest Template'!A375="Standard",(CONCATENATE(IF(ISBLANK('Ingest Template'!F375),"", 'Ingest Template'!F375&amp;"|DAR"),CHAR(10), IF(ISBLANK('Ingest Template'!G375),"", 'Ingest Template'!G375&amp;"|DAR"),CHAR(10), IF(ISBLANK('Ingest Template'!H375),"", 'Ingest Template'!H375&amp;"|DAR"))),(CONCATENATE(IF(ISBLANK('Ingest Template'!F375),"", 'Ingest Template'!F375&amp;"|Film Ops"),CHAR(10), IF(ISBLANK('Ingest Template'!G375),"", 'Ingest Template'!G375&amp;"|Film Ops"),CHAR(10), IF(ISBLANK('Ingest Template'!H375),"", 'Ingest Template'!H375&amp;"|Film Ops"))))</f>
        <v>
</v>
      </c>
      <c r="AD375" s="4"/>
      <c r="AE375" s="4"/>
      <c r="AF375" s="10"/>
      <c r="AG375" s="4"/>
      <c r="AH375" s="4"/>
    </row>
    <row r="376">
      <c r="A376" s="4"/>
      <c r="B376" s="4" t="str">
        <f>'Ingest Template'!B376&amp;IF('Ingest Template'!A376 = "Standard", " - DAR","")</f>
        <v/>
      </c>
      <c r="C376" s="5" t="s">
        <v>34</v>
      </c>
      <c r="D376" s="5" t="str">
        <f>CONCATENATE('Ingest Template'!C376,'Ingest Template'!D376)</f>
        <v/>
      </c>
      <c r="E376" s="4"/>
      <c r="F376" s="4"/>
      <c r="G376" s="4"/>
      <c r="H376" s="6"/>
      <c r="I376" s="6" t="str">
        <f>iF('Ingest Template'!A376="Standard","Pristine Brand","Unknown")</f>
        <v>Unknown</v>
      </c>
      <c r="J376" s="4" t="str">
        <f>iF('Ingest Template'!A376="Standard","LF // Beverages","Competitive View")</f>
        <v>Competitive View</v>
      </c>
      <c r="K376" s="7" t="s">
        <v>35</v>
      </c>
      <c r="L376" s="8"/>
      <c r="M376" s="4"/>
      <c r="N376" s="4"/>
      <c r="O376" s="4"/>
      <c r="P376" s="4"/>
      <c r="Q376" s="4"/>
      <c r="R376" s="7" t="s">
        <v>36</v>
      </c>
      <c r="S376" s="4" t="str">
        <f>'Ingest Template'!J376</f>
        <v/>
      </c>
      <c r="T376" s="4" t="str">
        <f>'Ingest Template'!I376</f>
        <v/>
      </c>
      <c r="U376" s="4" t="str">
        <f>LOWER(SUBSTITUTE(SUBSTITUTE(SUBSTITUTE(SUBSTITUTE(SUBSTITUTE('Ingest Template'!K376,"https:",""),"www.",""),"/",""),"?hl=en",""),"instagram.com",""))</f>
        <v/>
      </c>
      <c r="V376" s="9" t="str">
        <f>'Ingest Template'!L376</f>
        <v/>
      </c>
      <c r="W376" s="9" t="str">
        <f>'Ingest Template'!M376</f>
        <v/>
      </c>
      <c r="X376" s="4" t="str">
        <f>SUBSTITUTE(SUBSTITUTE(SUBSTITUTE('Ingest Template'!N376,"http:",""),"https:",""),"/","")</f>
        <v/>
      </c>
      <c r="Y376" s="4" t="str">
        <f t="array" ref="Y376">IF('Ingest Template'!A376="Standard",(IF(ISBLANK('Ingest Template'!O376),"", 'Ingest Template'!O376&amp;"|DAR")),(IF(ISBLANK('Ingest Template'!O376),"", 'Ingest Template'!O376&amp;"|Film Ops")))</f>
        <v/>
      </c>
      <c r="Z376" s="4"/>
      <c r="AA376" s="4" t="str">
        <f>'Ingest Template'!E376</f>
        <v/>
      </c>
      <c r="AB376" s="7"/>
      <c r="AC376" s="4" t="str">
        <f t="array" ref="AC376">IF('Ingest Template'!A376="Standard",(CONCATENATE(IF(ISBLANK('Ingest Template'!F376),"", 'Ingest Template'!F376&amp;"|DAR"),CHAR(10), IF(ISBLANK('Ingest Template'!G376),"", 'Ingest Template'!G376&amp;"|DAR"),CHAR(10), IF(ISBLANK('Ingest Template'!H376),"", 'Ingest Template'!H376&amp;"|DAR"))),(CONCATENATE(IF(ISBLANK('Ingest Template'!F376),"", 'Ingest Template'!F376&amp;"|Film Ops"),CHAR(10), IF(ISBLANK('Ingest Template'!G376),"", 'Ingest Template'!G376&amp;"|Film Ops"),CHAR(10), IF(ISBLANK('Ingest Template'!H376),"", 'Ingest Template'!H376&amp;"|Film Ops"))))</f>
        <v>
</v>
      </c>
      <c r="AD376" s="4"/>
      <c r="AE376" s="4"/>
      <c r="AF376" s="10"/>
      <c r="AG376" s="4"/>
      <c r="AH376" s="4"/>
    </row>
    <row r="377">
      <c r="A377" s="4"/>
      <c r="B377" s="4" t="str">
        <f>'Ingest Template'!B377&amp;IF('Ingest Template'!A377 = "Standard", " - DAR","")</f>
        <v/>
      </c>
      <c r="C377" s="5" t="s">
        <v>34</v>
      </c>
      <c r="D377" s="5" t="str">
        <f>CONCATENATE('Ingest Template'!C377,'Ingest Template'!D377)</f>
        <v/>
      </c>
      <c r="E377" s="4"/>
      <c r="F377" s="4"/>
      <c r="G377" s="4"/>
      <c r="H377" s="6"/>
      <c r="I377" s="6" t="str">
        <f>iF('Ingest Template'!A377="Standard","Pristine Brand","Unknown")</f>
        <v>Unknown</v>
      </c>
      <c r="J377" s="4" t="str">
        <f>iF('Ingest Template'!A377="Standard","LF // Beverages","Competitive View")</f>
        <v>Competitive View</v>
      </c>
      <c r="K377" s="7" t="s">
        <v>35</v>
      </c>
      <c r="L377" s="8"/>
      <c r="M377" s="4"/>
      <c r="N377" s="4"/>
      <c r="O377" s="4"/>
      <c r="P377" s="4"/>
      <c r="Q377" s="4"/>
      <c r="R377" s="7" t="s">
        <v>36</v>
      </c>
      <c r="S377" s="4" t="str">
        <f>'Ingest Template'!J377</f>
        <v/>
      </c>
      <c r="T377" s="4" t="str">
        <f>'Ingest Template'!I377</f>
        <v/>
      </c>
      <c r="U377" s="4" t="str">
        <f>LOWER(SUBSTITUTE(SUBSTITUTE(SUBSTITUTE(SUBSTITUTE(SUBSTITUTE('Ingest Template'!K377,"https:",""),"www.",""),"/",""),"?hl=en",""),"instagram.com",""))</f>
        <v/>
      </c>
      <c r="V377" s="9" t="str">
        <f>'Ingest Template'!L377</f>
        <v/>
      </c>
      <c r="W377" s="9" t="str">
        <f>'Ingest Template'!M377</f>
        <v/>
      </c>
      <c r="X377" s="4" t="str">
        <f>SUBSTITUTE(SUBSTITUTE(SUBSTITUTE('Ingest Template'!N377,"http:",""),"https:",""),"/","")</f>
        <v/>
      </c>
      <c r="Y377" s="4" t="str">
        <f t="array" ref="Y377">IF('Ingest Template'!A377="Standard",(IF(ISBLANK('Ingest Template'!O377),"", 'Ingest Template'!O377&amp;"|DAR")),(IF(ISBLANK('Ingest Template'!O377),"", 'Ingest Template'!O377&amp;"|Film Ops")))</f>
        <v/>
      </c>
      <c r="Z377" s="4"/>
      <c r="AA377" s="4" t="str">
        <f>'Ingest Template'!E377</f>
        <v/>
      </c>
      <c r="AB377" s="7"/>
      <c r="AC377" s="4" t="str">
        <f t="array" ref="AC377">IF('Ingest Template'!A377="Standard",(CONCATENATE(IF(ISBLANK('Ingest Template'!F377),"", 'Ingest Template'!F377&amp;"|DAR"),CHAR(10), IF(ISBLANK('Ingest Template'!G377),"", 'Ingest Template'!G377&amp;"|DAR"),CHAR(10), IF(ISBLANK('Ingest Template'!H377),"", 'Ingest Template'!H377&amp;"|DAR"))),(CONCATENATE(IF(ISBLANK('Ingest Template'!F377),"", 'Ingest Template'!F377&amp;"|Film Ops"),CHAR(10), IF(ISBLANK('Ingest Template'!G377),"", 'Ingest Template'!G377&amp;"|Film Ops"),CHAR(10), IF(ISBLANK('Ingest Template'!H377),"", 'Ingest Template'!H377&amp;"|Film Ops"))))</f>
        <v>
</v>
      </c>
      <c r="AD377" s="4"/>
      <c r="AE377" s="4"/>
      <c r="AF377" s="10"/>
      <c r="AG377" s="4"/>
      <c r="AH377" s="4"/>
    </row>
    <row r="378">
      <c r="A378" s="4"/>
      <c r="B378" s="4" t="str">
        <f>'Ingest Template'!B378&amp;IF('Ingest Template'!A378 = "Standard", " - DAR","")</f>
        <v/>
      </c>
      <c r="C378" s="5" t="s">
        <v>34</v>
      </c>
      <c r="D378" s="5" t="str">
        <f>CONCATENATE('Ingest Template'!C378,'Ingest Template'!D378)</f>
        <v/>
      </c>
      <c r="E378" s="4"/>
      <c r="F378" s="4"/>
      <c r="G378" s="4"/>
      <c r="H378" s="6"/>
      <c r="I378" s="6" t="str">
        <f>iF('Ingest Template'!A378="Standard","Pristine Brand","Unknown")</f>
        <v>Unknown</v>
      </c>
      <c r="J378" s="4" t="str">
        <f>iF('Ingest Template'!A378="Standard","LF // Beverages","Competitive View")</f>
        <v>Competitive View</v>
      </c>
      <c r="K378" s="7" t="s">
        <v>35</v>
      </c>
      <c r="L378" s="8"/>
      <c r="M378" s="4"/>
      <c r="N378" s="4"/>
      <c r="O378" s="4"/>
      <c r="P378" s="4"/>
      <c r="Q378" s="4"/>
      <c r="R378" s="7" t="s">
        <v>36</v>
      </c>
      <c r="S378" s="4" t="str">
        <f>'Ingest Template'!J378</f>
        <v/>
      </c>
      <c r="T378" s="4" t="str">
        <f>'Ingest Template'!I378</f>
        <v/>
      </c>
      <c r="U378" s="4" t="str">
        <f>LOWER(SUBSTITUTE(SUBSTITUTE(SUBSTITUTE(SUBSTITUTE(SUBSTITUTE('Ingest Template'!K378,"https:",""),"www.",""),"/",""),"?hl=en",""),"instagram.com",""))</f>
        <v/>
      </c>
      <c r="V378" s="9" t="str">
        <f>'Ingest Template'!L378</f>
        <v/>
      </c>
      <c r="W378" s="9" t="str">
        <f>'Ingest Template'!M378</f>
        <v/>
      </c>
      <c r="X378" s="4" t="str">
        <f>SUBSTITUTE(SUBSTITUTE(SUBSTITUTE('Ingest Template'!N378,"http:",""),"https:",""),"/","")</f>
        <v/>
      </c>
      <c r="Y378" s="4" t="str">
        <f t="array" ref="Y378">IF('Ingest Template'!A378="Standard",(IF(ISBLANK('Ingest Template'!O378),"", 'Ingest Template'!O378&amp;"|DAR")),(IF(ISBLANK('Ingest Template'!O378),"", 'Ingest Template'!O378&amp;"|Film Ops")))</f>
        <v/>
      </c>
      <c r="Z378" s="4"/>
      <c r="AA378" s="4" t="str">
        <f>'Ingest Template'!E378</f>
        <v/>
      </c>
      <c r="AB378" s="7"/>
      <c r="AC378" s="4" t="str">
        <f t="array" ref="AC378">IF('Ingest Template'!A378="Standard",(CONCATENATE(IF(ISBLANK('Ingest Template'!F378),"", 'Ingest Template'!F378&amp;"|DAR"),CHAR(10), IF(ISBLANK('Ingest Template'!G378),"", 'Ingest Template'!G378&amp;"|DAR"),CHAR(10), IF(ISBLANK('Ingest Template'!H378),"", 'Ingest Template'!H378&amp;"|DAR"))),(CONCATENATE(IF(ISBLANK('Ingest Template'!F378),"", 'Ingest Template'!F378&amp;"|Film Ops"),CHAR(10), IF(ISBLANK('Ingest Template'!G378),"", 'Ingest Template'!G378&amp;"|Film Ops"),CHAR(10), IF(ISBLANK('Ingest Template'!H378),"", 'Ingest Template'!H378&amp;"|Film Ops"))))</f>
        <v>
</v>
      </c>
      <c r="AD378" s="4"/>
      <c r="AE378" s="4"/>
      <c r="AF378" s="10"/>
      <c r="AG378" s="4"/>
      <c r="AH378" s="4"/>
    </row>
    <row r="379">
      <c r="A379" s="4"/>
      <c r="B379" s="4" t="str">
        <f>'Ingest Template'!B379&amp;IF('Ingest Template'!A379 = "Standard", " - DAR","")</f>
        <v/>
      </c>
      <c r="C379" s="5" t="s">
        <v>34</v>
      </c>
      <c r="D379" s="5" t="str">
        <f>CONCATENATE('Ingest Template'!C379,'Ingest Template'!D379)</f>
        <v/>
      </c>
      <c r="E379" s="4"/>
      <c r="F379" s="4"/>
      <c r="G379" s="4"/>
      <c r="H379" s="6"/>
      <c r="I379" s="6" t="str">
        <f>iF('Ingest Template'!A379="Standard","Pristine Brand","Unknown")</f>
        <v>Unknown</v>
      </c>
      <c r="J379" s="4" t="str">
        <f>iF('Ingest Template'!A379="Standard","LF // Beverages","Competitive View")</f>
        <v>Competitive View</v>
      </c>
      <c r="K379" s="7" t="s">
        <v>35</v>
      </c>
      <c r="L379" s="8"/>
      <c r="M379" s="4"/>
      <c r="N379" s="4"/>
      <c r="O379" s="4"/>
      <c r="P379" s="4"/>
      <c r="Q379" s="4"/>
      <c r="R379" s="7" t="s">
        <v>36</v>
      </c>
      <c r="S379" s="4" t="str">
        <f>'Ingest Template'!J379</f>
        <v/>
      </c>
      <c r="T379" s="4" t="str">
        <f>'Ingest Template'!I379</f>
        <v/>
      </c>
      <c r="U379" s="4" t="str">
        <f>LOWER(SUBSTITUTE(SUBSTITUTE(SUBSTITUTE(SUBSTITUTE(SUBSTITUTE('Ingest Template'!K379,"https:",""),"www.",""),"/",""),"?hl=en",""),"instagram.com",""))</f>
        <v/>
      </c>
      <c r="V379" s="9" t="str">
        <f>'Ingest Template'!L379</f>
        <v/>
      </c>
      <c r="W379" s="9" t="str">
        <f>'Ingest Template'!M379</f>
        <v/>
      </c>
      <c r="X379" s="4" t="str">
        <f>SUBSTITUTE(SUBSTITUTE(SUBSTITUTE('Ingest Template'!N379,"http:",""),"https:",""),"/","")</f>
        <v/>
      </c>
      <c r="Y379" s="4" t="str">
        <f t="array" ref="Y379">IF('Ingest Template'!A379="Standard",(IF(ISBLANK('Ingest Template'!O379),"", 'Ingest Template'!O379&amp;"|DAR")),(IF(ISBLANK('Ingest Template'!O379),"", 'Ingest Template'!O379&amp;"|Film Ops")))</f>
        <v/>
      </c>
      <c r="Z379" s="4"/>
      <c r="AA379" s="4" t="str">
        <f>'Ingest Template'!E379</f>
        <v/>
      </c>
      <c r="AB379" s="7"/>
      <c r="AC379" s="4" t="str">
        <f t="array" ref="AC379">IF('Ingest Template'!A379="Standard",(CONCATENATE(IF(ISBLANK('Ingest Template'!F379),"", 'Ingest Template'!F379&amp;"|DAR"),CHAR(10), IF(ISBLANK('Ingest Template'!G379),"", 'Ingest Template'!G379&amp;"|DAR"),CHAR(10), IF(ISBLANK('Ingest Template'!H379),"", 'Ingest Template'!H379&amp;"|DAR"))),(CONCATENATE(IF(ISBLANK('Ingest Template'!F379),"", 'Ingest Template'!F379&amp;"|Film Ops"),CHAR(10), IF(ISBLANK('Ingest Template'!G379),"", 'Ingest Template'!G379&amp;"|Film Ops"),CHAR(10), IF(ISBLANK('Ingest Template'!H379),"", 'Ingest Template'!H379&amp;"|Film Ops"))))</f>
        <v>
</v>
      </c>
      <c r="AD379" s="4"/>
      <c r="AE379" s="4"/>
      <c r="AF379" s="10"/>
      <c r="AG379" s="4"/>
      <c r="AH379" s="4"/>
    </row>
    <row r="380">
      <c r="A380" s="4"/>
      <c r="B380" s="4" t="str">
        <f>'Ingest Template'!B380&amp;IF('Ingest Template'!A380 = "Standard", " - DAR","")</f>
        <v/>
      </c>
      <c r="C380" s="5" t="s">
        <v>34</v>
      </c>
      <c r="D380" s="5" t="str">
        <f>CONCATENATE('Ingest Template'!C380,'Ingest Template'!D380)</f>
        <v/>
      </c>
      <c r="E380" s="4"/>
      <c r="F380" s="4"/>
      <c r="G380" s="4"/>
      <c r="H380" s="6"/>
      <c r="I380" s="6" t="str">
        <f>iF('Ingest Template'!A380="Standard","Pristine Brand","Unknown")</f>
        <v>Unknown</v>
      </c>
      <c r="J380" s="4" t="str">
        <f>iF('Ingest Template'!A380="Standard","LF // Beverages","Competitive View")</f>
        <v>Competitive View</v>
      </c>
      <c r="K380" s="7" t="s">
        <v>35</v>
      </c>
      <c r="L380" s="8"/>
      <c r="M380" s="4"/>
      <c r="N380" s="4"/>
      <c r="O380" s="4"/>
      <c r="P380" s="4"/>
      <c r="Q380" s="4"/>
      <c r="R380" s="7" t="s">
        <v>36</v>
      </c>
      <c r="S380" s="4" t="str">
        <f>'Ingest Template'!J380</f>
        <v/>
      </c>
      <c r="T380" s="4" t="str">
        <f>'Ingest Template'!I380</f>
        <v/>
      </c>
      <c r="U380" s="4" t="str">
        <f>LOWER(SUBSTITUTE(SUBSTITUTE(SUBSTITUTE(SUBSTITUTE(SUBSTITUTE('Ingest Template'!K380,"https:",""),"www.",""),"/",""),"?hl=en",""),"instagram.com",""))</f>
        <v/>
      </c>
      <c r="V380" s="9" t="str">
        <f>'Ingest Template'!L380</f>
        <v/>
      </c>
      <c r="W380" s="9" t="str">
        <f>'Ingest Template'!M380</f>
        <v/>
      </c>
      <c r="X380" s="4" t="str">
        <f>SUBSTITUTE(SUBSTITUTE(SUBSTITUTE('Ingest Template'!N380,"http:",""),"https:",""),"/","")</f>
        <v/>
      </c>
      <c r="Y380" s="4" t="str">
        <f t="array" ref="Y380">IF('Ingest Template'!A380="Standard",(IF(ISBLANK('Ingest Template'!O380),"", 'Ingest Template'!O380&amp;"|DAR")),(IF(ISBLANK('Ingest Template'!O380),"", 'Ingest Template'!O380&amp;"|Film Ops")))</f>
        <v/>
      </c>
      <c r="Z380" s="4"/>
      <c r="AA380" s="4" t="str">
        <f>'Ingest Template'!E380</f>
        <v/>
      </c>
      <c r="AB380" s="7"/>
      <c r="AC380" s="4" t="str">
        <f t="array" ref="AC380">IF('Ingest Template'!A380="Standard",(CONCATENATE(IF(ISBLANK('Ingest Template'!F380),"", 'Ingest Template'!F380&amp;"|DAR"),CHAR(10), IF(ISBLANK('Ingest Template'!G380),"", 'Ingest Template'!G380&amp;"|DAR"),CHAR(10), IF(ISBLANK('Ingest Template'!H380),"", 'Ingest Template'!H380&amp;"|DAR"))),(CONCATENATE(IF(ISBLANK('Ingest Template'!F380),"", 'Ingest Template'!F380&amp;"|Film Ops"),CHAR(10), IF(ISBLANK('Ingest Template'!G380),"", 'Ingest Template'!G380&amp;"|Film Ops"),CHAR(10), IF(ISBLANK('Ingest Template'!H380),"", 'Ingest Template'!H380&amp;"|Film Ops"))))</f>
        <v>
</v>
      </c>
      <c r="AD380" s="4"/>
      <c r="AE380" s="4"/>
      <c r="AF380" s="10"/>
      <c r="AG380" s="4"/>
      <c r="AH380" s="4"/>
    </row>
    <row r="381">
      <c r="A381" s="4"/>
      <c r="B381" s="4" t="str">
        <f>'Ingest Template'!B381&amp;IF('Ingest Template'!A381 = "Standard", " - DAR","")</f>
        <v/>
      </c>
      <c r="C381" s="5" t="s">
        <v>34</v>
      </c>
      <c r="D381" s="5" t="str">
        <f>CONCATENATE('Ingest Template'!C381,'Ingest Template'!D381)</f>
        <v/>
      </c>
      <c r="E381" s="4"/>
      <c r="F381" s="4"/>
      <c r="G381" s="4"/>
      <c r="H381" s="6"/>
      <c r="I381" s="6" t="str">
        <f>iF('Ingest Template'!A381="Standard","Pristine Brand","Unknown")</f>
        <v>Unknown</v>
      </c>
      <c r="J381" s="4" t="str">
        <f>iF('Ingest Template'!A381="Standard","LF // Beverages","Competitive View")</f>
        <v>Competitive View</v>
      </c>
      <c r="K381" s="7" t="s">
        <v>35</v>
      </c>
      <c r="L381" s="8"/>
      <c r="M381" s="4"/>
      <c r="N381" s="4"/>
      <c r="O381" s="4"/>
      <c r="P381" s="4"/>
      <c r="Q381" s="4"/>
      <c r="R381" s="7" t="s">
        <v>36</v>
      </c>
      <c r="S381" s="4" t="str">
        <f>'Ingest Template'!J381</f>
        <v/>
      </c>
      <c r="T381" s="4" t="str">
        <f>'Ingest Template'!I381</f>
        <v/>
      </c>
      <c r="U381" s="4" t="str">
        <f>LOWER(SUBSTITUTE(SUBSTITUTE(SUBSTITUTE(SUBSTITUTE(SUBSTITUTE('Ingest Template'!K381,"https:",""),"www.",""),"/",""),"?hl=en",""),"instagram.com",""))</f>
        <v/>
      </c>
      <c r="V381" s="9" t="str">
        <f>'Ingest Template'!L381</f>
        <v/>
      </c>
      <c r="W381" s="9" t="str">
        <f>'Ingest Template'!M381</f>
        <v/>
      </c>
      <c r="X381" s="4" t="str">
        <f>SUBSTITUTE(SUBSTITUTE(SUBSTITUTE('Ingest Template'!N381,"http:",""),"https:",""),"/","")</f>
        <v/>
      </c>
      <c r="Y381" s="4" t="str">
        <f t="array" ref="Y381">IF('Ingest Template'!A381="Standard",(IF(ISBLANK('Ingest Template'!O381),"", 'Ingest Template'!O381&amp;"|DAR")),(IF(ISBLANK('Ingest Template'!O381),"", 'Ingest Template'!O381&amp;"|Film Ops")))</f>
        <v/>
      </c>
      <c r="Z381" s="4"/>
      <c r="AA381" s="4" t="str">
        <f>'Ingest Template'!E381</f>
        <v/>
      </c>
      <c r="AB381" s="7"/>
      <c r="AC381" s="4" t="str">
        <f t="array" ref="AC381">IF('Ingest Template'!A381="Standard",(CONCATENATE(IF(ISBLANK('Ingest Template'!F381),"", 'Ingest Template'!F381&amp;"|DAR"),CHAR(10), IF(ISBLANK('Ingest Template'!G381),"", 'Ingest Template'!G381&amp;"|DAR"),CHAR(10), IF(ISBLANK('Ingest Template'!H381),"", 'Ingest Template'!H381&amp;"|DAR"))),(CONCATENATE(IF(ISBLANK('Ingest Template'!F381),"", 'Ingest Template'!F381&amp;"|Film Ops"),CHAR(10), IF(ISBLANK('Ingest Template'!G381),"", 'Ingest Template'!G381&amp;"|Film Ops"),CHAR(10), IF(ISBLANK('Ingest Template'!H381),"", 'Ingest Template'!H381&amp;"|Film Ops"))))</f>
        <v>
</v>
      </c>
      <c r="AD381" s="4"/>
      <c r="AE381" s="4"/>
      <c r="AF381" s="10"/>
      <c r="AG381" s="4"/>
      <c r="AH381" s="4"/>
    </row>
    <row r="382">
      <c r="A382" s="4"/>
      <c r="B382" s="4" t="str">
        <f>'Ingest Template'!B382&amp;IF('Ingest Template'!A382 = "Standard", " - DAR","")</f>
        <v/>
      </c>
      <c r="C382" s="5" t="s">
        <v>34</v>
      </c>
      <c r="D382" s="5" t="str">
        <f>CONCATENATE('Ingest Template'!C382,'Ingest Template'!D382)</f>
        <v/>
      </c>
      <c r="E382" s="4"/>
      <c r="F382" s="4"/>
      <c r="G382" s="4"/>
      <c r="H382" s="6"/>
      <c r="I382" s="6" t="str">
        <f>iF('Ingest Template'!A382="Standard","Pristine Brand","Unknown")</f>
        <v>Unknown</v>
      </c>
      <c r="J382" s="4" t="str">
        <f>iF('Ingest Template'!A382="Standard","LF // Beverages","Competitive View")</f>
        <v>Competitive View</v>
      </c>
      <c r="K382" s="7" t="s">
        <v>35</v>
      </c>
      <c r="L382" s="8"/>
      <c r="M382" s="4"/>
      <c r="N382" s="4"/>
      <c r="O382" s="4"/>
      <c r="P382" s="4"/>
      <c r="Q382" s="4"/>
      <c r="R382" s="7" t="s">
        <v>36</v>
      </c>
      <c r="S382" s="4" t="str">
        <f>'Ingest Template'!J382</f>
        <v/>
      </c>
      <c r="T382" s="4" t="str">
        <f>'Ingest Template'!I382</f>
        <v/>
      </c>
      <c r="U382" s="4" t="str">
        <f>LOWER(SUBSTITUTE(SUBSTITUTE(SUBSTITUTE(SUBSTITUTE(SUBSTITUTE('Ingest Template'!K382,"https:",""),"www.",""),"/",""),"?hl=en",""),"instagram.com",""))</f>
        <v/>
      </c>
      <c r="V382" s="9" t="str">
        <f>'Ingest Template'!L382</f>
        <v/>
      </c>
      <c r="W382" s="9" t="str">
        <f>'Ingest Template'!M382</f>
        <v/>
      </c>
      <c r="X382" s="4" t="str">
        <f>SUBSTITUTE(SUBSTITUTE(SUBSTITUTE('Ingest Template'!N382,"http:",""),"https:",""),"/","")</f>
        <v/>
      </c>
      <c r="Y382" s="4" t="str">
        <f t="array" ref="Y382">IF('Ingest Template'!A382="Standard",(IF(ISBLANK('Ingest Template'!O382),"", 'Ingest Template'!O382&amp;"|DAR")),(IF(ISBLANK('Ingest Template'!O382),"", 'Ingest Template'!O382&amp;"|Film Ops")))</f>
        <v/>
      </c>
      <c r="Z382" s="4"/>
      <c r="AA382" s="4" t="str">
        <f>'Ingest Template'!E382</f>
        <v/>
      </c>
      <c r="AB382" s="7"/>
      <c r="AC382" s="4" t="str">
        <f t="array" ref="AC382">IF('Ingest Template'!A382="Standard",(CONCATENATE(IF(ISBLANK('Ingest Template'!F382),"", 'Ingest Template'!F382&amp;"|DAR"),CHAR(10), IF(ISBLANK('Ingest Template'!G382),"", 'Ingest Template'!G382&amp;"|DAR"),CHAR(10), IF(ISBLANK('Ingest Template'!H382),"", 'Ingest Template'!H382&amp;"|DAR"))),(CONCATENATE(IF(ISBLANK('Ingest Template'!F382),"", 'Ingest Template'!F382&amp;"|Film Ops"),CHAR(10), IF(ISBLANK('Ingest Template'!G382),"", 'Ingest Template'!G382&amp;"|Film Ops"),CHAR(10), IF(ISBLANK('Ingest Template'!H382),"", 'Ingest Template'!H382&amp;"|Film Ops"))))</f>
        <v>
</v>
      </c>
      <c r="AD382" s="4"/>
      <c r="AE382" s="4"/>
      <c r="AF382" s="10"/>
      <c r="AG382" s="4"/>
      <c r="AH382" s="4"/>
    </row>
    <row r="383">
      <c r="A383" s="4"/>
      <c r="B383" s="4" t="str">
        <f>'Ingest Template'!B383&amp;IF('Ingest Template'!A383 = "Standard", " - DAR","")</f>
        <v/>
      </c>
      <c r="C383" s="5" t="s">
        <v>34</v>
      </c>
      <c r="D383" s="5" t="str">
        <f>CONCATENATE('Ingest Template'!C383,'Ingest Template'!D383)</f>
        <v/>
      </c>
      <c r="E383" s="4"/>
      <c r="F383" s="4"/>
      <c r="G383" s="4"/>
      <c r="H383" s="6"/>
      <c r="I383" s="6" t="str">
        <f>iF('Ingest Template'!A383="Standard","Pristine Brand","Unknown")</f>
        <v>Unknown</v>
      </c>
      <c r="J383" s="4" t="str">
        <f>iF('Ingest Template'!A383="Standard","LF // Beverages","Competitive View")</f>
        <v>Competitive View</v>
      </c>
      <c r="K383" s="7" t="s">
        <v>35</v>
      </c>
      <c r="L383" s="8"/>
      <c r="M383" s="4"/>
      <c r="N383" s="4"/>
      <c r="O383" s="4"/>
      <c r="P383" s="4"/>
      <c r="Q383" s="4"/>
      <c r="R383" s="7" t="s">
        <v>36</v>
      </c>
      <c r="S383" s="4" t="str">
        <f>'Ingest Template'!J383</f>
        <v/>
      </c>
      <c r="T383" s="4" t="str">
        <f>'Ingest Template'!I383</f>
        <v/>
      </c>
      <c r="U383" s="4" t="str">
        <f>LOWER(SUBSTITUTE(SUBSTITUTE(SUBSTITUTE(SUBSTITUTE(SUBSTITUTE('Ingest Template'!K383,"https:",""),"www.",""),"/",""),"?hl=en",""),"instagram.com",""))</f>
        <v/>
      </c>
      <c r="V383" s="9" t="str">
        <f>'Ingest Template'!L383</f>
        <v/>
      </c>
      <c r="W383" s="9" t="str">
        <f>'Ingest Template'!M383</f>
        <v/>
      </c>
      <c r="X383" s="4" t="str">
        <f>SUBSTITUTE(SUBSTITUTE(SUBSTITUTE('Ingest Template'!N383,"http:",""),"https:",""),"/","")</f>
        <v/>
      </c>
      <c r="Y383" s="4" t="str">
        <f t="array" ref="Y383">IF('Ingest Template'!A383="Standard",(IF(ISBLANK('Ingest Template'!O383),"", 'Ingest Template'!O383&amp;"|DAR")),(IF(ISBLANK('Ingest Template'!O383),"", 'Ingest Template'!O383&amp;"|Film Ops")))</f>
        <v/>
      </c>
      <c r="Z383" s="4"/>
      <c r="AA383" s="4" t="str">
        <f>'Ingest Template'!E383</f>
        <v/>
      </c>
      <c r="AB383" s="7"/>
      <c r="AC383" s="4" t="str">
        <f t="array" ref="AC383">IF('Ingest Template'!A383="Standard",(CONCATENATE(IF(ISBLANK('Ingest Template'!F383),"", 'Ingest Template'!F383&amp;"|DAR"),CHAR(10), IF(ISBLANK('Ingest Template'!G383),"", 'Ingest Template'!G383&amp;"|DAR"),CHAR(10), IF(ISBLANK('Ingest Template'!H383),"", 'Ingest Template'!H383&amp;"|DAR"))),(CONCATENATE(IF(ISBLANK('Ingest Template'!F383),"", 'Ingest Template'!F383&amp;"|Film Ops"),CHAR(10), IF(ISBLANK('Ingest Template'!G383),"", 'Ingest Template'!G383&amp;"|Film Ops"),CHAR(10), IF(ISBLANK('Ingest Template'!H383),"", 'Ingest Template'!H383&amp;"|Film Ops"))))</f>
        <v>
</v>
      </c>
      <c r="AD383" s="4"/>
      <c r="AE383" s="4"/>
      <c r="AF383" s="10"/>
      <c r="AG383" s="4"/>
      <c r="AH383" s="4"/>
    </row>
    <row r="384">
      <c r="A384" s="4"/>
      <c r="B384" s="4" t="str">
        <f>'Ingest Template'!B384&amp;IF('Ingest Template'!A384 = "Standard", " - DAR","")</f>
        <v/>
      </c>
      <c r="C384" s="5" t="s">
        <v>34</v>
      </c>
      <c r="D384" s="5" t="str">
        <f>CONCATENATE('Ingest Template'!C384,'Ingest Template'!D384)</f>
        <v/>
      </c>
      <c r="E384" s="4"/>
      <c r="F384" s="4"/>
      <c r="G384" s="4"/>
      <c r="H384" s="6"/>
      <c r="I384" s="6" t="str">
        <f>iF('Ingest Template'!A384="Standard","Pristine Brand","Unknown")</f>
        <v>Unknown</v>
      </c>
      <c r="J384" s="4" t="str">
        <f>iF('Ingest Template'!A384="Standard","LF // Beverages","Competitive View")</f>
        <v>Competitive View</v>
      </c>
      <c r="K384" s="7" t="s">
        <v>35</v>
      </c>
      <c r="L384" s="8"/>
      <c r="M384" s="4"/>
      <c r="N384" s="4"/>
      <c r="O384" s="4"/>
      <c r="P384" s="4"/>
      <c r="Q384" s="4"/>
      <c r="R384" s="7" t="s">
        <v>36</v>
      </c>
      <c r="S384" s="4" t="str">
        <f>'Ingest Template'!J384</f>
        <v/>
      </c>
      <c r="T384" s="4" t="str">
        <f>'Ingest Template'!I384</f>
        <v/>
      </c>
      <c r="U384" s="4" t="str">
        <f>LOWER(SUBSTITUTE(SUBSTITUTE(SUBSTITUTE(SUBSTITUTE(SUBSTITUTE('Ingest Template'!K384,"https:",""),"www.",""),"/",""),"?hl=en",""),"instagram.com",""))</f>
        <v/>
      </c>
      <c r="V384" s="9" t="str">
        <f>'Ingest Template'!L384</f>
        <v/>
      </c>
      <c r="W384" s="9" t="str">
        <f>'Ingest Template'!M384</f>
        <v/>
      </c>
      <c r="X384" s="4" t="str">
        <f>SUBSTITUTE(SUBSTITUTE(SUBSTITUTE('Ingest Template'!N384,"http:",""),"https:",""),"/","")</f>
        <v/>
      </c>
      <c r="Y384" s="4" t="str">
        <f t="array" ref="Y384">IF('Ingest Template'!A384="Standard",(IF(ISBLANK('Ingest Template'!O384),"", 'Ingest Template'!O384&amp;"|DAR")),(IF(ISBLANK('Ingest Template'!O384),"", 'Ingest Template'!O384&amp;"|Film Ops")))</f>
        <v/>
      </c>
      <c r="Z384" s="4"/>
      <c r="AA384" s="4" t="str">
        <f>'Ingest Template'!E384</f>
        <v/>
      </c>
      <c r="AB384" s="7"/>
      <c r="AC384" s="4" t="str">
        <f t="array" ref="AC384">IF('Ingest Template'!A384="Standard",(CONCATENATE(IF(ISBLANK('Ingest Template'!F384),"", 'Ingest Template'!F384&amp;"|DAR"),CHAR(10), IF(ISBLANK('Ingest Template'!G384),"", 'Ingest Template'!G384&amp;"|DAR"),CHAR(10), IF(ISBLANK('Ingest Template'!H384),"", 'Ingest Template'!H384&amp;"|DAR"))),(CONCATENATE(IF(ISBLANK('Ingest Template'!F384),"", 'Ingest Template'!F384&amp;"|Film Ops"),CHAR(10), IF(ISBLANK('Ingest Template'!G384),"", 'Ingest Template'!G384&amp;"|Film Ops"),CHAR(10), IF(ISBLANK('Ingest Template'!H384),"", 'Ingest Template'!H384&amp;"|Film Ops"))))</f>
        <v>
</v>
      </c>
      <c r="AD384" s="4"/>
      <c r="AE384" s="4"/>
      <c r="AF384" s="10"/>
      <c r="AG384" s="4"/>
      <c r="AH384" s="4"/>
    </row>
    <row r="385">
      <c r="A385" s="4"/>
      <c r="B385" s="4" t="str">
        <f>'Ingest Template'!B385&amp;IF('Ingest Template'!A385 = "Standard", " - DAR","")</f>
        <v/>
      </c>
      <c r="C385" s="5" t="s">
        <v>34</v>
      </c>
      <c r="D385" s="5" t="str">
        <f>CONCATENATE('Ingest Template'!C385,'Ingest Template'!D385)</f>
        <v/>
      </c>
      <c r="E385" s="4"/>
      <c r="F385" s="4"/>
      <c r="G385" s="4"/>
      <c r="H385" s="6"/>
      <c r="I385" s="6" t="str">
        <f>iF('Ingest Template'!A385="Standard","Pristine Brand","Unknown")</f>
        <v>Unknown</v>
      </c>
      <c r="J385" s="4" t="str">
        <f>iF('Ingest Template'!A385="Standard","LF // Beverages","Competitive View")</f>
        <v>Competitive View</v>
      </c>
      <c r="K385" s="7" t="s">
        <v>35</v>
      </c>
      <c r="L385" s="8"/>
      <c r="M385" s="4"/>
      <c r="N385" s="4"/>
      <c r="O385" s="4"/>
      <c r="P385" s="4"/>
      <c r="Q385" s="4"/>
      <c r="R385" s="7" t="s">
        <v>36</v>
      </c>
      <c r="S385" s="4" t="str">
        <f>'Ingest Template'!J385</f>
        <v/>
      </c>
      <c r="T385" s="4" t="str">
        <f>'Ingest Template'!I385</f>
        <v/>
      </c>
      <c r="U385" s="4" t="str">
        <f>LOWER(SUBSTITUTE(SUBSTITUTE(SUBSTITUTE(SUBSTITUTE(SUBSTITUTE('Ingest Template'!K385,"https:",""),"www.",""),"/",""),"?hl=en",""),"instagram.com",""))</f>
        <v/>
      </c>
      <c r="V385" s="9" t="str">
        <f>'Ingest Template'!L385</f>
        <v/>
      </c>
      <c r="W385" s="9" t="str">
        <f>'Ingest Template'!M385</f>
        <v/>
      </c>
      <c r="X385" s="4" t="str">
        <f>SUBSTITUTE(SUBSTITUTE(SUBSTITUTE('Ingest Template'!N385,"http:",""),"https:",""),"/","")</f>
        <v/>
      </c>
      <c r="Y385" s="4" t="str">
        <f t="array" ref="Y385">IF('Ingest Template'!A385="Standard",(IF(ISBLANK('Ingest Template'!O385),"", 'Ingest Template'!O385&amp;"|DAR")),(IF(ISBLANK('Ingest Template'!O385),"", 'Ingest Template'!O385&amp;"|Film Ops")))</f>
        <v/>
      </c>
      <c r="Z385" s="4"/>
      <c r="AA385" s="4" t="str">
        <f>'Ingest Template'!E385</f>
        <v/>
      </c>
      <c r="AB385" s="7"/>
      <c r="AC385" s="4" t="str">
        <f t="array" ref="AC385">IF('Ingest Template'!A385="Standard",(CONCATENATE(IF(ISBLANK('Ingest Template'!F385),"", 'Ingest Template'!F385&amp;"|DAR"),CHAR(10), IF(ISBLANK('Ingest Template'!G385),"", 'Ingest Template'!G385&amp;"|DAR"),CHAR(10), IF(ISBLANK('Ingest Template'!H385),"", 'Ingest Template'!H385&amp;"|DAR"))),(CONCATENATE(IF(ISBLANK('Ingest Template'!F385),"", 'Ingest Template'!F385&amp;"|Film Ops"),CHAR(10), IF(ISBLANK('Ingest Template'!G385),"", 'Ingest Template'!G385&amp;"|Film Ops"),CHAR(10), IF(ISBLANK('Ingest Template'!H385),"", 'Ingest Template'!H385&amp;"|Film Ops"))))</f>
        <v>
</v>
      </c>
      <c r="AD385" s="4"/>
      <c r="AE385" s="4"/>
      <c r="AF385" s="10"/>
      <c r="AG385" s="4"/>
      <c r="AH385" s="4"/>
    </row>
    <row r="386">
      <c r="A386" s="4"/>
      <c r="B386" s="4" t="str">
        <f>'Ingest Template'!B386&amp;IF('Ingest Template'!A386 = "Standard", " - DAR","")</f>
        <v/>
      </c>
      <c r="C386" s="5" t="s">
        <v>34</v>
      </c>
      <c r="D386" s="5" t="str">
        <f>CONCATENATE('Ingest Template'!C386,'Ingest Template'!D386)</f>
        <v/>
      </c>
      <c r="E386" s="4"/>
      <c r="F386" s="4"/>
      <c r="G386" s="4"/>
      <c r="H386" s="6"/>
      <c r="I386" s="6" t="str">
        <f>iF('Ingest Template'!A386="Standard","Pristine Brand","Unknown")</f>
        <v>Unknown</v>
      </c>
      <c r="J386" s="4" t="str">
        <f>iF('Ingest Template'!A386="Standard","LF // Beverages","Competitive View")</f>
        <v>Competitive View</v>
      </c>
      <c r="K386" s="7" t="s">
        <v>35</v>
      </c>
      <c r="L386" s="8"/>
      <c r="M386" s="4"/>
      <c r="N386" s="4"/>
      <c r="O386" s="4"/>
      <c r="P386" s="4"/>
      <c r="Q386" s="4"/>
      <c r="R386" s="7" t="s">
        <v>36</v>
      </c>
      <c r="S386" s="4" t="str">
        <f>'Ingest Template'!J386</f>
        <v/>
      </c>
      <c r="T386" s="4" t="str">
        <f>'Ingest Template'!I386</f>
        <v/>
      </c>
      <c r="U386" s="4" t="str">
        <f>LOWER(SUBSTITUTE(SUBSTITUTE(SUBSTITUTE(SUBSTITUTE(SUBSTITUTE('Ingest Template'!K386,"https:",""),"www.",""),"/",""),"?hl=en",""),"instagram.com",""))</f>
        <v/>
      </c>
      <c r="V386" s="9" t="str">
        <f>'Ingest Template'!L386</f>
        <v/>
      </c>
      <c r="W386" s="9" t="str">
        <f>'Ingest Template'!M386</f>
        <v/>
      </c>
      <c r="X386" s="4" t="str">
        <f>SUBSTITUTE(SUBSTITUTE(SUBSTITUTE('Ingest Template'!N386,"http:",""),"https:",""),"/","")</f>
        <v/>
      </c>
      <c r="Y386" s="4" t="str">
        <f t="array" ref="Y386">IF('Ingest Template'!A386="Standard",(IF(ISBLANK('Ingest Template'!O386),"", 'Ingest Template'!O386&amp;"|DAR")),(IF(ISBLANK('Ingest Template'!O386),"", 'Ingest Template'!O386&amp;"|Film Ops")))</f>
        <v/>
      </c>
      <c r="Z386" s="4"/>
      <c r="AA386" s="4" t="str">
        <f>'Ingest Template'!E386</f>
        <v/>
      </c>
      <c r="AB386" s="7"/>
      <c r="AC386" s="4" t="str">
        <f t="array" ref="AC386">IF('Ingest Template'!A386="Standard",(CONCATENATE(IF(ISBLANK('Ingest Template'!F386),"", 'Ingest Template'!F386&amp;"|DAR"),CHAR(10), IF(ISBLANK('Ingest Template'!G386),"", 'Ingest Template'!G386&amp;"|DAR"),CHAR(10), IF(ISBLANK('Ingest Template'!H386),"", 'Ingest Template'!H386&amp;"|DAR"))),(CONCATENATE(IF(ISBLANK('Ingest Template'!F386),"", 'Ingest Template'!F386&amp;"|Film Ops"),CHAR(10), IF(ISBLANK('Ingest Template'!G386),"", 'Ingest Template'!G386&amp;"|Film Ops"),CHAR(10), IF(ISBLANK('Ingest Template'!H386),"", 'Ingest Template'!H386&amp;"|Film Ops"))))</f>
        <v>
</v>
      </c>
      <c r="AD386" s="4"/>
      <c r="AE386" s="4"/>
      <c r="AF386" s="10"/>
      <c r="AG386" s="4"/>
      <c r="AH386" s="4"/>
    </row>
    <row r="387">
      <c r="A387" s="4"/>
      <c r="B387" s="4" t="str">
        <f>'Ingest Template'!B387&amp;IF('Ingest Template'!A387 = "Standard", " - DAR","")</f>
        <v/>
      </c>
      <c r="C387" s="5" t="s">
        <v>34</v>
      </c>
      <c r="D387" s="5" t="str">
        <f>CONCATENATE('Ingest Template'!C387,'Ingest Template'!D387)</f>
        <v/>
      </c>
      <c r="E387" s="4"/>
      <c r="F387" s="4"/>
      <c r="G387" s="4"/>
      <c r="H387" s="6"/>
      <c r="I387" s="6" t="str">
        <f>iF('Ingest Template'!A387="Standard","Pristine Brand","Unknown")</f>
        <v>Unknown</v>
      </c>
      <c r="J387" s="4" t="str">
        <f>iF('Ingest Template'!A387="Standard","LF // Beverages","Competitive View")</f>
        <v>Competitive View</v>
      </c>
      <c r="K387" s="7" t="s">
        <v>35</v>
      </c>
      <c r="L387" s="8"/>
      <c r="M387" s="4"/>
      <c r="N387" s="4"/>
      <c r="O387" s="4"/>
      <c r="P387" s="4"/>
      <c r="Q387" s="4"/>
      <c r="R387" s="7" t="s">
        <v>36</v>
      </c>
      <c r="S387" s="4" t="str">
        <f>'Ingest Template'!J387</f>
        <v/>
      </c>
      <c r="T387" s="4" t="str">
        <f>'Ingest Template'!I387</f>
        <v/>
      </c>
      <c r="U387" s="4" t="str">
        <f>LOWER(SUBSTITUTE(SUBSTITUTE(SUBSTITUTE(SUBSTITUTE(SUBSTITUTE('Ingest Template'!K387,"https:",""),"www.",""),"/",""),"?hl=en",""),"instagram.com",""))</f>
        <v/>
      </c>
      <c r="V387" s="9" t="str">
        <f>'Ingest Template'!L387</f>
        <v/>
      </c>
      <c r="W387" s="9" t="str">
        <f>'Ingest Template'!M387</f>
        <v/>
      </c>
      <c r="X387" s="4" t="str">
        <f>SUBSTITUTE(SUBSTITUTE(SUBSTITUTE('Ingest Template'!N387,"http:",""),"https:",""),"/","")</f>
        <v/>
      </c>
      <c r="Y387" s="4" t="str">
        <f t="array" ref="Y387">IF('Ingest Template'!A387="Standard",(IF(ISBLANK('Ingest Template'!O387),"", 'Ingest Template'!O387&amp;"|DAR")),(IF(ISBLANK('Ingest Template'!O387),"", 'Ingest Template'!O387&amp;"|Film Ops")))</f>
        <v/>
      </c>
      <c r="Z387" s="4"/>
      <c r="AA387" s="4" t="str">
        <f>'Ingest Template'!E387</f>
        <v/>
      </c>
      <c r="AB387" s="7"/>
      <c r="AC387" s="4" t="str">
        <f t="array" ref="AC387">IF('Ingest Template'!A387="Standard",(CONCATENATE(IF(ISBLANK('Ingest Template'!F387),"", 'Ingest Template'!F387&amp;"|DAR"),CHAR(10), IF(ISBLANK('Ingest Template'!G387),"", 'Ingest Template'!G387&amp;"|DAR"),CHAR(10), IF(ISBLANK('Ingest Template'!H387),"", 'Ingest Template'!H387&amp;"|DAR"))),(CONCATENATE(IF(ISBLANK('Ingest Template'!F387),"", 'Ingest Template'!F387&amp;"|Film Ops"),CHAR(10), IF(ISBLANK('Ingest Template'!G387),"", 'Ingest Template'!G387&amp;"|Film Ops"),CHAR(10), IF(ISBLANK('Ingest Template'!H387),"", 'Ingest Template'!H387&amp;"|Film Ops"))))</f>
        <v>
</v>
      </c>
      <c r="AD387" s="4"/>
      <c r="AE387" s="4"/>
      <c r="AF387" s="10"/>
      <c r="AG387" s="4"/>
      <c r="AH387" s="4"/>
    </row>
    <row r="388">
      <c r="A388" s="4"/>
      <c r="B388" s="4" t="str">
        <f>'Ingest Template'!B388&amp;IF('Ingest Template'!A388 = "Standard", " - DAR","")</f>
        <v/>
      </c>
      <c r="C388" s="5" t="s">
        <v>34</v>
      </c>
      <c r="D388" s="5" t="str">
        <f>CONCATENATE('Ingest Template'!C388,'Ingest Template'!D388)</f>
        <v/>
      </c>
      <c r="E388" s="4"/>
      <c r="F388" s="4"/>
      <c r="G388" s="4"/>
      <c r="H388" s="6"/>
      <c r="I388" s="6" t="str">
        <f>iF('Ingest Template'!A388="Standard","Pristine Brand","Unknown")</f>
        <v>Unknown</v>
      </c>
      <c r="J388" s="4" t="str">
        <f>iF('Ingest Template'!A388="Standard","LF // Beverages","Competitive View")</f>
        <v>Competitive View</v>
      </c>
      <c r="K388" s="7" t="s">
        <v>35</v>
      </c>
      <c r="L388" s="8"/>
      <c r="M388" s="4"/>
      <c r="N388" s="4"/>
      <c r="O388" s="4"/>
      <c r="P388" s="4"/>
      <c r="Q388" s="4"/>
      <c r="R388" s="7" t="s">
        <v>36</v>
      </c>
      <c r="S388" s="4" t="str">
        <f>'Ingest Template'!J388</f>
        <v/>
      </c>
      <c r="T388" s="4" t="str">
        <f>'Ingest Template'!I388</f>
        <v/>
      </c>
      <c r="U388" s="4" t="str">
        <f>LOWER(SUBSTITUTE(SUBSTITUTE(SUBSTITUTE(SUBSTITUTE(SUBSTITUTE('Ingest Template'!K388,"https:",""),"www.",""),"/",""),"?hl=en",""),"instagram.com",""))</f>
        <v/>
      </c>
      <c r="V388" s="9" t="str">
        <f>'Ingest Template'!L388</f>
        <v/>
      </c>
      <c r="W388" s="9" t="str">
        <f>'Ingest Template'!M388</f>
        <v/>
      </c>
      <c r="X388" s="4" t="str">
        <f>SUBSTITUTE(SUBSTITUTE(SUBSTITUTE('Ingest Template'!N388,"http:",""),"https:",""),"/","")</f>
        <v/>
      </c>
      <c r="Y388" s="4" t="str">
        <f t="array" ref="Y388">IF('Ingest Template'!A388="Standard",(IF(ISBLANK('Ingest Template'!O388),"", 'Ingest Template'!O388&amp;"|DAR")),(IF(ISBLANK('Ingest Template'!O388),"", 'Ingest Template'!O388&amp;"|Film Ops")))</f>
        <v/>
      </c>
      <c r="Z388" s="4"/>
      <c r="AA388" s="4" t="str">
        <f>'Ingest Template'!E388</f>
        <v/>
      </c>
      <c r="AB388" s="7"/>
      <c r="AC388" s="4" t="str">
        <f t="array" ref="AC388">IF('Ingest Template'!A388="Standard",(CONCATENATE(IF(ISBLANK('Ingest Template'!F388),"", 'Ingest Template'!F388&amp;"|DAR"),CHAR(10), IF(ISBLANK('Ingest Template'!G388),"", 'Ingest Template'!G388&amp;"|DAR"),CHAR(10), IF(ISBLANK('Ingest Template'!H388),"", 'Ingest Template'!H388&amp;"|DAR"))),(CONCATENATE(IF(ISBLANK('Ingest Template'!F388),"", 'Ingest Template'!F388&amp;"|Film Ops"),CHAR(10), IF(ISBLANK('Ingest Template'!G388),"", 'Ingest Template'!G388&amp;"|Film Ops"),CHAR(10), IF(ISBLANK('Ingest Template'!H388),"", 'Ingest Template'!H388&amp;"|Film Ops"))))</f>
        <v>
</v>
      </c>
      <c r="AD388" s="4"/>
      <c r="AE388" s="4"/>
      <c r="AF388" s="10"/>
      <c r="AG388" s="4"/>
      <c r="AH388" s="4"/>
    </row>
    <row r="389">
      <c r="A389" s="4"/>
      <c r="B389" s="4" t="str">
        <f>'Ingest Template'!B389&amp;IF('Ingest Template'!A389 = "Standard", " - DAR","")</f>
        <v/>
      </c>
      <c r="C389" s="5" t="s">
        <v>34</v>
      </c>
      <c r="D389" s="5" t="str">
        <f>CONCATENATE('Ingest Template'!C389,'Ingest Template'!D389)</f>
        <v/>
      </c>
      <c r="E389" s="4"/>
      <c r="F389" s="4"/>
      <c r="G389" s="4"/>
      <c r="H389" s="6"/>
      <c r="I389" s="6" t="str">
        <f>iF('Ingest Template'!A389="Standard","Pristine Brand","Unknown")</f>
        <v>Unknown</v>
      </c>
      <c r="J389" s="4" t="str">
        <f>iF('Ingest Template'!A389="Standard","LF // Beverages","Competitive View")</f>
        <v>Competitive View</v>
      </c>
      <c r="K389" s="7" t="s">
        <v>35</v>
      </c>
      <c r="L389" s="8"/>
      <c r="M389" s="4"/>
      <c r="N389" s="4"/>
      <c r="O389" s="4"/>
      <c r="P389" s="4"/>
      <c r="Q389" s="4"/>
      <c r="R389" s="7" t="s">
        <v>36</v>
      </c>
      <c r="S389" s="4" t="str">
        <f>'Ingest Template'!J389</f>
        <v/>
      </c>
      <c r="T389" s="4" t="str">
        <f>'Ingest Template'!I389</f>
        <v/>
      </c>
      <c r="U389" s="4" t="str">
        <f>LOWER(SUBSTITUTE(SUBSTITUTE(SUBSTITUTE(SUBSTITUTE(SUBSTITUTE('Ingest Template'!K389,"https:",""),"www.",""),"/",""),"?hl=en",""),"instagram.com",""))</f>
        <v/>
      </c>
      <c r="V389" s="9" t="str">
        <f>'Ingest Template'!L389</f>
        <v/>
      </c>
      <c r="W389" s="9" t="str">
        <f>'Ingest Template'!M389</f>
        <v/>
      </c>
      <c r="X389" s="4" t="str">
        <f>SUBSTITUTE(SUBSTITUTE(SUBSTITUTE('Ingest Template'!N389,"http:",""),"https:",""),"/","")</f>
        <v/>
      </c>
      <c r="Y389" s="4" t="str">
        <f t="array" ref="Y389">IF('Ingest Template'!A389="Standard",(IF(ISBLANK('Ingest Template'!O389),"", 'Ingest Template'!O389&amp;"|DAR")),(IF(ISBLANK('Ingest Template'!O389),"", 'Ingest Template'!O389&amp;"|Film Ops")))</f>
        <v/>
      </c>
      <c r="Z389" s="4"/>
      <c r="AA389" s="4" t="str">
        <f>'Ingest Template'!E389</f>
        <v/>
      </c>
      <c r="AB389" s="7"/>
      <c r="AC389" s="4" t="str">
        <f t="array" ref="AC389">IF('Ingest Template'!A389="Standard",(CONCATENATE(IF(ISBLANK('Ingest Template'!F389),"", 'Ingest Template'!F389&amp;"|DAR"),CHAR(10), IF(ISBLANK('Ingest Template'!G389),"", 'Ingest Template'!G389&amp;"|DAR"),CHAR(10), IF(ISBLANK('Ingest Template'!H389),"", 'Ingest Template'!H389&amp;"|DAR"))),(CONCATENATE(IF(ISBLANK('Ingest Template'!F389),"", 'Ingest Template'!F389&amp;"|Film Ops"),CHAR(10), IF(ISBLANK('Ingest Template'!G389),"", 'Ingest Template'!G389&amp;"|Film Ops"),CHAR(10), IF(ISBLANK('Ingest Template'!H389),"", 'Ingest Template'!H389&amp;"|Film Ops"))))</f>
        <v>
</v>
      </c>
      <c r="AD389" s="4"/>
      <c r="AE389" s="4"/>
      <c r="AF389" s="10"/>
      <c r="AG389" s="4"/>
      <c r="AH389" s="4"/>
    </row>
    <row r="390">
      <c r="A390" s="4"/>
      <c r="B390" s="4" t="str">
        <f>'Ingest Template'!B390&amp;IF('Ingest Template'!A390 = "Standard", " - DAR","")</f>
        <v/>
      </c>
      <c r="C390" s="5" t="s">
        <v>34</v>
      </c>
      <c r="D390" s="5" t="str">
        <f>CONCATENATE('Ingest Template'!C390,'Ingest Template'!D390)</f>
        <v/>
      </c>
      <c r="E390" s="4"/>
      <c r="F390" s="4"/>
      <c r="G390" s="4"/>
      <c r="H390" s="6"/>
      <c r="I390" s="6" t="str">
        <f>iF('Ingest Template'!A390="Standard","Pristine Brand","Unknown")</f>
        <v>Unknown</v>
      </c>
      <c r="J390" s="4" t="str">
        <f>iF('Ingest Template'!A390="Standard","LF // Beverages","Competitive View")</f>
        <v>Competitive View</v>
      </c>
      <c r="K390" s="7" t="s">
        <v>35</v>
      </c>
      <c r="L390" s="8"/>
      <c r="M390" s="4"/>
      <c r="N390" s="4"/>
      <c r="O390" s="4"/>
      <c r="P390" s="4"/>
      <c r="Q390" s="4"/>
      <c r="R390" s="7" t="s">
        <v>36</v>
      </c>
      <c r="S390" s="4" t="str">
        <f>'Ingest Template'!J390</f>
        <v/>
      </c>
      <c r="T390" s="4" t="str">
        <f>'Ingest Template'!I390</f>
        <v/>
      </c>
      <c r="U390" s="4" t="str">
        <f>LOWER(SUBSTITUTE(SUBSTITUTE(SUBSTITUTE(SUBSTITUTE(SUBSTITUTE('Ingest Template'!K390,"https:",""),"www.",""),"/",""),"?hl=en",""),"instagram.com",""))</f>
        <v/>
      </c>
      <c r="V390" s="9" t="str">
        <f>'Ingest Template'!L390</f>
        <v/>
      </c>
      <c r="W390" s="9" t="str">
        <f>'Ingest Template'!M390</f>
        <v/>
      </c>
      <c r="X390" s="4" t="str">
        <f>SUBSTITUTE(SUBSTITUTE(SUBSTITUTE('Ingest Template'!N390,"http:",""),"https:",""),"/","")</f>
        <v/>
      </c>
      <c r="Y390" s="4" t="str">
        <f t="array" ref="Y390">IF('Ingest Template'!A390="Standard",(IF(ISBLANK('Ingest Template'!O390),"", 'Ingest Template'!O390&amp;"|DAR")),(IF(ISBLANK('Ingest Template'!O390),"", 'Ingest Template'!O390&amp;"|Film Ops")))</f>
        <v/>
      </c>
      <c r="Z390" s="4"/>
      <c r="AA390" s="4" t="str">
        <f>'Ingest Template'!E390</f>
        <v/>
      </c>
      <c r="AB390" s="7"/>
      <c r="AC390" s="4" t="str">
        <f t="array" ref="AC390">IF('Ingest Template'!A390="Standard",(CONCATENATE(IF(ISBLANK('Ingest Template'!F390),"", 'Ingest Template'!F390&amp;"|DAR"),CHAR(10), IF(ISBLANK('Ingest Template'!G390),"", 'Ingest Template'!G390&amp;"|DAR"),CHAR(10), IF(ISBLANK('Ingest Template'!H390),"", 'Ingest Template'!H390&amp;"|DAR"))),(CONCATENATE(IF(ISBLANK('Ingest Template'!F390),"", 'Ingest Template'!F390&amp;"|Film Ops"),CHAR(10), IF(ISBLANK('Ingest Template'!G390),"", 'Ingest Template'!G390&amp;"|Film Ops"),CHAR(10), IF(ISBLANK('Ingest Template'!H390),"", 'Ingest Template'!H390&amp;"|Film Ops"))))</f>
        <v>
</v>
      </c>
      <c r="AD390" s="4"/>
      <c r="AE390" s="4"/>
      <c r="AF390" s="10"/>
      <c r="AG390" s="4"/>
      <c r="AH390" s="4"/>
    </row>
    <row r="391">
      <c r="A391" s="4"/>
      <c r="B391" s="4" t="str">
        <f>'Ingest Template'!B391&amp;IF('Ingest Template'!A391 = "Standard", " - DAR","")</f>
        <v/>
      </c>
      <c r="C391" s="5" t="s">
        <v>34</v>
      </c>
      <c r="D391" s="5" t="str">
        <f>CONCATENATE('Ingest Template'!C391,'Ingest Template'!D391)</f>
        <v/>
      </c>
      <c r="E391" s="4"/>
      <c r="F391" s="4"/>
      <c r="G391" s="4"/>
      <c r="H391" s="6"/>
      <c r="I391" s="6" t="str">
        <f>iF('Ingest Template'!A391="Standard","Pristine Brand","Unknown")</f>
        <v>Unknown</v>
      </c>
      <c r="J391" s="4" t="str">
        <f>iF('Ingest Template'!A391="Standard","LF // Beverages","Competitive View")</f>
        <v>Competitive View</v>
      </c>
      <c r="K391" s="7" t="s">
        <v>35</v>
      </c>
      <c r="L391" s="8"/>
      <c r="M391" s="4"/>
      <c r="N391" s="4"/>
      <c r="O391" s="4"/>
      <c r="P391" s="4"/>
      <c r="Q391" s="4"/>
      <c r="R391" s="7" t="s">
        <v>36</v>
      </c>
      <c r="S391" s="4" t="str">
        <f>'Ingest Template'!J391</f>
        <v/>
      </c>
      <c r="T391" s="4" t="str">
        <f>'Ingest Template'!I391</f>
        <v/>
      </c>
      <c r="U391" s="4" t="str">
        <f>LOWER(SUBSTITUTE(SUBSTITUTE(SUBSTITUTE(SUBSTITUTE(SUBSTITUTE('Ingest Template'!K391,"https:",""),"www.",""),"/",""),"?hl=en",""),"instagram.com",""))</f>
        <v/>
      </c>
      <c r="V391" s="9" t="str">
        <f>'Ingest Template'!L391</f>
        <v/>
      </c>
      <c r="W391" s="9" t="str">
        <f>'Ingest Template'!M391</f>
        <v/>
      </c>
      <c r="X391" s="4" t="str">
        <f>SUBSTITUTE(SUBSTITUTE(SUBSTITUTE('Ingest Template'!N391,"http:",""),"https:",""),"/","")</f>
        <v/>
      </c>
      <c r="Y391" s="4" t="str">
        <f t="array" ref="Y391">IF('Ingest Template'!A391="Standard",(IF(ISBLANK('Ingest Template'!O391),"", 'Ingest Template'!O391&amp;"|DAR")),(IF(ISBLANK('Ingest Template'!O391),"", 'Ingest Template'!O391&amp;"|Film Ops")))</f>
        <v/>
      </c>
      <c r="Z391" s="4"/>
      <c r="AA391" s="4" t="str">
        <f>'Ingest Template'!E391</f>
        <v/>
      </c>
      <c r="AB391" s="7"/>
      <c r="AC391" s="4" t="str">
        <f t="array" ref="AC391">IF('Ingest Template'!A391="Standard",(CONCATENATE(IF(ISBLANK('Ingest Template'!F391),"", 'Ingest Template'!F391&amp;"|DAR"),CHAR(10), IF(ISBLANK('Ingest Template'!G391),"", 'Ingest Template'!G391&amp;"|DAR"),CHAR(10), IF(ISBLANK('Ingest Template'!H391),"", 'Ingest Template'!H391&amp;"|DAR"))),(CONCATENATE(IF(ISBLANK('Ingest Template'!F391),"", 'Ingest Template'!F391&amp;"|Film Ops"),CHAR(10), IF(ISBLANK('Ingest Template'!G391),"", 'Ingest Template'!G391&amp;"|Film Ops"),CHAR(10), IF(ISBLANK('Ingest Template'!H391),"", 'Ingest Template'!H391&amp;"|Film Ops"))))</f>
        <v>
</v>
      </c>
      <c r="AD391" s="4"/>
      <c r="AE391" s="4"/>
      <c r="AF391" s="10"/>
      <c r="AG391" s="4"/>
      <c r="AH391" s="4"/>
    </row>
    <row r="392">
      <c r="A392" s="4"/>
      <c r="B392" s="4" t="str">
        <f>'Ingest Template'!B392&amp;IF('Ingest Template'!A392 = "Standard", " - DAR","")</f>
        <v/>
      </c>
      <c r="C392" s="5" t="s">
        <v>34</v>
      </c>
      <c r="D392" s="5" t="str">
        <f>CONCATENATE('Ingest Template'!C392,'Ingest Template'!D392)</f>
        <v/>
      </c>
      <c r="E392" s="4"/>
      <c r="F392" s="4"/>
      <c r="G392" s="4"/>
      <c r="H392" s="6"/>
      <c r="I392" s="6" t="str">
        <f>iF('Ingest Template'!A392="Standard","Pristine Brand","Unknown")</f>
        <v>Unknown</v>
      </c>
      <c r="J392" s="4" t="str">
        <f>iF('Ingest Template'!A392="Standard","LF // Beverages","Competitive View")</f>
        <v>Competitive View</v>
      </c>
      <c r="K392" s="7" t="s">
        <v>35</v>
      </c>
      <c r="L392" s="8"/>
      <c r="M392" s="4"/>
      <c r="N392" s="4"/>
      <c r="O392" s="4"/>
      <c r="P392" s="4"/>
      <c r="Q392" s="4"/>
      <c r="R392" s="7" t="s">
        <v>36</v>
      </c>
      <c r="S392" s="4" t="str">
        <f>'Ingest Template'!J392</f>
        <v/>
      </c>
      <c r="T392" s="4" t="str">
        <f>'Ingest Template'!I392</f>
        <v/>
      </c>
      <c r="U392" s="4" t="str">
        <f>LOWER(SUBSTITUTE(SUBSTITUTE(SUBSTITUTE(SUBSTITUTE(SUBSTITUTE('Ingest Template'!K392,"https:",""),"www.",""),"/",""),"?hl=en",""),"instagram.com",""))</f>
        <v/>
      </c>
      <c r="V392" s="9" t="str">
        <f>'Ingest Template'!L392</f>
        <v/>
      </c>
      <c r="W392" s="9" t="str">
        <f>'Ingest Template'!M392</f>
        <v/>
      </c>
      <c r="X392" s="4" t="str">
        <f>SUBSTITUTE(SUBSTITUTE(SUBSTITUTE('Ingest Template'!N392,"http:",""),"https:",""),"/","")</f>
        <v/>
      </c>
      <c r="Y392" s="4" t="str">
        <f t="array" ref="Y392">IF('Ingest Template'!A392="Standard",(IF(ISBLANK('Ingest Template'!O392),"", 'Ingest Template'!O392&amp;"|DAR")),(IF(ISBLANK('Ingest Template'!O392),"", 'Ingest Template'!O392&amp;"|Film Ops")))</f>
        <v/>
      </c>
      <c r="Z392" s="4"/>
      <c r="AA392" s="4" t="str">
        <f>'Ingest Template'!E392</f>
        <v/>
      </c>
      <c r="AB392" s="7"/>
      <c r="AC392" s="4" t="str">
        <f t="array" ref="AC392">IF('Ingest Template'!A392="Standard",(CONCATENATE(IF(ISBLANK('Ingest Template'!F392),"", 'Ingest Template'!F392&amp;"|DAR"),CHAR(10), IF(ISBLANK('Ingest Template'!G392),"", 'Ingest Template'!G392&amp;"|DAR"),CHAR(10), IF(ISBLANK('Ingest Template'!H392),"", 'Ingest Template'!H392&amp;"|DAR"))),(CONCATENATE(IF(ISBLANK('Ingest Template'!F392),"", 'Ingest Template'!F392&amp;"|Film Ops"),CHAR(10), IF(ISBLANK('Ingest Template'!G392),"", 'Ingest Template'!G392&amp;"|Film Ops"),CHAR(10), IF(ISBLANK('Ingest Template'!H392),"", 'Ingest Template'!H392&amp;"|Film Ops"))))</f>
        <v>
</v>
      </c>
      <c r="AD392" s="4"/>
      <c r="AE392" s="4"/>
      <c r="AF392" s="10"/>
      <c r="AG392" s="4"/>
      <c r="AH392" s="4"/>
    </row>
    <row r="393">
      <c r="A393" s="4"/>
      <c r="B393" s="4" t="str">
        <f>'Ingest Template'!B393&amp;IF('Ingest Template'!A393 = "Standard", " - DAR","")</f>
        <v/>
      </c>
      <c r="C393" s="5" t="s">
        <v>34</v>
      </c>
      <c r="D393" s="5" t="str">
        <f>CONCATENATE('Ingest Template'!C393,'Ingest Template'!D393)</f>
        <v/>
      </c>
      <c r="E393" s="4"/>
      <c r="F393" s="4"/>
      <c r="G393" s="4"/>
      <c r="H393" s="6"/>
      <c r="I393" s="6" t="str">
        <f>iF('Ingest Template'!A393="Standard","Pristine Brand","Unknown")</f>
        <v>Unknown</v>
      </c>
      <c r="J393" s="4" t="str">
        <f>iF('Ingest Template'!A393="Standard","LF // Beverages","Competitive View")</f>
        <v>Competitive View</v>
      </c>
      <c r="K393" s="7" t="s">
        <v>35</v>
      </c>
      <c r="L393" s="8"/>
      <c r="M393" s="4"/>
      <c r="N393" s="4"/>
      <c r="O393" s="4"/>
      <c r="P393" s="4"/>
      <c r="Q393" s="4"/>
      <c r="R393" s="7" t="s">
        <v>36</v>
      </c>
      <c r="S393" s="4" t="str">
        <f>'Ingest Template'!J393</f>
        <v/>
      </c>
      <c r="T393" s="4" t="str">
        <f>'Ingest Template'!I393</f>
        <v/>
      </c>
      <c r="U393" s="4" t="str">
        <f>LOWER(SUBSTITUTE(SUBSTITUTE(SUBSTITUTE(SUBSTITUTE(SUBSTITUTE('Ingest Template'!K393,"https:",""),"www.",""),"/",""),"?hl=en",""),"instagram.com",""))</f>
        <v/>
      </c>
      <c r="V393" s="9" t="str">
        <f>'Ingest Template'!L393</f>
        <v/>
      </c>
      <c r="W393" s="9" t="str">
        <f>'Ingest Template'!M393</f>
        <v/>
      </c>
      <c r="X393" s="4" t="str">
        <f>SUBSTITUTE(SUBSTITUTE(SUBSTITUTE('Ingest Template'!N393,"http:",""),"https:",""),"/","")</f>
        <v/>
      </c>
      <c r="Y393" s="4" t="str">
        <f t="array" ref="Y393">IF('Ingest Template'!A393="Standard",(IF(ISBLANK('Ingest Template'!O393),"", 'Ingest Template'!O393&amp;"|DAR")),(IF(ISBLANK('Ingest Template'!O393),"", 'Ingest Template'!O393&amp;"|Film Ops")))</f>
        <v/>
      </c>
      <c r="Z393" s="4"/>
      <c r="AA393" s="4" t="str">
        <f>'Ingest Template'!E393</f>
        <v/>
      </c>
      <c r="AB393" s="7"/>
      <c r="AC393" s="4" t="str">
        <f t="array" ref="AC393">IF('Ingest Template'!A393="Standard",(CONCATENATE(IF(ISBLANK('Ingest Template'!F393),"", 'Ingest Template'!F393&amp;"|DAR"),CHAR(10), IF(ISBLANK('Ingest Template'!G393),"", 'Ingest Template'!G393&amp;"|DAR"),CHAR(10), IF(ISBLANK('Ingest Template'!H393),"", 'Ingest Template'!H393&amp;"|DAR"))),(CONCATENATE(IF(ISBLANK('Ingest Template'!F393),"", 'Ingest Template'!F393&amp;"|Film Ops"),CHAR(10), IF(ISBLANK('Ingest Template'!G393),"", 'Ingest Template'!G393&amp;"|Film Ops"),CHAR(10), IF(ISBLANK('Ingest Template'!H393),"", 'Ingest Template'!H393&amp;"|Film Ops"))))</f>
        <v>
</v>
      </c>
      <c r="AD393" s="4"/>
      <c r="AE393" s="4"/>
      <c r="AF393" s="10"/>
      <c r="AG393" s="4"/>
      <c r="AH393" s="4"/>
    </row>
    <row r="394">
      <c r="A394" s="4"/>
      <c r="B394" s="4" t="str">
        <f>'Ingest Template'!B394&amp;IF('Ingest Template'!A394 = "Standard", " - DAR","")</f>
        <v/>
      </c>
      <c r="C394" s="5" t="s">
        <v>34</v>
      </c>
      <c r="D394" s="5" t="str">
        <f>CONCATENATE('Ingest Template'!C394,'Ingest Template'!D394)</f>
        <v/>
      </c>
      <c r="E394" s="4"/>
      <c r="F394" s="4"/>
      <c r="G394" s="4"/>
      <c r="H394" s="6"/>
      <c r="I394" s="6" t="str">
        <f>iF('Ingest Template'!A394="Standard","Pristine Brand","Unknown")</f>
        <v>Unknown</v>
      </c>
      <c r="J394" s="4" t="str">
        <f>iF('Ingest Template'!A394="Standard","LF // Beverages","Competitive View")</f>
        <v>Competitive View</v>
      </c>
      <c r="K394" s="7" t="s">
        <v>35</v>
      </c>
      <c r="L394" s="8"/>
      <c r="M394" s="4"/>
      <c r="N394" s="4"/>
      <c r="O394" s="4"/>
      <c r="P394" s="4"/>
      <c r="Q394" s="4"/>
      <c r="R394" s="7" t="s">
        <v>36</v>
      </c>
      <c r="S394" s="4" t="str">
        <f>'Ingest Template'!J394</f>
        <v/>
      </c>
      <c r="T394" s="4" t="str">
        <f>'Ingest Template'!I394</f>
        <v/>
      </c>
      <c r="U394" s="4" t="str">
        <f>LOWER(SUBSTITUTE(SUBSTITUTE(SUBSTITUTE(SUBSTITUTE(SUBSTITUTE('Ingest Template'!K394,"https:",""),"www.",""),"/",""),"?hl=en",""),"instagram.com",""))</f>
        <v/>
      </c>
      <c r="V394" s="9" t="str">
        <f>'Ingest Template'!L394</f>
        <v/>
      </c>
      <c r="W394" s="9" t="str">
        <f>'Ingest Template'!M394</f>
        <v/>
      </c>
      <c r="X394" s="4" t="str">
        <f>SUBSTITUTE(SUBSTITUTE(SUBSTITUTE('Ingest Template'!N394,"http:",""),"https:",""),"/","")</f>
        <v/>
      </c>
      <c r="Y394" s="4" t="str">
        <f t="array" ref="Y394">IF('Ingest Template'!A394="Standard",(IF(ISBLANK('Ingest Template'!O394),"", 'Ingest Template'!O394&amp;"|DAR")),(IF(ISBLANK('Ingest Template'!O394),"", 'Ingest Template'!O394&amp;"|Film Ops")))</f>
        <v/>
      </c>
      <c r="Z394" s="4"/>
      <c r="AA394" s="4" t="str">
        <f>'Ingest Template'!E394</f>
        <v/>
      </c>
      <c r="AB394" s="7"/>
      <c r="AC394" s="4" t="str">
        <f t="array" ref="AC394">IF('Ingest Template'!A394="Standard",(CONCATENATE(IF(ISBLANK('Ingest Template'!F394),"", 'Ingest Template'!F394&amp;"|DAR"),CHAR(10), IF(ISBLANK('Ingest Template'!G394),"", 'Ingest Template'!G394&amp;"|DAR"),CHAR(10), IF(ISBLANK('Ingest Template'!H394),"", 'Ingest Template'!H394&amp;"|DAR"))),(CONCATENATE(IF(ISBLANK('Ingest Template'!F394),"", 'Ingest Template'!F394&amp;"|Film Ops"),CHAR(10), IF(ISBLANK('Ingest Template'!G394),"", 'Ingest Template'!G394&amp;"|Film Ops"),CHAR(10), IF(ISBLANK('Ingest Template'!H394),"", 'Ingest Template'!H394&amp;"|Film Ops"))))</f>
        <v>
</v>
      </c>
      <c r="AD394" s="4"/>
      <c r="AE394" s="4"/>
      <c r="AF394" s="10"/>
      <c r="AG394" s="4"/>
      <c r="AH394" s="4"/>
    </row>
    <row r="395">
      <c r="A395" s="4"/>
      <c r="B395" s="4" t="str">
        <f>'Ingest Template'!B395&amp;IF('Ingest Template'!A395 = "Standard", " - DAR","")</f>
        <v/>
      </c>
      <c r="C395" s="5" t="s">
        <v>34</v>
      </c>
      <c r="D395" s="5" t="str">
        <f>CONCATENATE('Ingest Template'!C395,'Ingest Template'!D395)</f>
        <v/>
      </c>
      <c r="E395" s="4"/>
      <c r="F395" s="4"/>
      <c r="G395" s="4"/>
      <c r="H395" s="6"/>
      <c r="I395" s="6" t="str">
        <f>iF('Ingest Template'!A395="Standard","Pristine Brand","Unknown")</f>
        <v>Unknown</v>
      </c>
      <c r="J395" s="4" t="str">
        <f>iF('Ingest Template'!A395="Standard","LF // Beverages","Competitive View")</f>
        <v>Competitive View</v>
      </c>
      <c r="K395" s="7" t="s">
        <v>35</v>
      </c>
      <c r="L395" s="8"/>
      <c r="M395" s="4"/>
      <c r="N395" s="4"/>
      <c r="O395" s="4"/>
      <c r="P395" s="4"/>
      <c r="Q395" s="4"/>
      <c r="R395" s="7" t="s">
        <v>36</v>
      </c>
      <c r="S395" s="4" t="str">
        <f>'Ingest Template'!J395</f>
        <v/>
      </c>
      <c r="T395" s="4" t="str">
        <f>'Ingest Template'!I395</f>
        <v/>
      </c>
      <c r="U395" s="4" t="str">
        <f>LOWER(SUBSTITUTE(SUBSTITUTE(SUBSTITUTE(SUBSTITUTE(SUBSTITUTE('Ingest Template'!K395,"https:",""),"www.",""),"/",""),"?hl=en",""),"instagram.com",""))</f>
        <v/>
      </c>
      <c r="V395" s="9" t="str">
        <f>'Ingest Template'!L395</f>
        <v/>
      </c>
      <c r="W395" s="9" t="str">
        <f>'Ingest Template'!M395</f>
        <v/>
      </c>
      <c r="X395" s="4" t="str">
        <f>SUBSTITUTE(SUBSTITUTE(SUBSTITUTE('Ingest Template'!N395,"http:",""),"https:",""),"/","")</f>
        <v/>
      </c>
      <c r="Y395" s="4" t="str">
        <f t="array" ref="Y395">IF('Ingest Template'!A395="Standard",(IF(ISBLANK('Ingest Template'!O395),"", 'Ingest Template'!O395&amp;"|DAR")),(IF(ISBLANK('Ingest Template'!O395),"", 'Ingest Template'!O395&amp;"|Film Ops")))</f>
        <v/>
      </c>
      <c r="Z395" s="4"/>
      <c r="AA395" s="4" t="str">
        <f>'Ingest Template'!E395</f>
        <v/>
      </c>
      <c r="AB395" s="7"/>
      <c r="AC395" s="4" t="str">
        <f t="array" ref="AC395">IF('Ingest Template'!A395="Standard",(CONCATENATE(IF(ISBLANK('Ingest Template'!F395),"", 'Ingest Template'!F395&amp;"|DAR"),CHAR(10), IF(ISBLANK('Ingest Template'!G395),"", 'Ingest Template'!G395&amp;"|DAR"),CHAR(10), IF(ISBLANK('Ingest Template'!H395),"", 'Ingest Template'!H395&amp;"|DAR"))),(CONCATENATE(IF(ISBLANK('Ingest Template'!F395),"", 'Ingest Template'!F395&amp;"|Film Ops"),CHAR(10), IF(ISBLANK('Ingest Template'!G395),"", 'Ingest Template'!G395&amp;"|Film Ops"),CHAR(10), IF(ISBLANK('Ingest Template'!H395),"", 'Ingest Template'!H395&amp;"|Film Ops"))))</f>
        <v>
</v>
      </c>
      <c r="AD395" s="4"/>
      <c r="AE395" s="4"/>
      <c r="AF395" s="10"/>
      <c r="AG395" s="4"/>
      <c r="AH395" s="4"/>
    </row>
    <row r="396">
      <c r="A396" s="4"/>
      <c r="B396" s="4" t="str">
        <f>'Ingest Template'!B396&amp;IF('Ingest Template'!A396 = "Standard", " - DAR","")</f>
        <v/>
      </c>
      <c r="C396" s="5" t="s">
        <v>34</v>
      </c>
      <c r="D396" s="5" t="str">
        <f>CONCATENATE('Ingest Template'!C396,'Ingest Template'!D396)</f>
        <v/>
      </c>
      <c r="E396" s="4"/>
      <c r="F396" s="4"/>
      <c r="G396" s="4"/>
      <c r="H396" s="6"/>
      <c r="I396" s="6" t="str">
        <f>iF('Ingest Template'!A396="Standard","Pristine Brand","Unknown")</f>
        <v>Unknown</v>
      </c>
      <c r="J396" s="4" t="str">
        <f>iF('Ingest Template'!A396="Standard","LF // Beverages","Competitive View")</f>
        <v>Competitive View</v>
      </c>
      <c r="K396" s="7" t="s">
        <v>35</v>
      </c>
      <c r="L396" s="8"/>
      <c r="M396" s="4"/>
      <c r="N396" s="4"/>
      <c r="O396" s="4"/>
      <c r="P396" s="4"/>
      <c r="Q396" s="4"/>
      <c r="R396" s="7" t="s">
        <v>36</v>
      </c>
      <c r="S396" s="4" t="str">
        <f>'Ingest Template'!J396</f>
        <v/>
      </c>
      <c r="T396" s="4" t="str">
        <f>'Ingest Template'!I396</f>
        <v/>
      </c>
      <c r="U396" s="4" t="str">
        <f>LOWER(SUBSTITUTE(SUBSTITUTE(SUBSTITUTE(SUBSTITUTE(SUBSTITUTE('Ingest Template'!K396,"https:",""),"www.",""),"/",""),"?hl=en",""),"instagram.com",""))</f>
        <v/>
      </c>
      <c r="V396" s="9" t="str">
        <f>'Ingest Template'!L396</f>
        <v/>
      </c>
      <c r="W396" s="9" t="str">
        <f>'Ingest Template'!M396</f>
        <v/>
      </c>
      <c r="X396" s="4" t="str">
        <f>SUBSTITUTE(SUBSTITUTE(SUBSTITUTE('Ingest Template'!N396,"http:",""),"https:",""),"/","")</f>
        <v/>
      </c>
      <c r="Y396" s="4" t="str">
        <f t="array" ref="Y396">IF('Ingest Template'!A396="Standard",(IF(ISBLANK('Ingest Template'!O396),"", 'Ingest Template'!O396&amp;"|DAR")),(IF(ISBLANK('Ingest Template'!O396),"", 'Ingest Template'!O396&amp;"|Film Ops")))</f>
        <v/>
      </c>
      <c r="Z396" s="4"/>
      <c r="AA396" s="4" t="str">
        <f>'Ingest Template'!E396</f>
        <v/>
      </c>
      <c r="AB396" s="7"/>
      <c r="AC396" s="4" t="str">
        <f t="array" ref="AC396">IF('Ingest Template'!A396="Standard",(CONCATENATE(IF(ISBLANK('Ingest Template'!F396),"", 'Ingest Template'!F396&amp;"|DAR"),CHAR(10), IF(ISBLANK('Ingest Template'!G396),"", 'Ingest Template'!G396&amp;"|DAR"),CHAR(10), IF(ISBLANK('Ingest Template'!H396),"", 'Ingest Template'!H396&amp;"|DAR"))),(CONCATENATE(IF(ISBLANK('Ingest Template'!F396),"", 'Ingest Template'!F396&amp;"|Film Ops"),CHAR(10), IF(ISBLANK('Ingest Template'!G396),"", 'Ingest Template'!G396&amp;"|Film Ops"),CHAR(10), IF(ISBLANK('Ingest Template'!H396),"", 'Ingest Template'!H396&amp;"|Film Ops"))))</f>
        <v>
</v>
      </c>
      <c r="AD396" s="4"/>
      <c r="AE396" s="4"/>
      <c r="AF396" s="10"/>
      <c r="AG396" s="4"/>
      <c r="AH396" s="4"/>
    </row>
    <row r="397">
      <c r="A397" s="4"/>
      <c r="B397" s="4" t="str">
        <f>'Ingest Template'!B397&amp;IF('Ingest Template'!A397 = "Standard", " - DAR","")</f>
        <v/>
      </c>
      <c r="C397" s="5" t="s">
        <v>34</v>
      </c>
      <c r="D397" s="5" t="str">
        <f>CONCATENATE('Ingest Template'!C397,'Ingest Template'!D397)</f>
        <v/>
      </c>
      <c r="E397" s="4"/>
      <c r="F397" s="4"/>
      <c r="G397" s="4"/>
      <c r="H397" s="6"/>
      <c r="I397" s="6" t="str">
        <f>iF('Ingest Template'!A397="Standard","Pristine Brand","Unknown")</f>
        <v>Unknown</v>
      </c>
      <c r="J397" s="4" t="str">
        <f>iF('Ingest Template'!A397="Standard","LF // Beverages","Competitive View")</f>
        <v>Competitive View</v>
      </c>
      <c r="K397" s="7" t="s">
        <v>35</v>
      </c>
      <c r="L397" s="8"/>
      <c r="M397" s="4"/>
      <c r="N397" s="4"/>
      <c r="O397" s="4"/>
      <c r="P397" s="4"/>
      <c r="Q397" s="4"/>
      <c r="R397" s="7" t="s">
        <v>36</v>
      </c>
      <c r="S397" s="4" t="str">
        <f>'Ingest Template'!J397</f>
        <v/>
      </c>
      <c r="T397" s="4" t="str">
        <f>'Ingest Template'!I397</f>
        <v/>
      </c>
      <c r="U397" s="4" t="str">
        <f>LOWER(SUBSTITUTE(SUBSTITUTE(SUBSTITUTE(SUBSTITUTE(SUBSTITUTE('Ingest Template'!K397,"https:",""),"www.",""),"/",""),"?hl=en",""),"instagram.com",""))</f>
        <v/>
      </c>
      <c r="V397" s="9" t="str">
        <f>'Ingest Template'!L397</f>
        <v/>
      </c>
      <c r="W397" s="9" t="str">
        <f>'Ingest Template'!M397</f>
        <v/>
      </c>
      <c r="X397" s="4" t="str">
        <f>SUBSTITUTE(SUBSTITUTE(SUBSTITUTE('Ingest Template'!N397,"http:",""),"https:",""),"/","")</f>
        <v/>
      </c>
      <c r="Y397" s="4" t="str">
        <f t="array" ref="Y397">IF('Ingest Template'!A397="Standard",(IF(ISBLANK('Ingest Template'!O397),"", 'Ingest Template'!O397&amp;"|DAR")),(IF(ISBLANK('Ingest Template'!O397),"", 'Ingest Template'!O397&amp;"|Film Ops")))</f>
        <v/>
      </c>
      <c r="Z397" s="4"/>
      <c r="AA397" s="4" t="str">
        <f>'Ingest Template'!E397</f>
        <v/>
      </c>
      <c r="AB397" s="7"/>
      <c r="AC397" s="4" t="str">
        <f t="array" ref="AC397">IF('Ingest Template'!A397="Standard",(CONCATENATE(IF(ISBLANK('Ingest Template'!F397),"", 'Ingest Template'!F397&amp;"|DAR"),CHAR(10), IF(ISBLANK('Ingest Template'!G397),"", 'Ingest Template'!G397&amp;"|DAR"),CHAR(10), IF(ISBLANK('Ingest Template'!H397),"", 'Ingest Template'!H397&amp;"|DAR"))),(CONCATENATE(IF(ISBLANK('Ingest Template'!F397),"", 'Ingest Template'!F397&amp;"|Film Ops"),CHAR(10), IF(ISBLANK('Ingest Template'!G397),"", 'Ingest Template'!G397&amp;"|Film Ops"),CHAR(10), IF(ISBLANK('Ingest Template'!H397),"", 'Ingest Template'!H397&amp;"|Film Ops"))))</f>
        <v>
</v>
      </c>
      <c r="AD397" s="4"/>
      <c r="AE397" s="4"/>
      <c r="AF397" s="10"/>
      <c r="AG397" s="4"/>
      <c r="AH397" s="4"/>
    </row>
    <row r="398">
      <c r="A398" s="4"/>
      <c r="B398" s="4" t="str">
        <f>'Ingest Template'!B398&amp;IF('Ingest Template'!A398 = "Standard", " - DAR","")</f>
        <v/>
      </c>
      <c r="C398" s="5" t="s">
        <v>34</v>
      </c>
      <c r="D398" s="5" t="str">
        <f>CONCATENATE('Ingest Template'!C398,'Ingest Template'!D398)</f>
        <v/>
      </c>
      <c r="E398" s="4"/>
      <c r="F398" s="4"/>
      <c r="G398" s="4"/>
      <c r="H398" s="6"/>
      <c r="I398" s="6" t="str">
        <f>iF('Ingest Template'!A398="Standard","Pristine Brand","Unknown")</f>
        <v>Unknown</v>
      </c>
      <c r="J398" s="4" t="str">
        <f>iF('Ingest Template'!A398="Standard","LF // Beverages","Competitive View")</f>
        <v>Competitive View</v>
      </c>
      <c r="K398" s="7" t="s">
        <v>35</v>
      </c>
      <c r="L398" s="8"/>
      <c r="M398" s="4"/>
      <c r="N398" s="4"/>
      <c r="O398" s="4"/>
      <c r="P398" s="4"/>
      <c r="Q398" s="4"/>
      <c r="R398" s="7" t="s">
        <v>36</v>
      </c>
      <c r="S398" s="4" t="str">
        <f>'Ingest Template'!J398</f>
        <v/>
      </c>
      <c r="T398" s="4" t="str">
        <f>'Ingest Template'!I398</f>
        <v/>
      </c>
      <c r="U398" s="4" t="str">
        <f>LOWER(SUBSTITUTE(SUBSTITUTE(SUBSTITUTE(SUBSTITUTE(SUBSTITUTE('Ingest Template'!K398,"https:",""),"www.",""),"/",""),"?hl=en",""),"instagram.com",""))</f>
        <v/>
      </c>
      <c r="V398" s="9" t="str">
        <f>'Ingest Template'!L398</f>
        <v/>
      </c>
      <c r="W398" s="9" t="str">
        <f>'Ingest Template'!M398</f>
        <v/>
      </c>
      <c r="X398" s="4" t="str">
        <f>SUBSTITUTE(SUBSTITUTE(SUBSTITUTE('Ingest Template'!N398,"http:",""),"https:",""),"/","")</f>
        <v/>
      </c>
      <c r="Y398" s="4" t="str">
        <f t="array" ref="Y398">IF('Ingest Template'!A398="Standard",(IF(ISBLANK('Ingest Template'!O398),"", 'Ingest Template'!O398&amp;"|DAR")),(IF(ISBLANK('Ingest Template'!O398),"", 'Ingest Template'!O398&amp;"|Film Ops")))</f>
        <v/>
      </c>
      <c r="Z398" s="4"/>
      <c r="AA398" s="4" t="str">
        <f>'Ingest Template'!E398</f>
        <v/>
      </c>
      <c r="AB398" s="7"/>
      <c r="AC398" s="4" t="str">
        <f t="array" ref="AC398">IF('Ingest Template'!A398="Standard",(CONCATENATE(IF(ISBLANK('Ingest Template'!F398),"", 'Ingest Template'!F398&amp;"|DAR"),CHAR(10), IF(ISBLANK('Ingest Template'!G398),"", 'Ingest Template'!G398&amp;"|DAR"),CHAR(10), IF(ISBLANK('Ingest Template'!H398),"", 'Ingest Template'!H398&amp;"|DAR"))),(CONCATENATE(IF(ISBLANK('Ingest Template'!F398),"", 'Ingest Template'!F398&amp;"|Film Ops"),CHAR(10), IF(ISBLANK('Ingest Template'!G398),"", 'Ingest Template'!G398&amp;"|Film Ops"),CHAR(10), IF(ISBLANK('Ingest Template'!H398),"", 'Ingest Template'!H398&amp;"|Film Ops"))))</f>
        <v>
</v>
      </c>
      <c r="AD398" s="4"/>
      <c r="AE398" s="4"/>
      <c r="AF398" s="10"/>
      <c r="AG398" s="4"/>
      <c r="AH398" s="4"/>
    </row>
    <row r="399">
      <c r="A399" s="4"/>
      <c r="B399" s="4" t="str">
        <f>'Ingest Template'!B399&amp;IF('Ingest Template'!A399 = "Standard", " - DAR","")</f>
        <v/>
      </c>
      <c r="C399" s="5" t="s">
        <v>34</v>
      </c>
      <c r="D399" s="5" t="str">
        <f>CONCATENATE('Ingest Template'!C399,'Ingest Template'!D399)</f>
        <v/>
      </c>
      <c r="E399" s="4"/>
      <c r="F399" s="4"/>
      <c r="G399" s="4"/>
      <c r="H399" s="6"/>
      <c r="I399" s="6" t="str">
        <f>iF('Ingest Template'!A399="Standard","Pristine Brand","Unknown")</f>
        <v>Unknown</v>
      </c>
      <c r="J399" s="4" t="str">
        <f>iF('Ingest Template'!A399="Standard","LF // Beverages","Competitive View")</f>
        <v>Competitive View</v>
      </c>
      <c r="K399" s="7" t="s">
        <v>35</v>
      </c>
      <c r="L399" s="8"/>
      <c r="M399" s="4"/>
      <c r="N399" s="4"/>
      <c r="O399" s="4"/>
      <c r="P399" s="4"/>
      <c r="Q399" s="4"/>
      <c r="R399" s="7" t="s">
        <v>36</v>
      </c>
      <c r="S399" s="4" t="str">
        <f>'Ingest Template'!J399</f>
        <v/>
      </c>
      <c r="T399" s="4" t="str">
        <f>'Ingest Template'!I399</f>
        <v/>
      </c>
      <c r="U399" s="4" t="str">
        <f>LOWER(SUBSTITUTE(SUBSTITUTE(SUBSTITUTE(SUBSTITUTE(SUBSTITUTE('Ingest Template'!K399,"https:",""),"www.",""),"/",""),"?hl=en",""),"instagram.com",""))</f>
        <v/>
      </c>
      <c r="V399" s="9" t="str">
        <f>'Ingest Template'!L399</f>
        <v/>
      </c>
      <c r="W399" s="9" t="str">
        <f>'Ingest Template'!M399</f>
        <v/>
      </c>
      <c r="X399" s="4" t="str">
        <f>SUBSTITUTE(SUBSTITUTE(SUBSTITUTE('Ingest Template'!N399,"http:",""),"https:",""),"/","")</f>
        <v/>
      </c>
      <c r="Y399" s="4" t="str">
        <f t="array" ref="Y399">IF('Ingest Template'!A399="Standard",(IF(ISBLANK('Ingest Template'!O399),"", 'Ingest Template'!O399&amp;"|DAR")),(IF(ISBLANK('Ingest Template'!O399),"", 'Ingest Template'!O399&amp;"|Film Ops")))</f>
        <v/>
      </c>
      <c r="Z399" s="4"/>
      <c r="AA399" s="4" t="str">
        <f>'Ingest Template'!E399</f>
        <v/>
      </c>
      <c r="AB399" s="7"/>
      <c r="AC399" s="4" t="str">
        <f t="array" ref="AC399">IF('Ingest Template'!A399="Standard",(CONCATENATE(IF(ISBLANK('Ingest Template'!F399),"", 'Ingest Template'!F399&amp;"|DAR"),CHAR(10), IF(ISBLANK('Ingest Template'!G399),"", 'Ingest Template'!G399&amp;"|DAR"),CHAR(10), IF(ISBLANK('Ingest Template'!H399),"", 'Ingest Template'!H399&amp;"|DAR"))),(CONCATENATE(IF(ISBLANK('Ingest Template'!F399),"", 'Ingest Template'!F399&amp;"|Film Ops"),CHAR(10), IF(ISBLANK('Ingest Template'!G399),"", 'Ingest Template'!G399&amp;"|Film Ops"),CHAR(10), IF(ISBLANK('Ingest Template'!H399),"", 'Ingest Template'!H399&amp;"|Film Ops"))))</f>
        <v>
</v>
      </c>
      <c r="AD399" s="4"/>
      <c r="AE399" s="4"/>
      <c r="AF399" s="10"/>
      <c r="AG399" s="4"/>
      <c r="AH399" s="4"/>
    </row>
    <row r="400">
      <c r="A400" s="4"/>
      <c r="B400" s="4" t="str">
        <f>'Ingest Template'!B400&amp;IF('Ingest Template'!A400 = "Standard", " - DAR","")</f>
        <v/>
      </c>
      <c r="C400" s="5" t="s">
        <v>34</v>
      </c>
      <c r="D400" s="5" t="str">
        <f>CONCATENATE('Ingest Template'!C400,'Ingest Template'!D400)</f>
        <v/>
      </c>
      <c r="E400" s="4"/>
      <c r="F400" s="4"/>
      <c r="G400" s="4"/>
      <c r="H400" s="6"/>
      <c r="I400" s="6" t="str">
        <f>iF('Ingest Template'!A400="Standard","Pristine Brand","Unknown")</f>
        <v>Unknown</v>
      </c>
      <c r="J400" s="4" t="str">
        <f>iF('Ingest Template'!A400="Standard","LF // Beverages","Competitive View")</f>
        <v>Competitive View</v>
      </c>
      <c r="K400" s="7" t="s">
        <v>35</v>
      </c>
      <c r="L400" s="8"/>
      <c r="M400" s="4"/>
      <c r="N400" s="4"/>
      <c r="O400" s="4"/>
      <c r="P400" s="4"/>
      <c r="Q400" s="4"/>
      <c r="R400" s="7" t="s">
        <v>36</v>
      </c>
      <c r="S400" s="4" t="str">
        <f>'Ingest Template'!J400</f>
        <v/>
      </c>
      <c r="T400" s="4" t="str">
        <f>'Ingest Template'!I400</f>
        <v/>
      </c>
      <c r="U400" s="4" t="str">
        <f>LOWER(SUBSTITUTE(SUBSTITUTE(SUBSTITUTE(SUBSTITUTE(SUBSTITUTE('Ingest Template'!K400,"https:",""),"www.",""),"/",""),"?hl=en",""),"instagram.com",""))</f>
        <v/>
      </c>
      <c r="V400" s="9" t="str">
        <f>'Ingest Template'!L400</f>
        <v/>
      </c>
      <c r="W400" s="9" t="str">
        <f>'Ingest Template'!M400</f>
        <v/>
      </c>
      <c r="X400" s="4" t="str">
        <f>SUBSTITUTE(SUBSTITUTE(SUBSTITUTE('Ingest Template'!N400,"http:",""),"https:",""),"/","")</f>
        <v/>
      </c>
      <c r="Y400" s="4" t="str">
        <f t="array" ref="Y400">IF('Ingest Template'!A400="Standard",(IF(ISBLANK('Ingest Template'!O400),"", 'Ingest Template'!O400&amp;"|DAR")),(IF(ISBLANK('Ingest Template'!O400),"", 'Ingest Template'!O400&amp;"|Film Ops")))</f>
        <v/>
      </c>
      <c r="Z400" s="4"/>
      <c r="AA400" s="4" t="str">
        <f>'Ingest Template'!E400</f>
        <v/>
      </c>
      <c r="AB400" s="7"/>
      <c r="AC400" s="4" t="str">
        <f t="array" ref="AC400">IF('Ingest Template'!A400="Standard",(CONCATENATE(IF(ISBLANK('Ingest Template'!F400),"", 'Ingest Template'!F400&amp;"|DAR"),CHAR(10), IF(ISBLANK('Ingest Template'!G400),"", 'Ingest Template'!G400&amp;"|DAR"),CHAR(10), IF(ISBLANK('Ingest Template'!H400),"", 'Ingest Template'!H400&amp;"|DAR"))),(CONCATENATE(IF(ISBLANK('Ingest Template'!F400),"", 'Ingest Template'!F400&amp;"|Film Ops"),CHAR(10), IF(ISBLANK('Ingest Template'!G400),"", 'Ingest Template'!G400&amp;"|Film Ops"),CHAR(10), IF(ISBLANK('Ingest Template'!H400),"", 'Ingest Template'!H400&amp;"|Film Ops"))))</f>
        <v>
</v>
      </c>
      <c r="AD400" s="4"/>
      <c r="AE400" s="4"/>
      <c r="AF400" s="10"/>
      <c r="AG400" s="4"/>
      <c r="AH400" s="4"/>
    </row>
    <row r="401">
      <c r="A401" s="4"/>
      <c r="B401" s="4" t="str">
        <f>'Ingest Template'!B401&amp;IF('Ingest Template'!A401 = "Standard", " - DAR","")</f>
        <v/>
      </c>
      <c r="C401" s="5" t="s">
        <v>34</v>
      </c>
      <c r="D401" s="5" t="str">
        <f>CONCATENATE('Ingest Template'!C401,'Ingest Template'!D401)</f>
        <v/>
      </c>
      <c r="E401" s="4"/>
      <c r="F401" s="4"/>
      <c r="G401" s="4"/>
      <c r="H401" s="6"/>
      <c r="I401" s="6" t="str">
        <f>iF('Ingest Template'!A401="Standard","Pristine Brand","Unknown")</f>
        <v>Unknown</v>
      </c>
      <c r="J401" s="4" t="str">
        <f>iF('Ingest Template'!A401="Standard","LF // Beverages","Competitive View")</f>
        <v>Competitive View</v>
      </c>
      <c r="K401" s="7" t="s">
        <v>35</v>
      </c>
      <c r="L401" s="8"/>
      <c r="M401" s="4"/>
      <c r="N401" s="4"/>
      <c r="O401" s="4"/>
      <c r="P401" s="4"/>
      <c r="Q401" s="4"/>
      <c r="R401" s="7" t="s">
        <v>36</v>
      </c>
      <c r="S401" s="4" t="str">
        <f>'Ingest Template'!J401</f>
        <v/>
      </c>
      <c r="T401" s="4" t="str">
        <f>'Ingest Template'!I401</f>
        <v/>
      </c>
      <c r="U401" s="4" t="str">
        <f>LOWER(SUBSTITUTE(SUBSTITUTE(SUBSTITUTE(SUBSTITUTE(SUBSTITUTE('Ingest Template'!K401,"https:",""),"www.",""),"/",""),"?hl=en",""),"instagram.com",""))</f>
        <v/>
      </c>
      <c r="V401" s="9" t="str">
        <f>'Ingest Template'!L401</f>
        <v/>
      </c>
      <c r="W401" s="9" t="str">
        <f>'Ingest Template'!M401</f>
        <v/>
      </c>
      <c r="X401" s="4" t="str">
        <f>SUBSTITUTE(SUBSTITUTE(SUBSTITUTE('Ingest Template'!N401,"http:",""),"https:",""),"/","")</f>
        <v/>
      </c>
      <c r="Y401" s="4" t="str">
        <f t="array" ref="Y401">IF('Ingest Template'!A401="Standard",(IF(ISBLANK('Ingest Template'!O401),"", 'Ingest Template'!O401&amp;"|DAR")),(IF(ISBLANK('Ingest Template'!O401),"", 'Ingest Template'!O401&amp;"|Film Ops")))</f>
        <v/>
      </c>
      <c r="Z401" s="4"/>
      <c r="AA401" s="4" t="str">
        <f>'Ingest Template'!E401</f>
        <v/>
      </c>
      <c r="AB401" s="7"/>
      <c r="AC401" s="4" t="str">
        <f t="array" ref="AC401">IF('Ingest Template'!A401="Standard",(CONCATENATE(IF(ISBLANK('Ingest Template'!F401),"", 'Ingest Template'!F401&amp;"|DAR"),CHAR(10), IF(ISBLANK('Ingest Template'!G401),"", 'Ingest Template'!G401&amp;"|DAR"),CHAR(10), IF(ISBLANK('Ingest Template'!H401),"", 'Ingest Template'!H401&amp;"|DAR"))),(CONCATENATE(IF(ISBLANK('Ingest Template'!F401),"", 'Ingest Template'!F401&amp;"|Film Ops"),CHAR(10), IF(ISBLANK('Ingest Template'!G401),"", 'Ingest Template'!G401&amp;"|Film Ops"),CHAR(10), IF(ISBLANK('Ingest Template'!H401),"", 'Ingest Template'!H401&amp;"|Film Ops"))))</f>
        <v>
</v>
      </c>
      <c r="AD401" s="4"/>
      <c r="AE401" s="4"/>
      <c r="AF401" s="10"/>
      <c r="AG401" s="4"/>
      <c r="AH401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6" max="6" width="14.75"/>
    <col customWidth="1" min="7" max="7" width="14.13"/>
    <col customWidth="1" min="8" max="8" width="19.0"/>
  </cols>
  <sheetData>
    <row r="1">
      <c r="A1" s="11" t="s">
        <v>37</v>
      </c>
      <c r="B1" s="11" t="s">
        <v>38</v>
      </c>
      <c r="C1" s="11" t="s">
        <v>39</v>
      </c>
      <c r="D1" s="11" t="s">
        <v>40</v>
      </c>
      <c r="E1" s="11" t="s">
        <v>41</v>
      </c>
      <c r="F1" s="12" t="s">
        <v>42</v>
      </c>
      <c r="G1" s="12" t="s">
        <v>43</v>
      </c>
      <c r="H1" s="12" t="s">
        <v>44</v>
      </c>
      <c r="I1" s="12" t="s">
        <v>45</v>
      </c>
      <c r="J1" s="12" t="s">
        <v>46</v>
      </c>
      <c r="K1" s="12" t="s">
        <v>47</v>
      </c>
      <c r="L1" s="12" t="s">
        <v>48</v>
      </c>
      <c r="M1" s="13" t="s">
        <v>49</v>
      </c>
      <c r="N1" s="11" t="s">
        <v>50</v>
      </c>
      <c r="O1" s="11" t="s">
        <v>51</v>
      </c>
    </row>
    <row r="2">
      <c r="A2" s="14"/>
      <c r="B2" s="15"/>
      <c r="C2" s="16"/>
      <c r="D2" s="16"/>
      <c r="E2" s="17"/>
      <c r="F2" s="17"/>
      <c r="G2" s="17"/>
      <c r="H2" s="17"/>
      <c r="I2" s="17"/>
      <c r="J2" s="17"/>
      <c r="K2" s="17"/>
      <c r="L2" s="17"/>
      <c r="M2" s="17"/>
      <c r="N2" s="18"/>
      <c r="O2" s="18"/>
    </row>
    <row r="3">
      <c r="A3" s="14"/>
      <c r="B3" s="15"/>
      <c r="C3" s="16"/>
      <c r="D3" s="16"/>
      <c r="E3" s="17"/>
      <c r="F3" s="17"/>
      <c r="G3" s="17"/>
      <c r="H3" s="17"/>
      <c r="I3" s="17"/>
      <c r="J3" s="17"/>
      <c r="K3" s="17"/>
      <c r="L3" s="17"/>
      <c r="M3" s="17"/>
      <c r="N3" s="18"/>
      <c r="O3" s="18"/>
    </row>
    <row r="4">
      <c r="A4" s="14"/>
      <c r="B4" s="19"/>
      <c r="C4" s="16"/>
      <c r="D4" s="16"/>
      <c r="E4" s="17"/>
      <c r="F4" s="17"/>
      <c r="G4" s="17"/>
      <c r="H4" s="17"/>
      <c r="I4" s="17"/>
      <c r="J4" s="17"/>
      <c r="K4" s="17"/>
      <c r="L4" s="17"/>
      <c r="M4" s="17"/>
      <c r="N4" s="18"/>
      <c r="O4" s="18"/>
    </row>
    <row r="5">
      <c r="A5" s="14"/>
      <c r="B5" s="19"/>
      <c r="C5" s="16"/>
      <c r="D5" s="16"/>
      <c r="E5" s="17"/>
      <c r="F5" s="17"/>
      <c r="G5" s="17"/>
      <c r="H5" s="17"/>
      <c r="I5" s="17"/>
      <c r="J5" s="17"/>
      <c r="K5" s="17"/>
      <c r="L5" s="17"/>
      <c r="M5" s="17"/>
      <c r="N5" s="18"/>
      <c r="O5" s="18"/>
    </row>
    <row r="6">
      <c r="A6" s="14"/>
      <c r="B6" s="19"/>
      <c r="C6" s="16"/>
      <c r="D6" s="16"/>
      <c r="E6" s="17"/>
      <c r="F6" s="17"/>
      <c r="G6" s="17"/>
      <c r="H6" s="17"/>
      <c r="I6" s="17"/>
      <c r="J6" s="17"/>
      <c r="K6" s="17"/>
      <c r="L6" s="17"/>
      <c r="M6" s="17"/>
      <c r="N6" s="18"/>
      <c r="O6" s="18"/>
    </row>
    <row r="7">
      <c r="A7" s="14"/>
      <c r="B7" s="19"/>
      <c r="C7" s="16"/>
      <c r="D7" s="16"/>
      <c r="E7" s="17"/>
      <c r="F7" s="17"/>
      <c r="G7" s="17"/>
      <c r="H7" s="17"/>
      <c r="I7" s="17"/>
      <c r="J7" s="17"/>
      <c r="K7" s="17"/>
      <c r="L7" s="17"/>
      <c r="M7" s="17"/>
      <c r="N7" s="18"/>
      <c r="O7" s="18"/>
    </row>
    <row r="8">
      <c r="A8" s="14"/>
      <c r="B8" s="20"/>
      <c r="C8" s="16"/>
      <c r="D8" s="16"/>
      <c r="E8" s="17"/>
      <c r="F8" s="17"/>
      <c r="G8" s="17"/>
      <c r="H8" s="17"/>
      <c r="I8" s="17"/>
      <c r="J8" s="17"/>
      <c r="K8" s="17"/>
      <c r="L8" s="17"/>
      <c r="M8" s="17"/>
      <c r="N8" s="18"/>
      <c r="O8" s="18"/>
    </row>
    <row r="9">
      <c r="A9" s="14"/>
      <c r="B9" s="20"/>
      <c r="C9" s="16"/>
      <c r="D9" s="16"/>
      <c r="E9" s="17"/>
      <c r="F9" s="17"/>
      <c r="G9" s="17"/>
      <c r="H9" s="17"/>
      <c r="I9" s="17"/>
      <c r="J9" s="17"/>
      <c r="K9" s="17"/>
      <c r="L9" s="17"/>
      <c r="M9" s="17"/>
      <c r="N9" s="18"/>
      <c r="O9" s="18"/>
    </row>
    <row r="10">
      <c r="A10" s="14"/>
      <c r="B10" s="15"/>
      <c r="C10" s="16"/>
      <c r="D10" s="16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8"/>
    </row>
    <row r="11">
      <c r="A11" s="14"/>
      <c r="B11" s="20"/>
      <c r="C11" s="16"/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8"/>
    </row>
    <row r="12">
      <c r="A12" s="14"/>
      <c r="B12" s="20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8"/>
    </row>
    <row r="13">
      <c r="A13" s="14"/>
      <c r="B13" s="19"/>
      <c r="C13" s="16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8"/>
    </row>
    <row r="14">
      <c r="A14" s="14"/>
      <c r="B14" s="20"/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8"/>
    </row>
    <row r="15">
      <c r="A15" s="14"/>
      <c r="B15" s="20"/>
      <c r="C15" s="16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8"/>
    </row>
    <row r="16">
      <c r="A16" s="14"/>
      <c r="B16" s="20"/>
      <c r="C16" s="16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8"/>
    </row>
    <row r="17">
      <c r="A17" s="14"/>
      <c r="B17" s="20"/>
      <c r="C17" s="16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8"/>
    </row>
    <row r="18">
      <c r="A18" s="14"/>
      <c r="B18" s="19"/>
      <c r="C18" s="16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8"/>
    </row>
    <row r="19">
      <c r="A19" s="14"/>
      <c r="B19" s="19"/>
      <c r="C19" s="16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8"/>
    </row>
    <row r="20">
      <c r="A20" s="14"/>
      <c r="B20" s="19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8"/>
    </row>
    <row r="21">
      <c r="A21" s="14"/>
      <c r="B21" s="19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8"/>
    </row>
    <row r="22">
      <c r="A22" s="14"/>
      <c r="B22" s="19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8"/>
    </row>
    <row r="23">
      <c r="A23" s="14"/>
      <c r="B23" s="19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18"/>
    </row>
    <row r="24">
      <c r="A24" s="14"/>
      <c r="B24" s="20"/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18"/>
    </row>
    <row r="25">
      <c r="A25" s="14"/>
      <c r="B25" s="20"/>
      <c r="C25" s="16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8"/>
      <c r="O25" s="18"/>
    </row>
    <row r="26">
      <c r="A26" s="14"/>
      <c r="B26" s="20"/>
      <c r="C26" s="16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8"/>
      <c r="O26" s="18"/>
    </row>
    <row r="27">
      <c r="A27" s="14"/>
      <c r="B27" s="20"/>
      <c r="C27" s="16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18"/>
    </row>
    <row r="28">
      <c r="A28" s="14"/>
      <c r="B28" s="20"/>
      <c r="C28" s="16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8"/>
      <c r="O28" s="18"/>
    </row>
    <row r="29">
      <c r="A29" s="14"/>
      <c r="B29" s="15"/>
      <c r="C29" s="16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8"/>
      <c r="O29" s="18"/>
    </row>
    <row r="30">
      <c r="A30" s="14"/>
      <c r="B30" s="20"/>
      <c r="C30" s="16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8"/>
      <c r="O30" s="18"/>
    </row>
    <row r="31">
      <c r="A31" s="14"/>
      <c r="B31" s="20"/>
      <c r="C31" s="16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8"/>
      <c r="O31" s="18"/>
    </row>
    <row r="32">
      <c r="A32" s="14"/>
      <c r="B32" s="20"/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8"/>
      <c r="O32" s="18"/>
    </row>
    <row r="33">
      <c r="A33" s="14"/>
      <c r="B33" s="20"/>
      <c r="C33" s="16"/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18"/>
    </row>
    <row r="34">
      <c r="A34" s="14"/>
      <c r="B34" s="21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8"/>
      <c r="O34" s="18"/>
    </row>
    <row r="35">
      <c r="A35" s="14"/>
      <c r="B35" s="21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8"/>
      <c r="O35" s="18"/>
    </row>
    <row r="36">
      <c r="A36" s="14"/>
      <c r="B36" s="21"/>
      <c r="C36" s="16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8"/>
      <c r="O36" s="18"/>
    </row>
    <row r="37">
      <c r="A37" s="14"/>
      <c r="B37" s="21"/>
      <c r="C37" s="16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8"/>
      <c r="O37" s="18"/>
    </row>
    <row r="38">
      <c r="A38" s="14"/>
      <c r="B38" s="21"/>
      <c r="C38" s="16"/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8"/>
      <c r="O38" s="18"/>
    </row>
    <row r="39">
      <c r="A39" s="14"/>
      <c r="B39" s="21"/>
      <c r="C39" s="16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8"/>
      <c r="O39" s="18"/>
    </row>
    <row r="40">
      <c r="A40" s="14"/>
      <c r="B40" s="21"/>
      <c r="C40" s="16"/>
      <c r="D40" s="16"/>
      <c r="E40" s="17"/>
      <c r="F40" s="17"/>
      <c r="G40" s="17"/>
      <c r="H40" s="17"/>
      <c r="I40" s="17"/>
      <c r="J40" s="17"/>
      <c r="K40" s="17"/>
      <c r="L40" s="17"/>
      <c r="M40" s="17"/>
      <c r="N40" s="18"/>
      <c r="O40" s="18"/>
    </row>
    <row r="41">
      <c r="A41" s="14"/>
      <c r="B41" s="21"/>
      <c r="C41" s="16"/>
      <c r="D41" s="16"/>
      <c r="E41" s="17"/>
      <c r="F41" s="17"/>
      <c r="G41" s="17"/>
      <c r="H41" s="17"/>
      <c r="I41" s="17"/>
      <c r="J41" s="17"/>
      <c r="K41" s="17"/>
      <c r="L41" s="17"/>
      <c r="M41" s="17"/>
      <c r="N41" s="18"/>
      <c r="O41" s="18"/>
    </row>
    <row r="42">
      <c r="A42" s="14"/>
      <c r="B42" s="21"/>
      <c r="C42" s="16"/>
      <c r="D42" s="16"/>
      <c r="E42" s="17"/>
      <c r="F42" s="17"/>
      <c r="G42" s="17"/>
      <c r="H42" s="17"/>
      <c r="I42" s="17"/>
      <c r="J42" s="17"/>
      <c r="K42" s="17"/>
      <c r="L42" s="17"/>
      <c r="M42" s="17"/>
      <c r="N42" s="18"/>
      <c r="O42" s="18"/>
    </row>
    <row r="43">
      <c r="A43" s="14"/>
      <c r="B43" s="21"/>
      <c r="C43" s="16"/>
      <c r="D43" s="16"/>
      <c r="E43" s="17"/>
      <c r="F43" s="17"/>
      <c r="G43" s="17"/>
      <c r="H43" s="17"/>
      <c r="I43" s="17"/>
      <c r="J43" s="17"/>
      <c r="K43" s="17"/>
      <c r="L43" s="17"/>
      <c r="M43" s="17"/>
      <c r="N43" s="18"/>
      <c r="O43" s="18"/>
    </row>
    <row r="44">
      <c r="A44" s="14"/>
      <c r="B44" s="21"/>
      <c r="C44" s="16"/>
      <c r="D44" s="16"/>
      <c r="E44" s="17"/>
      <c r="F44" s="17"/>
      <c r="G44" s="17"/>
      <c r="H44" s="17"/>
      <c r="I44" s="17"/>
      <c r="J44" s="17"/>
      <c r="K44" s="17"/>
      <c r="L44" s="17"/>
      <c r="M44" s="17"/>
      <c r="N44" s="18"/>
      <c r="O44" s="18"/>
    </row>
    <row r="45">
      <c r="A45" s="14"/>
      <c r="B45" s="21"/>
      <c r="C45" s="16"/>
      <c r="D45" s="16"/>
      <c r="E45" s="17"/>
      <c r="F45" s="17"/>
      <c r="G45" s="17"/>
      <c r="H45" s="17"/>
      <c r="I45" s="17"/>
      <c r="J45" s="17"/>
      <c r="K45" s="17"/>
      <c r="L45" s="17"/>
      <c r="M45" s="17"/>
      <c r="N45" s="18"/>
      <c r="O45" s="18"/>
    </row>
    <row r="46">
      <c r="A46" s="14"/>
      <c r="B46" s="21"/>
      <c r="C46" s="16"/>
      <c r="D46" s="16"/>
      <c r="E46" s="17"/>
      <c r="F46" s="17"/>
      <c r="G46" s="17"/>
      <c r="H46" s="17"/>
      <c r="I46" s="17"/>
      <c r="J46" s="17"/>
      <c r="K46" s="17"/>
      <c r="L46" s="17"/>
      <c r="M46" s="17"/>
      <c r="N46" s="18"/>
      <c r="O46" s="18"/>
    </row>
    <row r="47">
      <c r="A47" s="14"/>
      <c r="B47" s="21"/>
      <c r="C47" s="16"/>
      <c r="D47" s="16"/>
      <c r="E47" s="17"/>
      <c r="F47" s="17"/>
      <c r="G47" s="17"/>
      <c r="H47" s="17"/>
      <c r="I47" s="17"/>
      <c r="J47" s="17"/>
      <c r="K47" s="17"/>
      <c r="L47" s="17"/>
      <c r="M47" s="17"/>
      <c r="N47" s="18"/>
      <c r="O47" s="18"/>
    </row>
    <row r="48">
      <c r="A48" s="14"/>
      <c r="B48" s="21"/>
      <c r="C48" s="16"/>
      <c r="D48" s="16"/>
      <c r="E48" s="17"/>
      <c r="F48" s="17"/>
      <c r="G48" s="17"/>
      <c r="H48" s="17"/>
      <c r="I48" s="17"/>
      <c r="J48" s="17"/>
      <c r="K48" s="17"/>
      <c r="L48" s="17"/>
      <c r="M48" s="17"/>
      <c r="N48" s="18"/>
      <c r="O48" s="18"/>
    </row>
    <row r="49">
      <c r="A49" s="14"/>
      <c r="B49" s="21"/>
      <c r="C49" s="16"/>
      <c r="D49" s="16"/>
      <c r="E49" s="17"/>
      <c r="F49" s="17"/>
      <c r="G49" s="17"/>
      <c r="H49" s="17"/>
      <c r="I49" s="17"/>
      <c r="J49" s="17"/>
      <c r="K49" s="17"/>
      <c r="L49" s="17"/>
      <c r="M49" s="17"/>
      <c r="N49" s="18"/>
      <c r="O49" s="18"/>
    </row>
    <row r="50">
      <c r="A50" s="14"/>
      <c r="B50" s="21"/>
      <c r="C50" s="16"/>
      <c r="D50" s="16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18"/>
    </row>
    <row r="51">
      <c r="A51" s="14"/>
      <c r="B51" s="21"/>
      <c r="C51" s="16"/>
      <c r="D51" s="16"/>
      <c r="E51" s="17"/>
      <c r="F51" s="17"/>
      <c r="G51" s="17"/>
      <c r="H51" s="17"/>
      <c r="I51" s="17"/>
      <c r="J51" s="17"/>
      <c r="K51" s="17"/>
      <c r="L51" s="17"/>
      <c r="M51" s="17"/>
      <c r="N51" s="18"/>
      <c r="O51" s="18"/>
    </row>
    <row r="52">
      <c r="A52" s="14"/>
      <c r="B52" s="21"/>
      <c r="C52" s="16"/>
      <c r="D52" s="16"/>
      <c r="E52" s="17"/>
      <c r="F52" s="17"/>
      <c r="G52" s="17"/>
      <c r="H52" s="17"/>
      <c r="I52" s="17"/>
      <c r="J52" s="17"/>
      <c r="K52" s="17"/>
      <c r="L52" s="17"/>
      <c r="M52" s="17"/>
      <c r="N52" s="18"/>
      <c r="O52" s="18"/>
    </row>
    <row r="53">
      <c r="A53" s="14"/>
      <c r="B53" s="21"/>
      <c r="C53" s="16"/>
      <c r="D53" s="16"/>
      <c r="E53" s="17"/>
      <c r="F53" s="17"/>
      <c r="G53" s="17"/>
      <c r="H53" s="17"/>
      <c r="I53" s="17"/>
      <c r="J53" s="17"/>
      <c r="K53" s="17"/>
      <c r="L53" s="17"/>
      <c r="M53" s="17"/>
      <c r="N53" s="18"/>
      <c r="O53" s="18"/>
    </row>
    <row r="54">
      <c r="A54" s="14"/>
      <c r="B54" s="21"/>
      <c r="C54" s="16"/>
      <c r="D54" s="16"/>
      <c r="E54" s="17"/>
      <c r="F54" s="17"/>
      <c r="G54" s="17"/>
      <c r="H54" s="17"/>
      <c r="I54" s="17"/>
      <c r="J54" s="17"/>
      <c r="K54" s="17"/>
      <c r="L54" s="17"/>
      <c r="M54" s="17"/>
      <c r="N54" s="18"/>
      <c r="O54" s="18"/>
    </row>
    <row r="55">
      <c r="A55" s="14"/>
      <c r="B55" s="21"/>
      <c r="C55" s="16"/>
      <c r="D55" s="16"/>
      <c r="E55" s="17"/>
      <c r="F55" s="17"/>
      <c r="G55" s="17"/>
      <c r="H55" s="17"/>
      <c r="I55" s="17"/>
      <c r="J55" s="17"/>
      <c r="K55" s="17"/>
      <c r="L55" s="17"/>
      <c r="M55" s="17"/>
      <c r="N55" s="18"/>
      <c r="O55" s="18"/>
    </row>
    <row r="56">
      <c r="A56" s="14"/>
      <c r="B56" s="21"/>
      <c r="C56" s="16"/>
      <c r="D56" s="16"/>
      <c r="E56" s="17"/>
      <c r="F56" s="17"/>
      <c r="G56" s="17"/>
      <c r="H56" s="17"/>
      <c r="I56" s="17"/>
      <c r="J56" s="17"/>
      <c r="K56" s="17"/>
      <c r="L56" s="17"/>
      <c r="M56" s="17"/>
      <c r="N56" s="18"/>
      <c r="O56" s="18"/>
    </row>
    <row r="57">
      <c r="A57" s="14"/>
      <c r="B57" s="21"/>
      <c r="C57" s="16"/>
      <c r="D57" s="16"/>
      <c r="E57" s="17"/>
      <c r="F57" s="17"/>
      <c r="G57" s="17"/>
      <c r="H57" s="17"/>
      <c r="I57" s="17"/>
      <c r="J57" s="17"/>
      <c r="K57" s="17"/>
      <c r="L57" s="17"/>
      <c r="M57" s="17"/>
      <c r="N57" s="18"/>
      <c r="O57" s="18"/>
    </row>
    <row r="58">
      <c r="A58" s="14"/>
      <c r="B58" s="21"/>
      <c r="C58" s="16"/>
      <c r="D58" s="16"/>
      <c r="E58" s="17"/>
      <c r="F58" s="17"/>
      <c r="G58" s="17"/>
      <c r="H58" s="17"/>
      <c r="I58" s="17"/>
      <c r="J58" s="17"/>
      <c r="K58" s="17"/>
      <c r="L58" s="17"/>
      <c r="M58" s="17"/>
      <c r="N58" s="18"/>
      <c r="O58" s="18"/>
    </row>
    <row r="59">
      <c r="A59" s="14"/>
      <c r="B59" s="21"/>
      <c r="C59" s="16"/>
      <c r="D59" s="16"/>
      <c r="E59" s="17"/>
      <c r="F59" s="17"/>
      <c r="G59" s="17"/>
      <c r="H59" s="17"/>
      <c r="I59" s="17"/>
      <c r="J59" s="17"/>
      <c r="K59" s="17"/>
      <c r="L59" s="17"/>
      <c r="M59" s="17"/>
      <c r="N59" s="18"/>
      <c r="O59" s="18"/>
    </row>
    <row r="60">
      <c r="A60" s="14"/>
      <c r="B60" s="21"/>
      <c r="C60" s="16"/>
      <c r="D60" s="16"/>
      <c r="E60" s="17"/>
      <c r="F60" s="17"/>
      <c r="G60" s="17"/>
      <c r="H60" s="17"/>
      <c r="I60" s="17"/>
      <c r="J60" s="17"/>
      <c r="K60" s="17"/>
      <c r="L60" s="17"/>
      <c r="M60" s="17"/>
      <c r="N60" s="18"/>
      <c r="O60" s="18"/>
    </row>
    <row r="61">
      <c r="A61" s="14"/>
      <c r="B61" s="21"/>
      <c r="C61" s="16"/>
      <c r="D61" s="16"/>
      <c r="E61" s="17"/>
      <c r="F61" s="17"/>
      <c r="G61" s="17"/>
      <c r="H61" s="17"/>
      <c r="I61" s="17"/>
      <c r="J61" s="17"/>
      <c r="K61" s="17"/>
      <c r="L61" s="17"/>
      <c r="M61" s="17"/>
      <c r="N61" s="18"/>
      <c r="O61" s="18"/>
    </row>
    <row r="62">
      <c r="A62" s="14"/>
      <c r="B62" s="21"/>
      <c r="C62" s="16"/>
      <c r="D62" s="16"/>
      <c r="E62" s="17"/>
      <c r="F62" s="17"/>
      <c r="G62" s="17"/>
      <c r="H62" s="17"/>
      <c r="I62" s="17"/>
      <c r="J62" s="17"/>
      <c r="K62" s="17"/>
      <c r="L62" s="17"/>
      <c r="M62" s="17"/>
      <c r="N62" s="18"/>
      <c r="O62" s="18"/>
    </row>
    <row r="63">
      <c r="A63" s="14"/>
      <c r="B63" s="21"/>
      <c r="C63" s="16"/>
      <c r="D63" s="16"/>
      <c r="E63" s="17"/>
      <c r="F63" s="17"/>
      <c r="G63" s="17"/>
      <c r="H63" s="17"/>
      <c r="I63" s="17"/>
      <c r="J63" s="17"/>
      <c r="K63" s="17"/>
      <c r="L63" s="17"/>
      <c r="M63" s="17"/>
      <c r="N63" s="18"/>
      <c r="O63" s="18"/>
    </row>
    <row r="64">
      <c r="A64" s="14"/>
      <c r="B64" s="21"/>
      <c r="C64" s="16"/>
      <c r="D64" s="16"/>
      <c r="E64" s="17"/>
      <c r="F64" s="17"/>
      <c r="G64" s="17"/>
      <c r="H64" s="17"/>
      <c r="I64" s="17"/>
      <c r="J64" s="17"/>
      <c r="K64" s="17"/>
      <c r="L64" s="17"/>
      <c r="M64" s="17"/>
      <c r="N64" s="18"/>
      <c r="O64" s="18"/>
    </row>
    <row r="65">
      <c r="A65" s="14"/>
      <c r="B65" s="21"/>
      <c r="C65" s="16"/>
      <c r="D65" s="16"/>
      <c r="E65" s="17"/>
      <c r="F65" s="17"/>
      <c r="G65" s="17"/>
      <c r="H65" s="17"/>
      <c r="I65" s="17"/>
      <c r="J65" s="17"/>
      <c r="K65" s="17"/>
      <c r="L65" s="17"/>
      <c r="M65" s="17"/>
      <c r="N65" s="18"/>
      <c r="O65" s="18"/>
    </row>
    <row r="66">
      <c r="A66" s="14"/>
      <c r="B66" s="21"/>
      <c r="C66" s="16"/>
      <c r="D66" s="16"/>
      <c r="E66" s="17"/>
      <c r="F66" s="17"/>
      <c r="G66" s="17"/>
      <c r="H66" s="17"/>
      <c r="I66" s="17"/>
      <c r="J66" s="17"/>
      <c r="K66" s="17"/>
      <c r="L66" s="17"/>
      <c r="M66" s="17"/>
      <c r="N66" s="18"/>
      <c r="O66" s="18"/>
    </row>
    <row r="67">
      <c r="A67" s="14"/>
      <c r="B67" s="21"/>
      <c r="C67" s="16"/>
      <c r="D67" s="16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18"/>
    </row>
    <row r="68">
      <c r="A68" s="14"/>
      <c r="B68" s="21"/>
      <c r="C68" s="16"/>
      <c r="D68" s="16"/>
      <c r="E68" s="17"/>
      <c r="F68" s="17"/>
      <c r="G68" s="17"/>
      <c r="H68" s="17"/>
      <c r="I68" s="17"/>
      <c r="J68" s="17"/>
      <c r="K68" s="17"/>
      <c r="L68" s="17"/>
      <c r="M68" s="17"/>
      <c r="N68" s="18"/>
      <c r="O68" s="18"/>
    </row>
    <row r="69">
      <c r="A69" s="14"/>
      <c r="B69" s="21"/>
      <c r="C69" s="16"/>
      <c r="D69" s="16"/>
      <c r="E69" s="17"/>
      <c r="F69" s="17"/>
      <c r="G69" s="17"/>
      <c r="H69" s="17"/>
      <c r="I69" s="17"/>
      <c r="J69" s="17"/>
      <c r="K69" s="17"/>
      <c r="L69" s="17"/>
      <c r="M69" s="17"/>
      <c r="N69" s="18"/>
      <c r="O69" s="18"/>
    </row>
    <row r="70">
      <c r="A70" s="14"/>
      <c r="B70" s="21"/>
      <c r="C70" s="16"/>
      <c r="D70" s="16"/>
      <c r="E70" s="17"/>
      <c r="F70" s="17"/>
      <c r="G70" s="17"/>
      <c r="H70" s="17"/>
      <c r="I70" s="17"/>
      <c r="J70" s="17"/>
      <c r="K70" s="17"/>
      <c r="L70" s="17"/>
      <c r="M70" s="17"/>
      <c r="N70" s="18"/>
      <c r="O70" s="18"/>
    </row>
    <row r="71">
      <c r="A71" s="14"/>
      <c r="B71" s="21"/>
      <c r="C71" s="16"/>
      <c r="D71" s="16"/>
      <c r="E71" s="17"/>
      <c r="F71" s="17"/>
      <c r="G71" s="17"/>
      <c r="H71" s="17"/>
      <c r="I71" s="17"/>
      <c r="J71" s="17"/>
      <c r="K71" s="17"/>
      <c r="L71" s="17"/>
      <c r="M71" s="17"/>
      <c r="N71" s="18"/>
      <c r="O71" s="18"/>
    </row>
    <row r="72">
      <c r="A72" s="14"/>
      <c r="B72" s="21"/>
      <c r="C72" s="16"/>
      <c r="D72" s="16"/>
      <c r="E72" s="17"/>
      <c r="F72" s="17"/>
      <c r="G72" s="17"/>
      <c r="H72" s="17"/>
      <c r="I72" s="17"/>
      <c r="J72" s="17"/>
      <c r="K72" s="17"/>
      <c r="L72" s="17"/>
      <c r="M72" s="17"/>
      <c r="N72" s="18"/>
      <c r="O72" s="18"/>
    </row>
    <row r="73">
      <c r="A73" s="14"/>
      <c r="B73" s="21"/>
      <c r="C73" s="16"/>
      <c r="D73" s="16"/>
      <c r="E73" s="17"/>
      <c r="F73" s="17"/>
      <c r="G73" s="17"/>
      <c r="H73" s="17"/>
      <c r="I73" s="17"/>
      <c r="J73" s="17"/>
      <c r="K73" s="17"/>
      <c r="L73" s="17"/>
      <c r="M73" s="17"/>
      <c r="N73" s="18"/>
      <c r="O73" s="18"/>
    </row>
    <row r="74">
      <c r="A74" s="14"/>
      <c r="B74" s="21"/>
      <c r="C74" s="16"/>
      <c r="D74" s="16"/>
      <c r="E74" s="17"/>
      <c r="F74" s="17"/>
      <c r="G74" s="17"/>
      <c r="H74" s="17"/>
      <c r="I74" s="17"/>
      <c r="J74" s="17"/>
      <c r="K74" s="17"/>
      <c r="L74" s="17"/>
      <c r="M74" s="17"/>
      <c r="N74" s="18"/>
      <c r="O74" s="18"/>
    </row>
    <row r="75">
      <c r="A75" s="14"/>
      <c r="B75" s="21"/>
      <c r="C75" s="16"/>
      <c r="D75" s="16"/>
      <c r="E75" s="17"/>
      <c r="F75" s="17"/>
      <c r="G75" s="17"/>
      <c r="H75" s="17"/>
      <c r="I75" s="17"/>
      <c r="J75" s="17"/>
      <c r="K75" s="17"/>
      <c r="L75" s="17"/>
      <c r="M75" s="17"/>
      <c r="N75" s="18"/>
      <c r="O75" s="18"/>
    </row>
    <row r="76">
      <c r="A76" s="14"/>
      <c r="B76" s="21"/>
      <c r="C76" s="16"/>
      <c r="D76" s="16"/>
      <c r="E76" s="17"/>
      <c r="F76" s="17"/>
      <c r="G76" s="17"/>
      <c r="H76" s="17"/>
      <c r="I76" s="17"/>
      <c r="J76" s="17"/>
      <c r="K76" s="17"/>
      <c r="L76" s="17"/>
      <c r="M76" s="17"/>
      <c r="N76" s="18"/>
      <c r="O76" s="18"/>
    </row>
    <row r="77">
      <c r="A77" s="14"/>
      <c r="B77" s="21"/>
      <c r="C77" s="16"/>
      <c r="D77" s="16"/>
      <c r="E77" s="17"/>
      <c r="F77" s="17"/>
      <c r="G77" s="17"/>
      <c r="H77" s="17"/>
      <c r="I77" s="17"/>
      <c r="J77" s="17"/>
      <c r="K77" s="17"/>
      <c r="L77" s="17"/>
      <c r="M77" s="17"/>
      <c r="N77" s="18"/>
      <c r="O77" s="18"/>
    </row>
    <row r="78">
      <c r="A78" s="14"/>
      <c r="B78" s="21"/>
      <c r="C78" s="16"/>
      <c r="D78" s="16"/>
      <c r="E78" s="17"/>
      <c r="F78" s="17"/>
      <c r="G78" s="17"/>
      <c r="H78" s="17"/>
      <c r="I78" s="17"/>
      <c r="J78" s="17"/>
      <c r="K78" s="17"/>
      <c r="L78" s="17"/>
      <c r="M78" s="17"/>
      <c r="N78" s="18"/>
      <c r="O78" s="18"/>
    </row>
    <row r="79">
      <c r="A79" s="14"/>
      <c r="B79" s="21"/>
      <c r="C79" s="16"/>
      <c r="D79" s="16"/>
      <c r="E79" s="17"/>
      <c r="F79" s="17"/>
      <c r="G79" s="17"/>
      <c r="H79" s="17"/>
      <c r="I79" s="17"/>
      <c r="J79" s="17"/>
      <c r="K79" s="17"/>
      <c r="L79" s="17"/>
      <c r="M79" s="17"/>
      <c r="N79" s="18"/>
      <c r="O79" s="18"/>
    </row>
    <row r="80">
      <c r="A80" s="14"/>
      <c r="B80" s="21"/>
      <c r="C80" s="16"/>
      <c r="D80" s="16"/>
      <c r="E80" s="17"/>
      <c r="F80" s="17"/>
      <c r="G80" s="17"/>
      <c r="H80" s="17"/>
      <c r="I80" s="17"/>
      <c r="J80" s="17"/>
      <c r="K80" s="17"/>
      <c r="L80" s="17"/>
      <c r="M80" s="17"/>
      <c r="N80" s="18"/>
      <c r="O80" s="18"/>
    </row>
    <row r="81">
      <c r="A81" s="14"/>
      <c r="B81" s="21"/>
      <c r="C81" s="16"/>
      <c r="D81" s="16"/>
      <c r="E81" s="17"/>
      <c r="F81" s="17"/>
      <c r="G81" s="17"/>
      <c r="H81" s="17"/>
      <c r="I81" s="17"/>
      <c r="J81" s="17"/>
      <c r="K81" s="17"/>
      <c r="L81" s="17"/>
      <c r="M81" s="17"/>
      <c r="N81" s="18"/>
      <c r="O81" s="18"/>
    </row>
    <row r="82">
      <c r="A82" s="14"/>
      <c r="B82" s="21"/>
      <c r="C82" s="16"/>
      <c r="D82" s="16"/>
      <c r="E82" s="17"/>
      <c r="F82" s="17"/>
      <c r="G82" s="17"/>
      <c r="H82" s="17"/>
      <c r="I82" s="17"/>
      <c r="J82" s="17"/>
      <c r="K82" s="17"/>
      <c r="L82" s="17"/>
      <c r="M82" s="17"/>
      <c r="N82" s="18"/>
      <c r="O82" s="18"/>
    </row>
    <row r="83">
      <c r="A83" s="14"/>
      <c r="B83" s="21"/>
      <c r="C83" s="16"/>
      <c r="D83" s="16"/>
      <c r="E83" s="17"/>
      <c r="F83" s="17"/>
      <c r="G83" s="17"/>
      <c r="H83" s="17"/>
      <c r="I83" s="17"/>
      <c r="J83" s="17"/>
      <c r="K83" s="17"/>
      <c r="L83" s="17"/>
      <c r="M83" s="17"/>
      <c r="N83" s="18"/>
      <c r="O83" s="18"/>
    </row>
    <row r="84">
      <c r="A84" s="14"/>
      <c r="B84" s="21"/>
      <c r="C84" s="16"/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8"/>
      <c r="O84" s="18"/>
    </row>
    <row r="85">
      <c r="A85" s="14"/>
      <c r="B85" s="21"/>
      <c r="C85" s="16"/>
      <c r="D85" s="16"/>
      <c r="E85" s="17"/>
      <c r="F85" s="17"/>
      <c r="G85" s="17"/>
      <c r="H85" s="17"/>
      <c r="I85" s="17"/>
      <c r="J85" s="17"/>
      <c r="K85" s="17"/>
      <c r="L85" s="17"/>
      <c r="M85" s="17"/>
      <c r="N85" s="18"/>
      <c r="O85" s="18"/>
    </row>
    <row r="86">
      <c r="A86" s="14"/>
      <c r="B86" s="21"/>
      <c r="C86" s="16"/>
      <c r="D86" s="16"/>
      <c r="E86" s="17"/>
      <c r="F86" s="17"/>
      <c r="G86" s="17"/>
      <c r="H86" s="17"/>
      <c r="I86" s="17"/>
      <c r="J86" s="17"/>
      <c r="K86" s="17"/>
      <c r="L86" s="17"/>
      <c r="M86" s="17"/>
      <c r="N86" s="18"/>
      <c r="O86" s="18"/>
    </row>
    <row r="87">
      <c r="A87" s="14"/>
      <c r="B87" s="21"/>
      <c r="C87" s="16"/>
      <c r="D87" s="16"/>
      <c r="E87" s="17"/>
      <c r="F87" s="17"/>
      <c r="G87" s="17"/>
      <c r="H87" s="17"/>
      <c r="I87" s="17"/>
      <c r="J87" s="17"/>
      <c r="K87" s="17"/>
      <c r="L87" s="17"/>
      <c r="M87" s="17"/>
      <c r="N87" s="18"/>
      <c r="O87" s="18"/>
    </row>
    <row r="88">
      <c r="A88" s="14"/>
      <c r="B88" s="21"/>
      <c r="C88" s="16"/>
      <c r="D88" s="16"/>
      <c r="E88" s="17"/>
      <c r="F88" s="17"/>
      <c r="G88" s="17"/>
      <c r="H88" s="17"/>
      <c r="I88" s="17"/>
      <c r="J88" s="17"/>
      <c r="K88" s="17"/>
      <c r="L88" s="17"/>
      <c r="M88" s="17"/>
      <c r="N88" s="18"/>
      <c r="O88" s="18"/>
    </row>
    <row r="89">
      <c r="A89" s="14"/>
      <c r="B89" s="21"/>
      <c r="C89" s="16"/>
      <c r="D89" s="16"/>
      <c r="E89" s="17"/>
      <c r="F89" s="17"/>
      <c r="G89" s="17"/>
      <c r="H89" s="17"/>
      <c r="I89" s="17"/>
      <c r="J89" s="17"/>
      <c r="K89" s="17"/>
      <c r="L89" s="17"/>
      <c r="M89" s="17"/>
      <c r="N89" s="18"/>
      <c r="O89" s="18"/>
    </row>
    <row r="90">
      <c r="A90" s="14"/>
      <c r="B90" s="21"/>
      <c r="C90" s="16"/>
      <c r="D90" s="16"/>
      <c r="E90" s="17"/>
      <c r="F90" s="17"/>
      <c r="G90" s="17"/>
      <c r="H90" s="17"/>
      <c r="I90" s="17"/>
      <c r="J90" s="17"/>
      <c r="K90" s="17"/>
      <c r="L90" s="17"/>
      <c r="M90" s="17"/>
      <c r="N90" s="18"/>
      <c r="O90" s="18"/>
    </row>
    <row r="91">
      <c r="A91" s="14"/>
      <c r="B91" s="21"/>
      <c r="C91" s="16"/>
      <c r="D91" s="16"/>
      <c r="E91" s="17"/>
      <c r="F91" s="17"/>
      <c r="G91" s="17"/>
      <c r="H91" s="17"/>
      <c r="I91" s="17"/>
      <c r="J91" s="17"/>
      <c r="K91" s="17"/>
      <c r="L91" s="17"/>
      <c r="M91" s="17"/>
      <c r="N91" s="18"/>
      <c r="O91" s="18"/>
    </row>
    <row r="92">
      <c r="A92" s="14"/>
      <c r="B92" s="21"/>
      <c r="C92" s="16"/>
      <c r="D92" s="16"/>
      <c r="E92" s="17"/>
      <c r="F92" s="17"/>
      <c r="G92" s="17"/>
      <c r="H92" s="17"/>
      <c r="I92" s="17"/>
      <c r="J92" s="17"/>
      <c r="K92" s="17"/>
      <c r="L92" s="17"/>
      <c r="M92" s="17"/>
      <c r="N92" s="18"/>
      <c r="O92" s="18"/>
    </row>
    <row r="93">
      <c r="A93" s="14"/>
      <c r="B93" s="21"/>
      <c r="C93" s="16"/>
      <c r="D93" s="16"/>
      <c r="E93" s="17"/>
      <c r="F93" s="17"/>
      <c r="G93" s="17"/>
      <c r="H93" s="17"/>
      <c r="I93" s="17"/>
      <c r="J93" s="17"/>
      <c r="K93" s="17"/>
      <c r="L93" s="17"/>
      <c r="M93" s="17"/>
      <c r="N93" s="18"/>
      <c r="O93" s="18"/>
    </row>
    <row r="94">
      <c r="A94" s="14"/>
      <c r="B94" s="21"/>
      <c r="C94" s="16"/>
      <c r="D94" s="16"/>
      <c r="E94" s="17"/>
      <c r="F94" s="17"/>
      <c r="G94" s="17"/>
      <c r="H94" s="17"/>
      <c r="I94" s="17"/>
      <c r="J94" s="17"/>
      <c r="K94" s="17"/>
      <c r="L94" s="17"/>
      <c r="M94" s="17"/>
      <c r="N94" s="18"/>
      <c r="O94" s="18"/>
    </row>
    <row r="95">
      <c r="A95" s="14"/>
      <c r="B95" s="21"/>
      <c r="C95" s="16"/>
      <c r="D95" s="16"/>
      <c r="E95" s="17"/>
      <c r="F95" s="17"/>
      <c r="G95" s="17"/>
      <c r="H95" s="17"/>
      <c r="I95" s="17"/>
      <c r="J95" s="17"/>
      <c r="K95" s="17"/>
      <c r="L95" s="17"/>
      <c r="M95" s="17"/>
      <c r="N95" s="18"/>
      <c r="O95" s="18"/>
    </row>
    <row r="96">
      <c r="A96" s="14"/>
      <c r="B96" s="21"/>
      <c r="C96" s="16"/>
      <c r="D96" s="16"/>
      <c r="E96" s="17"/>
      <c r="F96" s="17"/>
      <c r="G96" s="17"/>
      <c r="H96" s="17"/>
      <c r="I96" s="17"/>
      <c r="J96" s="17"/>
      <c r="K96" s="17"/>
      <c r="L96" s="17"/>
      <c r="M96" s="17"/>
      <c r="N96" s="18"/>
      <c r="O96" s="18"/>
    </row>
    <row r="97">
      <c r="A97" s="14"/>
      <c r="B97" s="21"/>
      <c r="C97" s="16"/>
      <c r="D97" s="16"/>
      <c r="E97" s="17"/>
      <c r="F97" s="17"/>
      <c r="G97" s="17"/>
      <c r="H97" s="17"/>
      <c r="I97" s="17"/>
      <c r="J97" s="17"/>
      <c r="K97" s="17"/>
      <c r="L97" s="17"/>
      <c r="M97" s="17"/>
      <c r="N97" s="18"/>
      <c r="O97" s="18"/>
    </row>
    <row r="98">
      <c r="A98" s="14"/>
      <c r="B98" s="21"/>
      <c r="C98" s="16"/>
      <c r="D98" s="16"/>
      <c r="E98" s="17"/>
      <c r="F98" s="17"/>
      <c r="G98" s="17"/>
      <c r="H98" s="17"/>
      <c r="I98" s="17"/>
      <c r="J98" s="17"/>
      <c r="K98" s="17"/>
      <c r="L98" s="17"/>
      <c r="M98" s="17"/>
      <c r="N98" s="18"/>
      <c r="O98" s="18"/>
    </row>
    <row r="99">
      <c r="A99" s="14"/>
      <c r="B99" s="21"/>
      <c r="C99" s="16"/>
      <c r="D99" s="16"/>
      <c r="E99" s="17"/>
      <c r="F99" s="17"/>
      <c r="G99" s="17"/>
      <c r="H99" s="17"/>
      <c r="I99" s="17"/>
      <c r="J99" s="17"/>
      <c r="K99" s="17"/>
      <c r="L99" s="17"/>
      <c r="M99" s="17"/>
      <c r="N99" s="18"/>
      <c r="O99" s="18"/>
    </row>
    <row r="100">
      <c r="A100" s="14"/>
      <c r="B100" s="21"/>
      <c r="C100" s="16"/>
      <c r="D100" s="16"/>
      <c r="E100" s="17"/>
      <c r="F100" s="17"/>
      <c r="G100" s="17"/>
      <c r="H100" s="17"/>
      <c r="I100" s="17"/>
      <c r="J100" s="17"/>
      <c r="K100" s="17"/>
      <c r="L100" s="17"/>
      <c r="M100" s="17"/>
      <c r="N100" s="18"/>
      <c r="O100" s="18"/>
    </row>
    <row r="101">
      <c r="A101" s="14"/>
      <c r="B101" s="21"/>
      <c r="C101" s="16"/>
      <c r="D101" s="16"/>
      <c r="E101" s="17"/>
      <c r="F101" s="17"/>
      <c r="G101" s="17"/>
      <c r="H101" s="17"/>
      <c r="I101" s="17"/>
      <c r="J101" s="17"/>
      <c r="K101" s="17"/>
      <c r="L101" s="17"/>
      <c r="M101" s="17"/>
      <c r="N101" s="18"/>
      <c r="O101" s="18"/>
    </row>
    <row r="102">
      <c r="A102" s="14"/>
      <c r="B102" s="21"/>
      <c r="C102" s="16"/>
      <c r="D102" s="16"/>
      <c r="E102" s="17"/>
      <c r="F102" s="17"/>
      <c r="G102" s="17"/>
      <c r="H102" s="17"/>
      <c r="I102" s="17"/>
      <c r="J102" s="17"/>
      <c r="K102" s="17"/>
      <c r="L102" s="17"/>
      <c r="M102" s="17"/>
      <c r="N102" s="18"/>
      <c r="O102" s="18"/>
    </row>
    <row r="103">
      <c r="A103" s="14"/>
      <c r="B103" s="21"/>
      <c r="C103" s="16"/>
      <c r="D103" s="16"/>
      <c r="E103" s="17"/>
      <c r="F103" s="17"/>
      <c r="G103" s="17"/>
      <c r="H103" s="17"/>
      <c r="I103" s="17"/>
      <c r="J103" s="17"/>
      <c r="K103" s="17"/>
      <c r="L103" s="17"/>
      <c r="M103" s="17"/>
      <c r="N103" s="18"/>
      <c r="O103" s="18"/>
    </row>
    <row r="104">
      <c r="A104" s="14"/>
      <c r="B104" s="21"/>
      <c r="C104" s="16"/>
      <c r="D104" s="16"/>
      <c r="E104" s="17"/>
      <c r="F104" s="17"/>
      <c r="G104" s="17"/>
      <c r="H104" s="17"/>
      <c r="I104" s="17"/>
      <c r="J104" s="17"/>
      <c r="K104" s="17"/>
      <c r="L104" s="17"/>
      <c r="M104" s="17"/>
      <c r="N104" s="18"/>
      <c r="O104" s="18"/>
    </row>
    <row r="105">
      <c r="A105" s="14"/>
      <c r="B105" s="21"/>
      <c r="C105" s="16"/>
      <c r="D105" s="16"/>
      <c r="E105" s="17"/>
      <c r="F105" s="17"/>
      <c r="G105" s="17"/>
      <c r="H105" s="17"/>
      <c r="I105" s="17"/>
      <c r="J105" s="17"/>
      <c r="K105" s="17"/>
      <c r="L105" s="17"/>
      <c r="M105" s="17"/>
      <c r="N105" s="18"/>
      <c r="O105" s="18"/>
    </row>
    <row r="106">
      <c r="A106" s="14"/>
      <c r="B106" s="21"/>
      <c r="C106" s="16"/>
      <c r="D106" s="16"/>
      <c r="E106" s="17"/>
      <c r="F106" s="17"/>
      <c r="G106" s="17"/>
      <c r="H106" s="17"/>
      <c r="I106" s="17"/>
      <c r="J106" s="17"/>
      <c r="K106" s="17"/>
      <c r="L106" s="17"/>
      <c r="M106" s="17"/>
      <c r="N106" s="18"/>
      <c r="O106" s="18"/>
    </row>
    <row r="107">
      <c r="A107" s="14"/>
      <c r="B107" s="21"/>
      <c r="C107" s="16"/>
      <c r="D107" s="16"/>
      <c r="E107" s="17"/>
      <c r="F107" s="17"/>
      <c r="G107" s="17"/>
      <c r="H107" s="17"/>
      <c r="I107" s="17"/>
      <c r="J107" s="17"/>
      <c r="K107" s="17"/>
      <c r="L107" s="17"/>
      <c r="M107" s="17"/>
      <c r="N107" s="18"/>
      <c r="O107" s="18"/>
    </row>
    <row r="108">
      <c r="A108" s="14"/>
      <c r="B108" s="21"/>
      <c r="C108" s="16"/>
      <c r="D108" s="16"/>
      <c r="E108" s="17"/>
      <c r="F108" s="17"/>
      <c r="G108" s="17"/>
      <c r="H108" s="17"/>
      <c r="I108" s="17"/>
      <c r="J108" s="17"/>
      <c r="K108" s="17"/>
      <c r="L108" s="17"/>
      <c r="M108" s="17"/>
      <c r="N108" s="18"/>
      <c r="O108" s="18"/>
    </row>
    <row r="109">
      <c r="A109" s="14"/>
      <c r="B109" s="21"/>
      <c r="C109" s="16"/>
      <c r="D109" s="16"/>
      <c r="E109" s="17"/>
      <c r="F109" s="17"/>
      <c r="G109" s="17"/>
      <c r="H109" s="17"/>
      <c r="I109" s="17"/>
      <c r="J109" s="17"/>
      <c r="K109" s="17"/>
      <c r="L109" s="17"/>
      <c r="M109" s="17"/>
      <c r="N109" s="18"/>
      <c r="O109" s="18"/>
    </row>
    <row r="110">
      <c r="A110" s="14"/>
      <c r="B110" s="21"/>
      <c r="C110" s="16"/>
      <c r="D110" s="16"/>
      <c r="E110" s="17"/>
      <c r="F110" s="17"/>
      <c r="G110" s="17"/>
      <c r="H110" s="17"/>
      <c r="I110" s="17"/>
      <c r="J110" s="17"/>
      <c r="K110" s="17"/>
      <c r="L110" s="17"/>
      <c r="M110" s="17"/>
      <c r="N110" s="18"/>
      <c r="O110" s="18"/>
    </row>
    <row r="111">
      <c r="A111" s="14"/>
      <c r="B111" s="21"/>
      <c r="C111" s="16"/>
      <c r="D111" s="16"/>
      <c r="E111" s="17"/>
      <c r="F111" s="17"/>
      <c r="G111" s="17"/>
      <c r="H111" s="17"/>
      <c r="I111" s="17"/>
      <c r="J111" s="17"/>
      <c r="K111" s="17"/>
      <c r="L111" s="17"/>
      <c r="M111" s="17"/>
      <c r="N111" s="18"/>
      <c r="O111" s="18"/>
    </row>
    <row r="112">
      <c r="A112" s="14"/>
      <c r="B112" s="21"/>
      <c r="C112" s="16"/>
      <c r="D112" s="16"/>
      <c r="E112" s="17"/>
      <c r="F112" s="17"/>
      <c r="G112" s="17"/>
      <c r="H112" s="17"/>
      <c r="I112" s="17"/>
      <c r="J112" s="17"/>
      <c r="K112" s="17"/>
      <c r="L112" s="17"/>
      <c r="M112" s="17"/>
      <c r="N112" s="18"/>
      <c r="O112" s="18"/>
    </row>
    <row r="113">
      <c r="A113" s="14"/>
      <c r="B113" s="21"/>
      <c r="C113" s="16"/>
      <c r="D113" s="16"/>
      <c r="E113" s="17"/>
      <c r="F113" s="17"/>
      <c r="G113" s="17"/>
      <c r="H113" s="17"/>
      <c r="I113" s="17"/>
      <c r="J113" s="17"/>
      <c r="K113" s="17"/>
      <c r="L113" s="17"/>
      <c r="M113" s="17"/>
      <c r="N113" s="18"/>
      <c r="O113" s="18"/>
    </row>
    <row r="114">
      <c r="A114" s="14"/>
      <c r="B114" s="21"/>
      <c r="C114" s="16"/>
      <c r="D114" s="16"/>
      <c r="E114" s="17"/>
      <c r="F114" s="17"/>
      <c r="G114" s="17"/>
      <c r="H114" s="17"/>
      <c r="I114" s="17"/>
      <c r="J114" s="17"/>
      <c r="K114" s="17"/>
      <c r="L114" s="17"/>
      <c r="M114" s="17"/>
      <c r="N114" s="18"/>
      <c r="O114" s="18"/>
    </row>
    <row r="115">
      <c r="A115" s="14"/>
      <c r="B115" s="21"/>
      <c r="C115" s="16"/>
      <c r="D115" s="16"/>
      <c r="E115" s="17"/>
      <c r="F115" s="17"/>
      <c r="G115" s="17"/>
      <c r="H115" s="17"/>
      <c r="I115" s="17"/>
      <c r="J115" s="17"/>
      <c r="K115" s="17"/>
      <c r="L115" s="17"/>
      <c r="M115" s="17"/>
      <c r="N115" s="18"/>
      <c r="O115" s="18"/>
    </row>
    <row r="116">
      <c r="A116" s="14"/>
      <c r="B116" s="21"/>
      <c r="C116" s="16"/>
      <c r="D116" s="16"/>
      <c r="E116" s="17"/>
      <c r="F116" s="17"/>
      <c r="G116" s="17"/>
      <c r="H116" s="17"/>
      <c r="I116" s="17"/>
      <c r="J116" s="17"/>
      <c r="K116" s="17"/>
      <c r="L116" s="17"/>
      <c r="M116" s="17"/>
      <c r="N116" s="18"/>
      <c r="O116" s="18"/>
    </row>
    <row r="117">
      <c r="A117" s="14"/>
      <c r="B117" s="21"/>
      <c r="C117" s="16"/>
      <c r="D117" s="16"/>
      <c r="E117" s="17"/>
      <c r="F117" s="17"/>
      <c r="G117" s="17"/>
      <c r="H117" s="17"/>
      <c r="I117" s="17"/>
      <c r="J117" s="17"/>
      <c r="K117" s="17"/>
      <c r="L117" s="17"/>
      <c r="M117" s="17"/>
      <c r="N117" s="18"/>
      <c r="O117" s="18"/>
    </row>
    <row r="118">
      <c r="A118" s="14"/>
      <c r="B118" s="21"/>
      <c r="C118" s="16"/>
      <c r="D118" s="16"/>
      <c r="E118" s="17"/>
      <c r="F118" s="17"/>
      <c r="G118" s="17"/>
      <c r="H118" s="17"/>
      <c r="I118" s="17"/>
      <c r="J118" s="17"/>
      <c r="K118" s="17"/>
      <c r="L118" s="17"/>
      <c r="M118" s="17"/>
      <c r="N118" s="18"/>
      <c r="O118" s="18"/>
    </row>
    <row r="119">
      <c r="A119" s="14"/>
      <c r="B119" s="21"/>
      <c r="C119" s="16"/>
      <c r="D119" s="16"/>
      <c r="E119" s="17"/>
      <c r="F119" s="17"/>
      <c r="G119" s="17"/>
      <c r="H119" s="17"/>
      <c r="I119" s="17"/>
      <c r="J119" s="17"/>
      <c r="K119" s="17"/>
      <c r="L119" s="17"/>
      <c r="M119" s="17"/>
      <c r="N119" s="18"/>
      <c r="O119" s="18"/>
    </row>
    <row r="120">
      <c r="A120" s="14"/>
      <c r="B120" s="21"/>
      <c r="C120" s="16"/>
      <c r="D120" s="16"/>
      <c r="E120" s="17"/>
      <c r="F120" s="17"/>
      <c r="G120" s="17"/>
      <c r="H120" s="17"/>
      <c r="I120" s="17"/>
      <c r="J120" s="17"/>
      <c r="K120" s="17"/>
      <c r="L120" s="17"/>
      <c r="M120" s="17"/>
      <c r="N120" s="18"/>
      <c r="O120" s="18"/>
    </row>
    <row r="121">
      <c r="A121" s="14"/>
      <c r="B121" s="21"/>
      <c r="C121" s="16"/>
      <c r="D121" s="16"/>
      <c r="E121" s="17"/>
      <c r="F121" s="17"/>
      <c r="G121" s="17"/>
      <c r="H121" s="17"/>
      <c r="I121" s="17"/>
      <c r="J121" s="17"/>
      <c r="K121" s="17"/>
      <c r="L121" s="17"/>
      <c r="M121" s="17"/>
      <c r="N121" s="18"/>
      <c r="O121" s="18"/>
    </row>
    <row r="122">
      <c r="A122" s="14"/>
      <c r="B122" s="21"/>
      <c r="C122" s="16"/>
      <c r="D122" s="16"/>
      <c r="E122" s="17"/>
      <c r="F122" s="17"/>
      <c r="G122" s="17"/>
      <c r="H122" s="17"/>
      <c r="I122" s="17"/>
      <c r="J122" s="17"/>
      <c r="K122" s="17"/>
      <c r="L122" s="17"/>
      <c r="M122" s="17"/>
      <c r="N122" s="18"/>
      <c r="O122" s="18"/>
    </row>
    <row r="123">
      <c r="A123" s="14"/>
      <c r="B123" s="21"/>
      <c r="C123" s="16"/>
      <c r="D123" s="16"/>
      <c r="E123" s="17"/>
      <c r="F123" s="17"/>
      <c r="G123" s="17"/>
      <c r="H123" s="17"/>
      <c r="I123" s="17"/>
      <c r="J123" s="17"/>
      <c r="K123" s="17"/>
      <c r="L123" s="17"/>
      <c r="M123" s="17"/>
      <c r="N123" s="18"/>
      <c r="O123" s="18"/>
    </row>
    <row r="124">
      <c r="A124" s="14"/>
      <c r="B124" s="21"/>
      <c r="C124" s="16"/>
      <c r="D124" s="16"/>
      <c r="E124" s="17"/>
      <c r="F124" s="17"/>
      <c r="G124" s="17"/>
      <c r="H124" s="17"/>
      <c r="I124" s="17"/>
      <c r="J124" s="17"/>
      <c r="K124" s="17"/>
      <c r="L124" s="17"/>
      <c r="M124" s="17"/>
      <c r="N124" s="18"/>
      <c r="O124" s="18"/>
    </row>
    <row r="125">
      <c r="A125" s="14"/>
      <c r="B125" s="21"/>
      <c r="C125" s="16"/>
      <c r="D125" s="16"/>
      <c r="E125" s="17"/>
      <c r="F125" s="17"/>
      <c r="G125" s="17"/>
      <c r="H125" s="17"/>
      <c r="I125" s="17"/>
      <c r="J125" s="17"/>
      <c r="K125" s="17"/>
      <c r="L125" s="17"/>
      <c r="M125" s="17"/>
      <c r="N125" s="18"/>
      <c r="O125" s="18"/>
    </row>
    <row r="126">
      <c r="A126" s="14"/>
      <c r="B126" s="21"/>
      <c r="C126" s="16"/>
      <c r="D126" s="16"/>
      <c r="E126" s="17"/>
      <c r="F126" s="17"/>
      <c r="G126" s="17"/>
      <c r="H126" s="17"/>
      <c r="I126" s="17"/>
      <c r="J126" s="17"/>
      <c r="K126" s="17"/>
      <c r="L126" s="17"/>
      <c r="M126" s="17"/>
      <c r="N126" s="18"/>
      <c r="O126" s="18"/>
    </row>
    <row r="127">
      <c r="A127" s="14"/>
      <c r="B127" s="21"/>
      <c r="C127" s="16"/>
      <c r="D127" s="16"/>
      <c r="E127" s="17"/>
      <c r="F127" s="17"/>
      <c r="G127" s="17"/>
      <c r="H127" s="17"/>
      <c r="I127" s="17"/>
      <c r="J127" s="17"/>
      <c r="K127" s="17"/>
      <c r="L127" s="17"/>
      <c r="M127" s="17"/>
      <c r="N127" s="18"/>
      <c r="O127" s="18"/>
    </row>
    <row r="128">
      <c r="A128" s="14"/>
      <c r="B128" s="21"/>
      <c r="C128" s="16"/>
      <c r="D128" s="16"/>
      <c r="E128" s="17"/>
      <c r="F128" s="17"/>
      <c r="G128" s="17"/>
      <c r="H128" s="17"/>
      <c r="I128" s="17"/>
      <c r="J128" s="17"/>
      <c r="K128" s="17"/>
      <c r="L128" s="17"/>
      <c r="M128" s="17"/>
      <c r="N128" s="18"/>
      <c r="O128" s="18"/>
    </row>
    <row r="129">
      <c r="A129" s="14"/>
      <c r="B129" s="21"/>
      <c r="C129" s="16"/>
      <c r="D129" s="16"/>
      <c r="E129" s="17"/>
      <c r="F129" s="17"/>
      <c r="G129" s="17"/>
      <c r="H129" s="17"/>
      <c r="I129" s="17"/>
      <c r="J129" s="17"/>
      <c r="K129" s="17"/>
      <c r="L129" s="17"/>
      <c r="M129" s="17"/>
      <c r="N129" s="18"/>
      <c r="O129" s="18"/>
    </row>
    <row r="130">
      <c r="A130" s="14"/>
      <c r="B130" s="21"/>
      <c r="C130" s="16"/>
      <c r="D130" s="16"/>
      <c r="E130" s="17"/>
      <c r="F130" s="17"/>
      <c r="G130" s="17"/>
      <c r="H130" s="17"/>
      <c r="I130" s="17"/>
      <c r="J130" s="17"/>
      <c r="K130" s="17"/>
      <c r="L130" s="17"/>
      <c r="M130" s="17"/>
      <c r="N130" s="18"/>
      <c r="O130" s="18"/>
    </row>
    <row r="131">
      <c r="A131" s="14"/>
      <c r="B131" s="21"/>
      <c r="C131" s="16"/>
      <c r="D131" s="16"/>
      <c r="E131" s="17"/>
      <c r="F131" s="17"/>
      <c r="G131" s="17"/>
      <c r="H131" s="17"/>
      <c r="I131" s="17"/>
      <c r="J131" s="17"/>
      <c r="K131" s="17"/>
      <c r="L131" s="17"/>
      <c r="M131" s="17"/>
      <c r="N131" s="18"/>
      <c r="O131" s="18"/>
    </row>
    <row r="132">
      <c r="A132" s="14"/>
      <c r="B132" s="21"/>
      <c r="C132" s="16"/>
      <c r="D132" s="16"/>
      <c r="E132" s="17"/>
      <c r="F132" s="17"/>
      <c r="G132" s="17"/>
      <c r="H132" s="17"/>
      <c r="I132" s="17"/>
      <c r="J132" s="17"/>
      <c r="K132" s="17"/>
      <c r="L132" s="17"/>
      <c r="M132" s="17"/>
      <c r="N132" s="18"/>
      <c r="O132" s="18"/>
    </row>
    <row r="133">
      <c r="A133" s="14"/>
      <c r="B133" s="21"/>
      <c r="C133" s="16"/>
      <c r="D133" s="16"/>
      <c r="E133" s="17"/>
      <c r="F133" s="17"/>
      <c r="G133" s="17"/>
      <c r="H133" s="17"/>
      <c r="I133" s="17"/>
      <c r="J133" s="17"/>
      <c r="K133" s="17"/>
      <c r="L133" s="17"/>
      <c r="M133" s="17"/>
      <c r="N133" s="18"/>
      <c r="O133" s="18"/>
    </row>
    <row r="134">
      <c r="A134" s="14"/>
      <c r="B134" s="21"/>
      <c r="C134" s="16"/>
      <c r="D134" s="16"/>
      <c r="E134" s="17"/>
      <c r="F134" s="17"/>
      <c r="G134" s="17"/>
      <c r="H134" s="17"/>
      <c r="I134" s="17"/>
      <c r="J134" s="17"/>
      <c r="K134" s="17"/>
      <c r="L134" s="17"/>
      <c r="M134" s="17"/>
      <c r="N134" s="18"/>
      <c r="O134" s="18"/>
    </row>
    <row r="135">
      <c r="A135" s="14"/>
      <c r="B135" s="21"/>
      <c r="C135" s="16"/>
      <c r="D135" s="16"/>
      <c r="E135" s="17"/>
      <c r="F135" s="17"/>
      <c r="G135" s="17"/>
      <c r="H135" s="17"/>
      <c r="I135" s="17"/>
      <c r="J135" s="17"/>
      <c r="K135" s="17"/>
      <c r="L135" s="17"/>
      <c r="M135" s="17"/>
      <c r="N135" s="18"/>
      <c r="O135" s="18"/>
    </row>
    <row r="136">
      <c r="A136" s="14"/>
      <c r="B136" s="21"/>
      <c r="C136" s="16"/>
      <c r="D136" s="16"/>
      <c r="E136" s="17"/>
      <c r="F136" s="17"/>
      <c r="G136" s="17"/>
      <c r="H136" s="17"/>
      <c r="I136" s="17"/>
      <c r="J136" s="17"/>
      <c r="K136" s="17"/>
      <c r="L136" s="17"/>
      <c r="M136" s="17"/>
      <c r="N136" s="18"/>
      <c r="O136" s="18"/>
    </row>
    <row r="137">
      <c r="A137" s="14"/>
      <c r="B137" s="21"/>
      <c r="C137" s="16"/>
      <c r="D137" s="16"/>
      <c r="E137" s="17"/>
      <c r="F137" s="17"/>
      <c r="G137" s="17"/>
      <c r="H137" s="17"/>
      <c r="I137" s="17"/>
      <c r="J137" s="17"/>
      <c r="K137" s="17"/>
      <c r="L137" s="17"/>
      <c r="M137" s="17"/>
      <c r="N137" s="18"/>
      <c r="O137" s="18"/>
    </row>
    <row r="138">
      <c r="A138" s="14"/>
      <c r="B138" s="21"/>
      <c r="C138" s="16"/>
      <c r="D138" s="16"/>
      <c r="E138" s="17"/>
      <c r="F138" s="17"/>
      <c r="G138" s="17"/>
      <c r="H138" s="17"/>
      <c r="I138" s="17"/>
      <c r="J138" s="17"/>
      <c r="K138" s="17"/>
      <c r="L138" s="17"/>
      <c r="M138" s="17"/>
      <c r="N138" s="18"/>
      <c r="O138" s="18"/>
    </row>
    <row r="139">
      <c r="A139" s="14"/>
      <c r="B139" s="21"/>
      <c r="C139" s="16"/>
      <c r="D139" s="16"/>
      <c r="E139" s="17"/>
      <c r="F139" s="17"/>
      <c r="G139" s="17"/>
      <c r="H139" s="17"/>
      <c r="I139" s="17"/>
      <c r="J139" s="17"/>
      <c r="K139" s="17"/>
      <c r="L139" s="17"/>
      <c r="M139" s="17"/>
      <c r="N139" s="18"/>
      <c r="O139" s="18"/>
    </row>
    <row r="140">
      <c r="A140" s="14"/>
      <c r="B140" s="21"/>
      <c r="C140" s="16"/>
      <c r="D140" s="16"/>
      <c r="E140" s="17"/>
      <c r="F140" s="17"/>
      <c r="G140" s="17"/>
      <c r="H140" s="17"/>
      <c r="I140" s="17"/>
      <c r="J140" s="17"/>
      <c r="K140" s="17"/>
      <c r="L140" s="17"/>
      <c r="M140" s="17"/>
      <c r="N140" s="18"/>
      <c r="O140" s="18"/>
    </row>
    <row r="141">
      <c r="A141" s="14"/>
      <c r="B141" s="21"/>
      <c r="C141" s="16"/>
      <c r="D141" s="16"/>
      <c r="E141" s="17"/>
      <c r="F141" s="17"/>
      <c r="G141" s="17"/>
      <c r="H141" s="17"/>
      <c r="I141" s="17"/>
      <c r="J141" s="17"/>
      <c r="K141" s="17"/>
      <c r="L141" s="17"/>
      <c r="M141" s="17"/>
      <c r="N141" s="18"/>
      <c r="O141" s="18"/>
    </row>
    <row r="142">
      <c r="A142" s="14"/>
      <c r="B142" s="21"/>
      <c r="C142" s="16"/>
      <c r="D142" s="16"/>
      <c r="E142" s="17"/>
      <c r="F142" s="17"/>
      <c r="G142" s="17"/>
      <c r="H142" s="17"/>
      <c r="I142" s="17"/>
      <c r="J142" s="17"/>
      <c r="K142" s="17"/>
      <c r="L142" s="17"/>
      <c r="M142" s="17"/>
      <c r="N142" s="18"/>
      <c r="O142" s="18"/>
    </row>
    <row r="143">
      <c r="A143" s="14"/>
      <c r="B143" s="21"/>
      <c r="C143" s="16"/>
      <c r="D143" s="16"/>
      <c r="E143" s="17"/>
      <c r="F143" s="17"/>
      <c r="G143" s="17"/>
      <c r="H143" s="17"/>
      <c r="I143" s="17"/>
      <c r="J143" s="17"/>
      <c r="K143" s="17"/>
      <c r="L143" s="17"/>
      <c r="M143" s="17"/>
      <c r="N143" s="18"/>
      <c r="O143" s="18"/>
    </row>
    <row r="144">
      <c r="A144" s="14"/>
      <c r="B144" s="21"/>
      <c r="C144" s="16"/>
      <c r="D144" s="16"/>
      <c r="E144" s="17"/>
      <c r="F144" s="17"/>
      <c r="G144" s="17"/>
      <c r="H144" s="17"/>
      <c r="I144" s="17"/>
      <c r="J144" s="17"/>
      <c r="K144" s="17"/>
      <c r="L144" s="17"/>
      <c r="M144" s="17"/>
      <c r="N144" s="18"/>
      <c r="O144" s="18"/>
    </row>
    <row r="145">
      <c r="A145" s="14"/>
      <c r="B145" s="21"/>
      <c r="C145" s="16"/>
      <c r="D145" s="16"/>
      <c r="E145" s="17"/>
      <c r="F145" s="17"/>
      <c r="G145" s="17"/>
      <c r="H145" s="17"/>
      <c r="I145" s="17"/>
      <c r="J145" s="17"/>
      <c r="K145" s="17"/>
      <c r="L145" s="17"/>
      <c r="M145" s="17"/>
      <c r="N145" s="18"/>
      <c r="O145" s="18"/>
    </row>
    <row r="146">
      <c r="A146" s="14"/>
      <c r="B146" s="21"/>
      <c r="C146" s="16"/>
      <c r="D146" s="16"/>
      <c r="E146" s="17"/>
      <c r="F146" s="17"/>
      <c r="G146" s="17"/>
      <c r="H146" s="17"/>
      <c r="I146" s="17"/>
      <c r="J146" s="17"/>
      <c r="K146" s="17"/>
      <c r="L146" s="17"/>
      <c r="M146" s="17"/>
      <c r="N146" s="18"/>
      <c r="O146" s="18"/>
    </row>
    <row r="147">
      <c r="A147" s="14"/>
      <c r="B147" s="21"/>
      <c r="C147" s="16"/>
      <c r="D147" s="16"/>
      <c r="E147" s="17"/>
      <c r="F147" s="17"/>
      <c r="G147" s="17"/>
      <c r="H147" s="17"/>
      <c r="I147" s="17"/>
      <c r="J147" s="17"/>
      <c r="K147" s="17"/>
      <c r="L147" s="17"/>
      <c r="M147" s="17"/>
      <c r="N147" s="18"/>
      <c r="O147" s="18"/>
    </row>
    <row r="148">
      <c r="A148" s="14"/>
      <c r="B148" s="21"/>
      <c r="C148" s="16"/>
      <c r="D148" s="16"/>
      <c r="E148" s="17"/>
      <c r="F148" s="17"/>
      <c r="G148" s="17"/>
      <c r="H148" s="17"/>
      <c r="I148" s="17"/>
      <c r="J148" s="17"/>
      <c r="K148" s="17"/>
      <c r="L148" s="17"/>
      <c r="M148" s="17"/>
      <c r="N148" s="18"/>
      <c r="O148" s="18"/>
    </row>
    <row r="149">
      <c r="A149" s="14"/>
      <c r="B149" s="21"/>
      <c r="C149" s="16"/>
      <c r="D149" s="16"/>
      <c r="E149" s="17"/>
      <c r="F149" s="17"/>
      <c r="G149" s="17"/>
      <c r="H149" s="17"/>
      <c r="I149" s="17"/>
      <c r="J149" s="17"/>
      <c r="K149" s="17"/>
      <c r="L149" s="17"/>
      <c r="M149" s="17"/>
      <c r="N149" s="18"/>
      <c r="O149" s="18"/>
    </row>
    <row r="150">
      <c r="A150" s="14"/>
      <c r="B150" s="21"/>
      <c r="C150" s="16"/>
      <c r="D150" s="16"/>
      <c r="E150" s="17"/>
      <c r="F150" s="17"/>
      <c r="G150" s="17"/>
      <c r="H150" s="17"/>
      <c r="I150" s="17"/>
      <c r="J150" s="17"/>
      <c r="K150" s="17"/>
      <c r="L150" s="17"/>
      <c r="M150" s="17"/>
      <c r="N150" s="18"/>
      <c r="O150" s="18"/>
    </row>
    <row r="151">
      <c r="A151" s="14"/>
      <c r="B151" s="21"/>
      <c r="C151" s="16"/>
      <c r="D151" s="16"/>
      <c r="E151" s="17"/>
      <c r="F151" s="17"/>
      <c r="G151" s="17"/>
      <c r="H151" s="17"/>
      <c r="I151" s="17"/>
      <c r="J151" s="17"/>
      <c r="K151" s="17"/>
      <c r="L151" s="17"/>
      <c r="M151" s="17"/>
      <c r="N151" s="18"/>
      <c r="O151" s="18"/>
    </row>
    <row r="152">
      <c r="A152" s="14"/>
      <c r="B152" s="21"/>
      <c r="C152" s="16"/>
      <c r="D152" s="16"/>
      <c r="E152" s="17"/>
      <c r="F152" s="17"/>
      <c r="G152" s="17"/>
      <c r="H152" s="17"/>
      <c r="I152" s="17"/>
      <c r="J152" s="17"/>
      <c r="K152" s="17"/>
      <c r="L152" s="17"/>
      <c r="M152" s="17"/>
      <c r="N152" s="18"/>
      <c r="O152" s="18"/>
    </row>
    <row r="153">
      <c r="A153" s="14"/>
      <c r="B153" s="21"/>
      <c r="C153" s="16"/>
      <c r="D153" s="16"/>
      <c r="E153" s="17"/>
      <c r="F153" s="17"/>
      <c r="G153" s="17"/>
      <c r="H153" s="17"/>
      <c r="I153" s="17"/>
      <c r="J153" s="17"/>
      <c r="K153" s="17"/>
      <c r="L153" s="17"/>
      <c r="M153" s="17"/>
      <c r="N153" s="18"/>
      <c r="O153" s="18"/>
    </row>
    <row r="154">
      <c r="A154" s="14"/>
      <c r="B154" s="21"/>
      <c r="C154" s="16"/>
      <c r="D154" s="16"/>
      <c r="E154" s="17"/>
      <c r="F154" s="17"/>
      <c r="G154" s="17"/>
      <c r="H154" s="17"/>
      <c r="I154" s="17"/>
      <c r="J154" s="17"/>
      <c r="K154" s="17"/>
      <c r="L154" s="17"/>
      <c r="M154" s="17"/>
      <c r="N154" s="18"/>
      <c r="O154" s="18"/>
    </row>
    <row r="155">
      <c r="A155" s="14"/>
      <c r="B155" s="21"/>
      <c r="C155" s="16"/>
      <c r="D155" s="16"/>
      <c r="E155" s="17"/>
      <c r="F155" s="17"/>
      <c r="G155" s="17"/>
      <c r="H155" s="17"/>
      <c r="I155" s="17"/>
      <c r="J155" s="17"/>
      <c r="K155" s="17"/>
      <c r="L155" s="17"/>
      <c r="M155" s="17"/>
      <c r="N155" s="18"/>
      <c r="O155" s="18"/>
    </row>
    <row r="156">
      <c r="A156" s="14"/>
      <c r="B156" s="21"/>
      <c r="C156" s="16"/>
      <c r="D156" s="16"/>
      <c r="E156" s="17"/>
      <c r="F156" s="17"/>
      <c r="G156" s="17"/>
      <c r="H156" s="17"/>
      <c r="I156" s="17"/>
      <c r="J156" s="17"/>
      <c r="K156" s="17"/>
      <c r="L156" s="17"/>
      <c r="M156" s="17"/>
      <c r="N156" s="18"/>
      <c r="O156" s="18"/>
    </row>
    <row r="157">
      <c r="A157" s="14"/>
      <c r="B157" s="21"/>
      <c r="C157" s="16"/>
      <c r="D157" s="16"/>
      <c r="E157" s="17"/>
      <c r="F157" s="17"/>
      <c r="G157" s="17"/>
      <c r="H157" s="17"/>
      <c r="I157" s="17"/>
      <c r="J157" s="17"/>
      <c r="K157" s="17"/>
      <c r="L157" s="17"/>
      <c r="M157" s="17"/>
      <c r="N157" s="18"/>
      <c r="O157" s="18"/>
    </row>
    <row r="158">
      <c r="A158" s="14"/>
      <c r="B158" s="21"/>
      <c r="C158" s="16"/>
      <c r="D158" s="16"/>
      <c r="E158" s="17"/>
      <c r="F158" s="17"/>
      <c r="G158" s="17"/>
      <c r="H158" s="17"/>
      <c r="I158" s="17"/>
      <c r="J158" s="17"/>
      <c r="K158" s="17"/>
      <c r="L158" s="17"/>
      <c r="M158" s="17"/>
      <c r="N158" s="18"/>
      <c r="O158" s="18"/>
    </row>
    <row r="159">
      <c r="A159" s="14"/>
      <c r="B159" s="21"/>
      <c r="C159" s="16"/>
      <c r="D159" s="16"/>
      <c r="E159" s="17"/>
      <c r="F159" s="17"/>
      <c r="G159" s="17"/>
      <c r="H159" s="17"/>
      <c r="I159" s="17"/>
      <c r="J159" s="17"/>
      <c r="K159" s="17"/>
      <c r="L159" s="17"/>
      <c r="M159" s="17"/>
      <c r="N159" s="18"/>
      <c r="O159" s="18"/>
    </row>
    <row r="160">
      <c r="A160" s="14"/>
      <c r="B160" s="21"/>
      <c r="C160" s="16"/>
      <c r="D160" s="16"/>
      <c r="E160" s="17"/>
      <c r="F160" s="17"/>
      <c r="G160" s="17"/>
      <c r="H160" s="17"/>
      <c r="I160" s="17"/>
      <c r="J160" s="17"/>
      <c r="K160" s="17"/>
      <c r="L160" s="17"/>
      <c r="M160" s="17"/>
      <c r="N160" s="18"/>
      <c r="O160" s="18"/>
    </row>
    <row r="161">
      <c r="A161" s="14"/>
      <c r="B161" s="21"/>
      <c r="C161" s="16"/>
      <c r="D161" s="16"/>
      <c r="E161" s="17"/>
      <c r="F161" s="17"/>
      <c r="G161" s="17"/>
      <c r="H161" s="17"/>
      <c r="I161" s="17"/>
      <c r="J161" s="17"/>
      <c r="K161" s="17"/>
      <c r="L161" s="17"/>
      <c r="M161" s="17"/>
      <c r="N161" s="18"/>
      <c r="O161" s="18"/>
    </row>
    <row r="162">
      <c r="A162" s="14"/>
      <c r="B162" s="21"/>
      <c r="C162" s="16"/>
      <c r="D162" s="16"/>
      <c r="E162" s="17"/>
      <c r="F162" s="17"/>
      <c r="G162" s="17"/>
      <c r="H162" s="17"/>
      <c r="I162" s="17"/>
      <c r="J162" s="17"/>
      <c r="K162" s="17"/>
      <c r="L162" s="17"/>
      <c r="M162" s="17"/>
      <c r="N162" s="18"/>
      <c r="O162" s="18"/>
    </row>
    <row r="163">
      <c r="A163" s="14"/>
      <c r="B163" s="21"/>
      <c r="C163" s="16"/>
      <c r="D163" s="16"/>
      <c r="E163" s="17"/>
      <c r="F163" s="17"/>
      <c r="G163" s="17"/>
      <c r="H163" s="17"/>
      <c r="I163" s="17"/>
      <c r="J163" s="17"/>
      <c r="K163" s="17"/>
      <c r="L163" s="17"/>
      <c r="M163" s="17"/>
      <c r="N163" s="18"/>
      <c r="O163" s="18"/>
    </row>
    <row r="164">
      <c r="A164" s="14"/>
      <c r="B164" s="21"/>
      <c r="C164" s="16"/>
      <c r="D164" s="16"/>
      <c r="E164" s="17"/>
      <c r="F164" s="17"/>
      <c r="G164" s="17"/>
      <c r="H164" s="17"/>
      <c r="I164" s="17"/>
      <c r="J164" s="17"/>
      <c r="K164" s="17"/>
      <c r="L164" s="17"/>
      <c r="M164" s="17"/>
      <c r="N164" s="18"/>
      <c r="O164" s="18"/>
    </row>
    <row r="165">
      <c r="A165" s="14"/>
      <c r="B165" s="21"/>
      <c r="C165" s="16"/>
      <c r="D165" s="16"/>
      <c r="E165" s="17"/>
      <c r="F165" s="17"/>
      <c r="G165" s="17"/>
      <c r="H165" s="17"/>
      <c r="I165" s="17"/>
      <c r="J165" s="17"/>
      <c r="K165" s="17"/>
      <c r="L165" s="17"/>
      <c r="M165" s="17"/>
      <c r="N165" s="18"/>
      <c r="O165" s="18"/>
    </row>
    <row r="166">
      <c r="A166" s="14"/>
      <c r="B166" s="21"/>
      <c r="C166" s="16"/>
      <c r="D166" s="16"/>
      <c r="E166" s="17"/>
      <c r="F166" s="17"/>
      <c r="G166" s="17"/>
      <c r="H166" s="17"/>
      <c r="I166" s="17"/>
      <c r="J166" s="17"/>
      <c r="K166" s="17"/>
      <c r="L166" s="17"/>
      <c r="M166" s="17"/>
      <c r="N166" s="18"/>
      <c r="O166" s="18"/>
    </row>
    <row r="167">
      <c r="A167" s="14"/>
      <c r="B167" s="21"/>
      <c r="C167" s="16"/>
      <c r="D167" s="16"/>
      <c r="E167" s="17"/>
      <c r="F167" s="17"/>
      <c r="G167" s="17"/>
      <c r="H167" s="17"/>
      <c r="I167" s="17"/>
      <c r="J167" s="17"/>
      <c r="K167" s="17"/>
      <c r="L167" s="17"/>
      <c r="M167" s="17"/>
      <c r="N167" s="18"/>
      <c r="O167" s="18"/>
    </row>
    <row r="168">
      <c r="A168" s="14"/>
      <c r="B168" s="21"/>
      <c r="C168" s="16"/>
      <c r="D168" s="16"/>
      <c r="E168" s="17"/>
      <c r="F168" s="17"/>
      <c r="G168" s="17"/>
      <c r="H168" s="17"/>
      <c r="I168" s="17"/>
      <c r="J168" s="17"/>
      <c r="K168" s="17"/>
      <c r="L168" s="17"/>
      <c r="M168" s="17"/>
      <c r="N168" s="18"/>
      <c r="O168" s="18"/>
    </row>
    <row r="169">
      <c r="A169" s="14"/>
      <c r="B169" s="21"/>
      <c r="C169" s="16"/>
      <c r="D169" s="16"/>
      <c r="E169" s="17"/>
      <c r="F169" s="17"/>
      <c r="G169" s="17"/>
      <c r="H169" s="17"/>
      <c r="I169" s="17"/>
      <c r="J169" s="17"/>
      <c r="K169" s="17"/>
      <c r="L169" s="17"/>
      <c r="M169" s="17"/>
      <c r="N169" s="18"/>
      <c r="O169" s="18"/>
    </row>
    <row r="170">
      <c r="A170" s="14"/>
      <c r="B170" s="21"/>
      <c r="C170" s="16"/>
      <c r="D170" s="16"/>
      <c r="E170" s="17"/>
      <c r="F170" s="17"/>
      <c r="G170" s="17"/>
      <c r="H170" s="17"/>
      <c r="I170" s="17"/>
      <c r="J170" s="17"/>
      <c r="K170" s="17"/>
      <c r="L170" s="17"/>
      <c r="M170" s="17"/>
      <c r="N170" s="18"/>
      <c r="O170" s="18"/>
    </row>
    <row r="171">
      <c r="A171" s="14"/>
      <c r="B171" s="21"/>
      <c r="C171" s="16"/>
      <c r="D171" s="16"/>
      <c r="E171" s="17"/>
      <c r="F171" s="17"/>
      <c r="G171" s="17"/>
      <c r="H171" s="17"/>
      <c r="I171" s="17"/>
      <c r="J171" s="17"/>
      <c r="K171" s="17"/>
      <c r="L171" s="17"/>
      <c r="M171" s="17"/>
      <c r="N171" s="18"/>
      <c r="O171" s="18"/>
    </row>
    <row r="172">
      <c r="A172" s="14"/>
      <c r="B172" s="21"/>
      <c r="C172" s="16"/>
      <c r="D172" s="16"/>
      <c r="E172" s="17"/>
      <c r="F172" s="17"/>
      <c r="G172" s="17"/>
      <c r="H172" s="17"/>
      <c r="I172" s="17"/>
      <c r="J172" s="17"/>
      <c r="K172" s="17"/>
      <c r="L172" s="17"/>
      <c r="M172" s="17"/>
      <c r="N172" s="18"/>
      <c r="O172" s="18"/>
    </row>
    <row r="173">
      <c r="A173" s="14"/>
      <c r="B173" s="21"/>
      <c r="C173" s="16"/>
      <c r="D173" s="16"/>
      <c r="E173" s="17"/>
      <c r="F173" s="17"/>
      <c r="G173" s="17"/>
      <c r="H173" s="17"/>
      <c r="I173" s="17"/>
      <c r="J173" s="17"/>
      <c r="K173" s="17"/>
      <c r="L173" s="17"/>
      <c r="M173" s="17"/>
      <c r="N173" s="18"/>
      <c r="O173" s="18"/>
    </row>
    <row r="174">
      <c r="A174" s="14"/>
      <c r="B174" s="21"/>
      <c r="C174" s="16"/>
      <c r="D174" s="16"/>
      <c r="E174" s="17"/>
      <c r="F174" s="17"/>
      <c r="G174" s="17"/>
      <c r="H174" s="17"/>
      <c r="I174" s="17"/>
      <c r="J174" s="17"/>
      <c r="K174" s="17"/>
      <c r="L174" s="17"/>
      <c r="M174" s="17"/>
      <c r="N174" s="18"/>
      <c r="O174" s="18"/>
    </row>
    <row r="175">
      <c r="A175" s="14"/>
      <c r="B175" s="21"/>
      <c r="C175" s="16"/>
      <c r="D175" s="16"/>
      <c r="E175" s="17"/>
      <c r="F175" s="17"/>
      <c r="G175" s="17"/>
      <c r="H175" s="17"/>
      <c r="I175" s="17"/>
      <c r="J175" s="17"/>
      <c r="K175" s="17"/>
      <c r="L175" s="17"/>
      <c r="M175" s="17"/>
      <c r="N175" s="18"/>
      <c r="O175" s="18"/>
    </row>
    <row r="176">
      <c r="A176" s="14"/>
      <c r="B176" s="21"/>
      <c r="C176" s="16"/>
      <c r="D176" s="16"/>
      <c r="E176" s="17"/>
      <c r="F176" s="17"/>
      <c r="G176" s="17"/>
      <c r="H176" s="17"/>
      <c r="I176" s="17"/>
      <c r="J176" s="17"/>
      <c r="K176" s="17"/>
      <c r="L176" s="17"/>
      <c r="M176" s="17"/>
      <c r="N176" s="18"/>
      <c r="O176" s="18"/>
    </row>
    <row r="177">
      <c r="A177" s="14"/>
      <c r="B177" s="21"/>
      <c r="C177" s="16"/>
      <c r="D177" s="16"/>
      <c r="E177" s="17"/>
      <c r="F177" s="17"/>
      <c r="G177" s="17"/>
      <c r="H177" s="17"/>
      <c r="I177" s="17"/>
      <c r="J177" s="17"/>
      <c r="K177" s="17"/>
      <c r="L177" s="17"/>
      <c r="M177" s="17"/>
      <c r="N177" s="18"/>
      <c r="O177" s="18"/>
    </row>
    <row r="178">
      <c r="A178" s="14"/>
      <c r="B178" s="21"/>
      <c r="C178" s="16"/>
      <c r="D178" s="16"/>
      <c r="E178" s="17"/>
      <c r="F178" s="17"/>
      <c r="G178" s="17"/>
      <c r="H178" s="17"/>
      <c r="I178" s="17"/>
      <c r="J178" s="17"/>
      <c r="K178" s="17"/>
      <c r="L178" s="17"/>
      <c r="M178" s="17"/>
      <c r="N178" s="18"/>
      <c r="O178" s="18"/>
    </row>
    <row r="179">
      <c r="A179" s="14"/>
      <c r="B179" s="21"/>
      <c r="C179" s="16"/>
      <c r="D179" s="16"/>
      <c r="E179" s="17"/>
      <c r="F179" s="17"/>
      <c r="G179" s="17"/>
      <c r="H179" s="17"/>
      <c r="I179" s="17"/>
      <c r="J179" s="17"/>
      <c r="K179" s="17"/>
      <c r="L179" s="17"/>
      <c r="M179" s="17"/>
      <c r="N179" s="18"/>
      <c r="O179" s="18"/>
    </row>
    <row r="180">
      <c r="A180" s="14"/>
      <c r="B180" s="21"/>
      <c r="C180" s="16"/>
      <c r="D180" s="16"/>
      <c r="E180" s="17"/>
      <c r="F180" s="17"/>
      <c r="G180" s="17"/>
      <c r="H180" s="17"/>
      <c r="I180" s="17"/>
      <c r="J180" s="17"/>
      <c r="K180" s="17"/>
      <c r="L180" s="17"/>
      <c r="M180" s="17"/>
      <c r="N180" s="18"/>
      <c r="O180" s="18"/>
    </row>
    <row r="181">
      <c r="A181" s="14"/>
      <c r="B181" s="21"/>
      <c r="C181" s="16"/>
      <c r="D181" s="16"/>
      <c r="E181" s="17"/>
      <c r="F181" s="17"/>
      <c r="G181" s="17"/>
      <c r="H181" s="17"/>
      <c r="I181" s="17"/>
      <c r="J181" s="17"/>
      <c r="K181" s="17"/>
      <c r="L181" s="17"/>
      <c r="M181" s="17"/>
      <c r="N181" s="18"/>
      <c r="O181" s="18"/>
    </row>
    <row r="182">
      <c r="A182" s="14"/>
      <c r="B182" s="21"/>
      <c r="C182" s="16"/>
      <c r="D182" s="16"/>
      <c r="E182" s="17"/>
      <c r="F182" s="17"/>
      <c r="G182" s="17"/>
      <c r="H182" s="17"/>
      <c r="I182" s="17"/>
      <c r="J182" s="17"/>
      <c r="K182" s="17"/>
      <c r="L182" s="17"/>
      <c r="M182" s="17"/>
      <c r="N182" s="18"/>
      <c r="O182" s="18"/>
    </row>
    <row r="183">
      <c r="A183" s="14"/>
      <c r="B183" s="21"/>
      <c r="C183" s="16"/>
      <c r="D183" s="16"/>
      <c r="E183" s="17"/>
      <c r="F183" s="17"/>
      <c r="G183" s="17"/>
      <c r="H183" s="17"/>
      <c r="I183" s="17"/>
      <c r="J183" s="17"/>
      <c r="K183" s="17"/>
      <c r="L183" s="17"/>
      <c r="M183" s="17"/>
      <c r="N183" s="18"/>
      <c r="O183" s="18"/>
    </row>
    <row r="184">
      <c r="A184" s="14"/>
      <c r="B184" s="21"/>
      <c r="C184" s="16"/>
      <c r="D184" s="16"/>
      <c r="E184" s="17"/>
      <c r="F184" s="17"/>
      <c r="G184" s="17"/>
      <c r="H184" s="17"/>
      <c r="I184" s="17"/>
      <c r="J184" s="17"/>
      <c r="K184" s="17"/>
      <c r="L184" s="17"/>
      <c r="M184" s="17"/>
      <c r="N184" s="18"/>
      <c r="O184" s="18"/>
    </row>
    <row r="185">
      <c r="A185" s="14"/>
      <c r="B185" s="21"/>
      <c r="C185" s="16"/>
      <c r="D185" s="16"/>
      <c r="E185" s="17"/>
      <c r="F185" s="17"/>
      <c r="G185" s="17"/>
      <c r="H185" s="17"/>
      <c r="I185" s="17"/>
      <c r="J185" s="17"/>
      <c r="K185" s="17"/>
      <c r="L185" s="17"/>
      <c r="M185" s="17"/>
      <c r="N185" s="18"/>
      <c r="O185" s="18"/>
    </row>
    <row r="186">
      <c r="A186" s="14"/>
      <c r="B186" s="21"/>
      <c r="C186" s="16"/>
      <c r="D186" s="16"/>
      <c r="E186" s="17"/>
      <c r="F186" s="17"/>
      <c r="G186" s="17"/>
      <c r="H186" s="17"/>
      <c r="I186" s="17"/>
      <c r="J186" s="17"/>
      <c r="K186" s="17"/>
      <c r="L186" s="17"/>
      <c r="M186" s="17"/>
      <c r="N186" s="18"/>
      <c r="O186" s="18"/>
    </row>
    <row r="187">
      <c r="A187" s="14"/>
      <c r="B187" s="21"/>
      <c r="C187" s="16"/>
      <c r="D187" s="16"/>
      <c r="E187" s="17"/>
      <c r="F187" s="17"/>
      <c r="G187" s="17"/>
      <c r="H187" s="17"/>
      <c r="I187" s="17"/>
      <c r="J187" s="17"/>
      <c r="K187" s="17"/>
      <c r="L187" s="17"/>
      <c r="M187" s="17"/>
      <c r="N187" s="18"/>
      <c r="O187" s="18"/>
    </row>
    <row r="188">
      <c r="A188" s="14"/>
      <c r="B188" s="21"/>
      <c r="C188" s="16"/>
      <c r="D188" s="16"/>
      <c r="E188" s="17"/>
      <c r="F188" s="17"/>
      <c r="G188" s="17"/>
      <c r="H188" s="17"/>
      <c r="I188" s="17"/>
      <c r="J188" s="17"/>
      <c r="K188" s="17"/>
      <c r="L188" s="17"/>
      <c r="M188" s="17"/>
      <c r="N188" s="18"/>
      <c r="O188" s="18"/>
    </row>
    <row r="189">
      <c r="A189" s="14"/>
      <c r="B189" s="21"/>
      <c r="C189" s="16"/>
      <c r="D189" s="16"/>
      <c r="E189" s="17"/>
      <c r="F189" s="17"/>
      <c r="G189" s="17"/>
      <c r="H189" s="17"/>
      <c r="I189" s="17"/>
      <c r="J189" s="17"/>
      <c r="K189" s="17"/>
      <c r="L189" s="17"/>
      <c r="M189" s="17"/>
      <c r="N189" s="18"/>
      <c r="O189" s="18"/>
    </row>
    <row r="190">
      <c r="A190" s="14"/>
      <c r="B190" s="21"/>
      <c r="C190" s="16"/>
      <c r="D190" s="16"/>
      <c r="E190" s="17"/>
      <c r="F190" s="17"/>
      <c r="G190" s="17"/>
      <c r="H190" s="17"/>
      <c r="I190" s="17"/>
      <c r="J190" s="17"/>
      <c r="K190" s="17"/>
      <c r="L190" s="17"/>
      <c r="M190" s="17"/>
      <c r="N190" s="18"/>
      <c r="O190" s="18"/>
    </row>
    <row r="191">
      <c r="A191" s="14"/>
      <c r="B191" s="21"/>
      <c r="C191" s="16"/>
      <c r="D191" s="16"/>
      <c r="E191" s="17"/>
      <c r="F191" s="17"/>
      <c r="G191" s="17"/>
      <c r="H191" s="17"/>
      <c r="I191" s="17"/>
      <c r="J191" s="17"/>
      <c r="K191" s="17"/>
      <c r="L191" s="17"/>
      <c r="M191" s="17"/>
      <c r="N191" s="18"/>
      <c r="O191" s="18"/>
    </row>
    <row r="192">
      <c r="A192" s="14"/>
      <c r="B192" s="21"/>
      <c r="C192" s="16"/>
      <c r="D192" s="16"/>
      <c r="E192" s="17"/>
      <c r="F192" s="17"/>
      <c r="G192" s="17"/>
      <c r="H192" s="17"/>
      <c r="I192" s="17"/>
      <c r="J192" s="17"/>
      <c r="K192" s="17"/>
      <c r="L192" s="17"/>
      <c r="M192" s="17"/>
      <c r="N192" s="18"/>
      <c r="O192" s="18"/>
    </row>
    <row r="193">
      <c r="A193" s="14"/>
      <c r="B193" s="21"/>
      <c r="C193" s="16"/>
      <c r="D193" s="16"/>
      <c r="E193" s="17"/>
      <c r="F193" s="17"/>
      <c r="G193" s="17"/>
      <c r="H193" s="17"/>
      <c r="I193" s="17"/>
      <c r="J193" s="17"/>
      <c r="K193" s="17"/>
      <c r="L193" s="17"/>
      <c r="M193" s="17"/>
      <c r="N193" s="18"/>
      <c r="O193" s="18"/>
    </row>
    <row r="194">
      <c r="A194" s="14"/>
      <c r="B194" s="21"/>
      <c r="C194" s="16"/>
      <c r="D194" s="16"/>
      <c r="E194" s="17"/>
      <c r="F194" s="17"/>
      <c r="G194" s="17"/>
      <c r="H194" s="17"/>
      <c r="I194" s="17"/>
      <c r="J194" s="17"/>
      <c r="K194" s="17"/>
      <c r="L194" s="17"/>
      <c r="M194" s="17"/>
      <c r="N194" s="18"/>
      <c r="O194" s="18"/>
    </row>
    <row r="195">
      <c r="A195" s="14"/>
      <c r="B195" s="21"/>
      <c r="C195" s="16"/>
      <c r="D195" s="16"/>
      <c r="E195" s="17"/>
      <c r="F195" s="17"/>
      <c r="G195" s="17"/>
      <c r="H195" s="17"/>
      <c r="I195" s="17"/>
      <c r="J195" s="17"/>
      <c r="K195" s="17"/>
      <c r="L195" s="17"/>
      <c r="M195" s="17"/>
      <c r="N195" s="18"/>
      <c r="O195" s="18"/>
    </row>
    <row r="196">
      <c r="A196" s="14"/>
      <c r="B196" s="21"/>
      <c r="C196" s="16"/>
      <c r="D196" s="16"/>
      <c r="E196" s="17"/>
      <c r="F196" s="17"/>
      <c r="G196" s="17"/>
      <c r="H196" s="17"/>
      <c r="I196" s="17"/>
      <c r="J196" s="17"/>
      <c r="K196" s="17"/>
      <c r="L196" s="17"/>
      <c r="M196" s="17"/>
      <c r="N196" s="18"/>
      <c r="O196" s="18"/>
    </row>
    <row r="197">
      <c r="A197" s="14"/>
      <c r="B197" s="21"/>
      <c r="C197" s="16"/>
      <c r="D197" s="16"/>
      <c r="E197" s="17"/>
      <c r="F197" s="17"/>
      <c r="G197" s="17"/>
      <c r="H197" s="17"/>
      <c r="I197" s="17"/>
      <c r="J197" s="17"/>
      <c r="K197" s="17"/>
      <c r="L197" s="17"/>
      <c r="M197" s="17"/>
      <c r="N197" s="18"/>
      <c r="O197" s="18"/>
    </row>
    <row r="198">
      <c r="A198" s="14"/>
      <c r="B198" s="21"/>
      <c r="C198" s="16"/>
      <c r="D198" s="16"/>
      <c r="E198" s="17"/>
      <c r="F198" s="17"/>
      <c r="G198" s="17"/>
      <c r="H198" s="17"/>
      <c r="I198" s="17"/>
      <c r="J198" s="17"/>
      <c r="K198" s="17"/>
      <c r="L198" s="17"/>
      <c r="M198" s="17"/>
      <c r="N198" s="18"/>
      <c r="O198" s="18"/>
    </row>
    <row r="199">
      <c r="A199" s="14"/>
      <c r="B199" s="21"/>
      <c r="C199" s="16"/>
      <c r="D199" s="16"/>
      <c r="E199" s="17"/>
      <c r="F199" s="17"/>
      <c r="G199" s="17"/>
      <c r="H199" s="17"/>
      <c r="I199" s="17"/>
      <c r="J199" s="17"/>
      <c r="K199" s="17"/>
      <c r="L199" s="17"/>
      <c r="M199" s="17"/>
      <c r="N199" s="18"/>
      <c r="O199" s="18"/>
    </row>
    <row r="200">
      <c r="A200" s="14"/>
      <c r="B200" s="21"/>
      <c r="C200" s="16"/>
      <c r="D200" s="16"/>
      <c r="E200" s="17"/>
      <c r="F200" s="17"/>
      <c r="G200" s="17"/>
      <c r="H200" s="17"/>
      <c r="I200" s="17"/>
      <c r="J200" s="17"/>
      <c r="K200" s="17"/>
      <c r="L200" s="17"/>
      <c r="M200" s="17"/>
      <c r="N200" s="18"/>
      <c r="O200" s="18"/>
    </row>
    <row r="201">
      <c r="A201" s="14"/>
      <c r="B201" s="21"/>
      <c r="C201" s="16"/>
      <c r="D201" s="16"/>
      <c r="E201" s="17"/>
      <c r="F201" s="17"/>
      <c r="G201" s="17"/>
      <c r="H201" s="17"/>
      <c r="I201" s="17"/>
      <c r="J201" s="17"/>
      <c r="K201" s="17"/>
      <c r="L201" s="17"/>
      <c r="M201" s="17"/>
      <c r="N201" s="18"/>
      <c r="O201" s="18"/>
    </row>
    <row r="202">
      <c r="A202" s="14"/>
      <c r="B202" s="21"/>
      <c r="C202" s="16"/>
      <c r="D202" s="16"/>
      <c r="E202" s="17"/>
      <c r="F202" s="17"/>
      <c r="G202" s="17"/>
      <c r="H202" s="17"/>
      <c r="I202" s="17"/>
      <c r="J202" s="17"/>
      <c r="K202" s="17"/>
      <c r="L202" s="17"/>
      <c r="M202" s="17"/>
      <c r="N202" s="18"/>
      <c r="O202" s="18"/>
    </row>
    <row r="203">
      <c r="A203" s="14"/>
      <c r="B203" s="21"/>
      <c r="C203" s="16"/>
      <c r="D203" s="16"/>
      <c r="E203" s="17"/>
      <c r="F203" s="17"/>
      <c r="G203" s="17"/>
      <c r="H203" s="17"/>
      <c r="I203" s="17"/>
      <c r="J203" s="17"/>
      <c r="K203" s="17"/>
      <c r="L203" s="17"/>
      <c r="M203" s="17"/>
      <c r="N203" s="18"/>
      <c r="O203" s="18"/>
    </row>
    <row r="204">
      <c r="A204" s="14"/>
      <c r="B204" s="21"/>
      <c r="C204" s="16"/>
      <c r="D204" s="16"/>
      <c r="E204" s="17"/>
      <c r="F204" s="17"/>
      <c r="G204" s="17"/>
      <c r="H204" s="17"/>
      <c r="I204" s="17"/>
      <c r="J204" s="17"/>
      <c r="K204" s="17"/>
      <c r="L204" s="17"/>
      <c r="M204" s="17"/>
      <c r="N204" s="18"/>
      <c r="O204" s="18"/>
    </row>
    <row r="205">
      <c r="A205" s="14"/>
      <c r="B205" s="21"/>
      <c r="C205" s="16"/>
      <c r="D205" s="16"/>
      <c r="E205" s="17"/>
      <c r="F205" s="17"/>
      <c r="G205" s="17"/>
      <c r="H205" s="17"/>
      <c r="I205" s="17"/>
      <c r="J205" s="17"/>
      <c r="K205" s="17"/>
      <c r="L205" s="17"/>
      <c r="M205" s="17"/>
      <c r="N205" s="18"/>
      <c r="O205" s="18"/>
    </row>
    <row r="206">
      <c r="A206" s="14"/>
      <c r="B206" s="21"/>
      <c r="C206" s="16"/>
      <c r="D206" s="16"/>
      <c r="E206" s="17"/>
      <c r="F206" s="17"/>
      <c r="G206" s="17"/>
      <c r="H206" s="17"/>
      <c r="I206" s="17"/>
      <c r="J206" s="17"/>
      <c r="K206" s="17"/>
      <c r="L206" s="17"/>
      <c r="M206" s="17"/>
      <c r="N206" s="18"/>
      <c r="O206" s="18"/>
    </row>
    <row r="207">
      <c r="A207" s="14"/>
      <c r="B207" s="21"/>
      <c r="C207" s="16"/>
      <c r="D207" s="16"/>
      <c r="E207" s="17"/>
      <c r="F207" s="17"/>
      <c r="G207" s="17"/>
      <c r="H207" s="17"/>
      <c r="I207" s="17"/>
      <c r="J207" s="17"/>
      <c r="K207" s="17"/>
      <c r="L207" s="17"/>
      <c r="M207" s="17"/>
      <c r="N207" s="18"/>
      <c r="O207" s="18"/>
    </row>
    <row r="208">
      <c r="A208" s="14"/>
      <c r="B208" s="21"/>
      <c r="C208" s="16"/>
      <c r="D208" s="16"/>
      <c r="E208" s="17"/>
      <c r="F208" s="17"/>
      <c r="G208" s="17"/>
      <c r="H208" s="17"/>
      <c r="I208" s="17"/>
      <c r="J208" s="17"/>
      <c r="K208" s="17"/>
      <c r="L208" s="17"/>
      <c r="M208" s="17"/>
      <c r="N208" s="18"/>
      <c r="O208" s="18"/>
    </row>
    <row r="209">
      <c r="A209" s="14"/>
      <c r="B209" s="21"/>
      <c r="C209" s="16"/>
      <c r="D209" s="16"/>
      <c r="E209" s="17"/>
      <c r="F209" s="17"/>
      <c r="G209" s="17"/>
      <c r="H209" s="17"/>
      <c r="I209" s="17"/>
      <c r="J209" s="17"/>
      <c r="K209" s="17"/>
      <c r="L209" s="17"/>
      <c r="M209" s="17"/>
      <c r="N209" s="18"/>
      <c r="O209" s="18"/>
    </row>
    <row r="210">
      <c r="A210" s="14"/>
      <c r="B210" s="21"/>
      <c r="C210" s="16"/>
      <c r="D210" s="16"/>
      <c r="E210" s="17"/>
      <c r="F210" s="17"/>
      <c r="G210" s="17"/>
      <c r="H210" s="17"/>
      <c r="I210" s="17"/>
      <c r="J210" s="17"/>
      <c r="K210" s="17"/>
      <c r="L210" s="17"/>
      <c r="M210" s="17"/>
      <c r="N210" s="18"/>
      <c r="O210" s="18"/>
    </row>
    <row r="211">
      <c r="A211" s="14"/>
      <c r="B211" s="21"/>
      <c r="C211" s="16"/>
      <c r="D211" s="16"/>
      <c r="E211" s="17"/>
      <c r="F211" s="17"/>
      <c r="G211" s="17"/>
      <c r="H211" s="17"/>
      <c r="I211" s="17"/>
      <c r="J211" s="17"/>
      <c r="K211" s="17"/>
      <c r="L211" s="17"/>
      <c r="M211" s="17"/>
      <c r="N211" s="18"/>
      <c r="O211" s="18"/>
    </row>
    <row r="212">
      <c r="A212" s="14"/>
      <c r="B212" s="21"/>
      <c r="C212" s="16"/>
      <c r="D212" s="16"/>
      <c r="E212" s="17"/>
      <c r="F212" s="17"/>
      <c r="G212" s="17"/>
      <c r="H212" s="17"/>
      <c r="I212" s="17"/>
      <c r="J212" s="17"/>
      <c r="K212" s="17"/>
      <c r="L212" s="17"/>
      <c r="M212" s="17"/>
      <c r="N212" s="18"/>
      <c r="O212" s="18"/>
    </row>
    <row r="213">
      <c r="A213" s="14"/>
      <c r="B213" s="21"/>
      <c r="C213" s="16"/>
      <c r="D213" s="16"/>
      <c r="E213" s="17"/>
      <c r="F213" s="17"/>
      <c r="G213" s="17"/>
      <c r="H213" s="17"/>
      <c r="I213" s="17"/>
      <c r="J213" s="17"/>
      <c r="K213" s="17"/>
      <c r="L213" s="17"/>
      <c r="M213" s="17"/>
      <c r="N213" s="18"/>
      <c r="O213" s="18"/>
    </row>
    <row r="214">
      <c r="A214" s="14"/>
      <c r="B214" s="21"/>
      <c r="C214" s="16"/>
      <c r="D214" s="16"/>
      <c r="E214" s="17"/>
      <c r="F214" s="17"/>
      <c r="G214" s="17"/>
      <c r="H214" s="17"/>
      <c r="I214" s="17"/>
      <c r="J214" s="17"/>
      <c r="K214" s="17"/>
      <c r="L214" s="17"/>
      <c r="M214" s="17"/>
      <c r="N214" s="18"/>
      <c r="O214" s="18"/>
    </row>
    <row r="215">
      <c r="A215" s="14"/>
      <c r="B215" s="21"/>
      <c r="C215" s="16"/>
      <c r="D215" s="16"/>
      <c r="E215" s="17"/>
      <c r="F215" s="17"/>
      <c r="G215" s="17"/>
      <c r="H215" s="17"/>
      <c r="I215" s="17"/>
      <c r="J215" s="17"/>
      <c r="K215" s="17"/>
      <c r="L215" s="17"/>
      <c r="M215" s="17"/>
      <c r="N215" s="18"/>
      <c r="O215" s="18"/>
    </row>
    <row r="216">
      <c r="A216" s="14"/>
      <c r="B216" s="21"/>
      <c r="C216" s="16"/>
      <c r="D216" s="16"/>
      <c r="E216" s="17"/>
      <c r="F216" s="17"/>
      <c r="G216" s="17"/>
      <c r="H216" s="17"/>
      <c r="I216" s="17"/>
      <c r="J216" s="17"/>
      <c r="K216" s="17"/>
      <c r="L216" s="17"/>
      <c r="M216" s="17"/>
      <c r="N216" s="18"/>
      <c r="O216" s="18"/>
    </row>
    <row r="217">
      <c r="A217" s="14"/>
      <c r="B217" s="21"/>
      <c r="C217" s="16"/>
      <c r="D217" s="16"/>
      <c r="E217" s="17"/>
      <c r="F217" s="17"/>
      <c r="G217" s="17"/>
      <c r="H217" s="17"/>
      <c r="I217" s="17"/>
      <c r="J217" s="17"/>
      <c r="K217" s="17"/>
      <c r="L217" s="17"/>
      <c r="M217" s="17"/>
      <c r="N217" s="18"/>
      <c r="O217" s="18"/>
    </row>
    <row r="218">
      <c r="A218" s="14"/>
      <c r="B218" s="21"/>
      <c r="C218" s="16"/>
      <c r="D218" s="16"/>
      <c r="E218" s="17"/>
      <c r="F218" s="17"/>
      <c r="G218" s="17"/>
      <c r="H218" s="17"/>
      <c r="I218" s="17"/>
      <c r="J218" s="17"/>
      <c r="K218" s="17"/>
      <c r="L218" s="17"/>
      <c r="M218" s="17"/>
      <c r="N218" s="18"/>
      <c r="O218" s="18"/>
    </row>
    <row r="219">
      <c r="A219" s="14"/>
      <c r="B219" s="21"/>
      <c r="C219" s="16"/>
      <c r="D219" s="16"/>
      <c r="E219" s="17"/>
      <c r="F219" s="17"/>
      <c r="G219" s="17"/>
      <c r="H219" s="17"/>
      <c r="I219" s="17"/>
      <c r="J219" s="17"/>
      <c r="K219" s="17"/>
      <c r="L219" s="17"/>
      <c r="M219" s="17"/>
      <c r="N219" s="18"/>
      <c r="O219" s="18"/>
    </row>
    <row r="220">
      <c r="A220" s="14"/>
      <c r="B220" s="21"/>
      <c r="C220" s="16"/>
      <c r="D220" s="16"/>
      <c r="E220" s="17"/>
      <c r="F220" s="17"/>
      <c r="G220" s="17"/>
      <c r="H220" s="17"/>
      <c r="I220" s="17"/>
      <c r="J220" s="17"/>
      <c r="K220" s="17"/>
      <c r="L220" s="17"/>
      <c r="M220" s="17"/>
      <c r="N220" s="18"/>
      <c r="O220" s="18"/>
    </row>
    <row r="221">
      <c r="A221" s="14"/>
      <c r="B221" s="21"/>
      <c r="C221" s="16"/>
      <c r="D221" s="16"/>
      <c r="E221" s="17"/>
      <c r="F221" s="17"/>
      <c r="G221" s="17"/>
      <c r="H221" s="17"/>
      <c r="I221" s="17"/>
      <c r="J221" s="17"/>
      <c r="K221" s="17"/>
      <c r="L221" s="17"/>
      <c r="M221" s="17"/>
      <c r="N221" s="18"/>
      <c r="O221" s="18"/>
    </row>
    <row r="222">
      <c r="A222" s="14"/>
      <c r="B222" s="21"/>
      <c r="C222" s="16"/>
      <c r="D222" s="16"/>
      <c r="E222" s="17"/>
      <c r="F222" s="17"/>
      <c r="G222" s="17"/>
      <c r="H222" s="17"/>
      <c r="I222" s="17"/>
      <c r="J222" s="17"/>
      <c r="K222" s="17"/>
      <c r="L222" s="17"/>
      <c r="M222" s="17"/>
      <c r="N222" s="18"/>
      <c r="O222" s="18"/>
    </row>
    <row r="223">
      <c r="A223" s="14"/>
      <c r="B223" s="21"/>
      <c r="C223" s="16"/>
      <c r="D223" s="16"/>
      <c r="E223" s="17"/>
      <c r="F223" s="17"/>
      <c r="G223" s="17"/>
      <c r="H223" s="17"/>
      <c r="I223" s="17"/>
      <c r="J223" s="17"/>
      <c r="K223" s="17"/>
      <c r="L223" s="17"/>
      <c r="M223" s="17"/>
      <c r="N223" s="18"/>
      <c r="O223" s="18"/>
    </row>
    <row r="224">
      <c r="A224" s="14"/>
      <c r="B224" s="21"/>
      <c r="C224" s="16"/>
      <c r="D224" s="16"/>
      <c r="E224" s="17"/>
      <c r="F224" s="17"/>
      <c r="G224" s="17"/>
      <c r="H224" s="17"/>
      <c r="I224" s="17"/>
      <c r="J224" s="17"/>
      <c r="K224" s="17"/>
      <c r="L224" s="17"/>
      <c r="M224" s="17"/>
      <c r="N224" s="18"/>
      <c r="O224" s="18"/>
    </row>
    <row r="225">
      <c r="A225" s="14"/>
      <c r="B225" s="21"/>
      <c r="C225" s="16"/>
      <c r="D225" s="16"/>
      <c r="E225" s="17"/>
      <c r="F225" s="17"/>
      <c r="G225" s="17"/>
      <c r="H225" s="17"/>
      <c r="I225" s="17"/>
      <c r="J225" s="17"/>
      <c r="K225" s="17"/>
      <c r="L225" s="17"/>
      <c r="M225" s="17"/>
      <c r="N225" s="18"/>
      <c r="O225" s="18"/>
    </row>
    <row r="226">
      <c r="A226" s="14"/>
      <c r="B226" s="21"/>
      <c r="C226" s="16"/>
      <c r="D226" s="16"/>
      <c r="E226" s="17"/>
      <c r="F226" s="17"/>
      <c r="G226" s="17"/>
      <c r="H226" s="17"/>
      <c r="I226" s="17"/>
      <c r="J226" s="17"/>
      <c r="K226" s="17"/>
      <c r="L226" s="17"/>
      <c r="M226" s="17"/>
      <c r="N226" s="18"/>
      <c r="O226" s="18"/>
    </row>
    <row r="227">
      <c r="A227" s="14"/>
      <c r="B227" s="21"/>
      <c r="C227" s="16"/>
      <c r="D227" s="16"/>
      <c r="E227" s="17"/>
      <c r="F227" s="17"/>
      <c r="G227" s="17"/>
      <c r="H227" s="17"/>
      <c r="I227" s="17"/>
      <c r="J227" s="17"/>
      <c r="K227" s="17"/>
      <c r="L227" s="17"/>
      <c r="M227" s="17"/>
      <c r="N227" s="18"/>
      <c r="O227" s="18"/>
    </row>
    <row r="228">
      <c r="A228" s="14"/>
      <c r="B228" s="21"/>
      <c r="C228" s="16"/>
      <c r="D228" s="16"/>
      <c r="E228" s="17"/>
      <c r="F228" s="17"/>
      <c r="G228" s="17"/>
      <c r="H228" s="17"/>
      <c r="I228" s="17"/>
      <c r="J228" s="17"/>
      <c r="K228" s="17"/>
      <c r="L228" s="17"/>
      <c r="M228" s="17"/>
      <c r="N228" s="18"/>
      <c r="O228" s="18"/>
    </row>
    <row r="229">
      <c r="A229" s="14"/>
      <c r="B229" s="21"/>
      <c r="C229" s="16"/>
      <c r="D229" s="16"/>
      <c r="E229" s="17"/>
      <c r="F229" s="17"/>
      <c r="G229" s="17"/>
      <c r="H229" s="17"/>
      <c r="I229" s="17"/>
      <c r="J229" s="17"/>
      <c r="K229" s="17"/>
      <c r="L229" s="17"/>
      <c r="M229" s="17"/>
      <c r="N229" s="18"/>
      <c r="O229" s="18"/>
    </row>
    <row r="230">
      <c r="A230" s="14"/>
      <c r="B230" s="21"/>
      <c r="C230" s="16"/>
      <c r="D230" s="16"/>
      <c r="E230" s="17"/>
      <c r="F230" s="17"/>
      <c r="G230" s="17"/>
      <c r="H230" s="17"/>
      <c r="I230" s="17"/>
      <c r="J230" s="17"/>
      <c r="K230" s="17"/>
      <c r="L230" s="17"/>
      <c r="M230" s="17"/>
      <c r="N230" s="18"/>
      <c r="O230" s="18"/>
    </row>
    <row r="231">
      <c r="A231" s="14"/>
      <c r="B231" s="21"/>
      <c r="C231" s="16"/>
      <c r="D231" s="16"/>
      <c r="E231" s="17"/>
      <c r="F231" s="17"/>
      <c r="G231" s="17"/>
      <c r="H231" s="17"/>
      <c r="I231" s="17"/>
      <c r="J231" s="17"/>
      <c r="K231" s="17"/>
      <c r="L231" s="17"/>
      <c r="M231" s="17"/>
      <c r="N231" s="18"/>
      <c r="O231" s="18"/>
    </row>
    <row r="232">
      <c r="A232" s="14"/>
      <c r="B232" s="21"/>
      <c r="C232" s="16"/>
      <c r="D232" s="16"/>
      <c r="E232" s="17"/>
      <c r="F232" s="17"/>
      <c r="G232" s="17"/>
      <c r="H232" s="17"/>
      <c r="I232" s="17"/>
      <c r="J232" s="17"/>
      <c r="K232" s="17"/>
      <c r="L232" s="17"/>
      <c r="M232" s="17"/>
      <c r="N232" s="18"/>
      <c r="O232" s="18"/>
    </row>
    <row r="233">
      <c r="A233" s="14"/>
      <c r="B233" s="21"/>
      <c r="C233" s="16"/>
      <c r="D233" s="16"/>
      <c r="E233" s="17"/>
      <c r="F233" s="17"/>
      <c r="G233" s="17"/>
      <c r="H233" s="17"/>
      <c r="I233" s="17"/>
      <c r="J233" s="17"/>
      <c r="K233" s="17"/>
      <c r="L233" s="17"/>
      <c r="M233" s="17"/>
      <c r="N233" s="18"/>
      <c r="O233" s="18"/>
    </row>
    <row r="234">
      <c r="A234" s="14"/>
      <c r="B234" s="21"/>
      <c r="C234" s="16"/>
      <c r="D234" s="16"/>
      <c r="E234" s="17"/>
      <c r="F234" s="17"/>
      <c r="G234" s="17"/>
      <c r="H234" s="17"/>
      <c r="I234" s="17"/>
      <c r="J234" s="17"/>
      <c r="K234" s="17"/>
      <c r="L234" s="17"/>
      <c r="M234" s="17"/>
      <c r="N234" s="18"/>
      <c r="O234" s="18"/>
    </row>
    <row r="235">
      <c r="A235" s="14"/>
      <c r="B235" s="21"/>
      <c r="C235" s="16"/>
      <c r="D235" s="16"/>
      <c r="E235" s="17"/>
      <c r="F235" s="17"/>
      <c r="G235" s="17"/>
      <c r="H235" s="17"/>
      <c r="I235" s="17"/>
      <c r="J235" s="17"/>
      <c r="K235" s="17"/>
      <c r="L235" s="17"/>
      <c r="M235" s="17"/>
      <c r="N235" s="18"/>
      <c r="O235" s="18"/>
    </row>
    <row r="236">
      <c r="A236" s="14"/>
      <c r="B236" s="21"/>
      <c r="C236" s="16"/>
      <c r="D236" s="16"/>
      <c r="E236" s="17"/>
      <c r="F236" s="17"/>
      <c r="G236" s="17"/>
      <c r="H236" s="17"/>
      <c r="I236" s="17"/>
      <c r="J236" s="17"/>
      <c r="K236" s="17"/>
      <c r="L236" s="17"/>
      <c r="M236" s="17"/>
      <c r="N236" s="18"/>
      <c r="O236" s="18"/>
    </row>
    <row r="237">
      <c r="A237" s="14"/>
      <c r="B237" s="21"/>
      <c r="C237" s="16"/>
      <c r="D237" s="16"/>
      <c r="E237" s="17"/>
      <c r="F237" s="17"/>
      <c r="G237" s="17"/>
      <c r="H237" s="17"/>
      <c r="I237" s="17"/>
      <c r="J237" s="17"/>
      <c r="K237" s="17"/>
      <c r="L237" s="17"/>
      <c r="M237" s="17"/>
      <c r="N237" s="18"/>
      <c r="O237" s="18"/>
    </row>
    <row r="238">
      <c r="A238" s="14"/>
      <c r="B238" s="21"/>
      <c r="C238" s="16"/>
      <c r="D238" s="16"/>
      <c r="E238" s="17"/>
      <c r="F238" s="17"/>
      <c r="G238" s="17"/>
      <c r="H238" s="17"/>
      <c r="I238" s="17"/>
      <c r="J238" s="17"/>
      <c r="K238" s="17"/>
      <c r="L238" s="17"/>
      <c r="M238" s="17"/>
      <c r="N238" s="18"/>
      <c r="O238" s="18"/>
    </row>
    <row r="239">
      <c r="A239" s="14"/>
      <c r="B239" s="21"/>
      <c r="C239" s="16"/>
      <c r="D239" s="16"/>
      <c r="E239" s="17"/>
      <c r="F239" s="17"/>
      <c r="G239" s="17"/>
      <c r="H239" s="17"/>
      <c r="I239" s="17"/>
      <c r="J239" s="17"/>
      <c r="K239" s="17"/>
      <c r="L239" s="17"/>
      <c r="M239" s="17"/>
      <c r="N239" s="18"/>
      <c r="O239" s="18"/>
    </row>
    <row r="240">
      <c r="A240" s="14"/>
      <c r="B240" s="21"/>
      <c r="C240" s="16"/>
      <c r="D240" s="16"/>
      <c r="E240" s="17"/>
      <c r="F240" s="17"/>
      <c r="G240" s="17"/>
      <c r="H240" s="17"/>
      <c r="I240" s="17"/>
      <c r="J240" s="17"/>
      <c r="K240" s="17"/>
      <c r="L240" s="17"/>
      <c r="M240" s="17"/>
      <c r="N240" s="18"/>
      <c r="O240" s="18"/>
    </row>
    <row r="241">
      <c r="A241" s="14"/>
      <c r="B241" s="21"/>
      <c r="C241" s="16"/>
      <c r="D241" s="16"/>
      <c r="E241" s="17"/>
      <c r="F241" s="17"/>
      <c r="G241" s="17"/>
      <c r="H241" s="17"/>
      <c r="I241" s="17"/>
      <c r="J241" s="17"/>
      <c r="K241" s="17"/>
      <c r="L241" s="17"/>
      <c r="M241" s="17"/>
      <c r="N241" s="18"/>
      <c r="O241" s="18"/>
    </row>
    <row r="242">
      <c r="A242" s="14"/>
      <c r="B242" s="21"/>
      <c r="C242" s="16"/>
      <c r="D242" s="16"/>
      <c r="E242" s="17"/>
      <c r="F242" s="17"/>
      <c r="G242" s="17"/>
      <c r="H242" s="17"/>
      <c r="I242" s="17"/>
      <c r="J242" s="17"/>
      <c r="K242" s="17"/>
      <c r="L242" s="17"/>
      <c r="M242" s="17"/>
      <c r="N242" s="18"/>
      <c r="O242" s="18"/>
    </row>
    <row r="243">
      <c r="A243" s="14"/>
      <c r="B243" s="21"/>
      <c r="C243" s="16"/>
      <c r="D243" s="16"/>
      <c r="E243" s="17"/>
      <c r="F243" s="17"/>
      <c r="G243" s="17"/>
      <c r="H243" s="17"/>
      <c r="I243" s="17"/>
      <c r="J243" s="17"/>
      <c r="K243" s="17"/>
      <c r="L243" s="17"/>
      <c r="M243" s="17"/>
      <c r="N243" s="18"/>
      <c r="O243" s="18"/>
    </row>
    <row r="244">
      <c r="A244" s="14"/>
      <c r="B244" s="21"/>
      <c r="C244" s="16"/>
      <c r="D244" s="16"/>
      <c r="E244" s="17"/>
      <c r="F244" s="17"/>
      <c r="G244" s="17"/>
      <c r="H244" s="17"/>
      <c r="I244" s="17"/>
      <c r="J244" s="17"/>
      <c r="K244" s="17"/>
      <c r="L244" s="17"/>
      <c r="M244" s="17"/>
      <c r="N244" s="18"/>
      <c r="O244" s="18"/>
    </row>
    <row r="245">
      <c r="A245" s="14"/>
      <c r="B245" s="21"/>
      <c r="C245" s="16"/>
      <c r="D245" s="16"/>
      <c r="E245" s="17"/>
      <c r="F245" s="17"/>
      <c r="G245" s="17"/>
      <c r="H245" s="17"/>
      <c r="I245" s="17"/>
      <c r="J245" s="17"/>
      <c r="K245" s="17"/>
      <c r="L245" s="17"/>
      <c r="M245" s="17"/>
      <c r="N245" s="18"/>
      <c r="O245" s="18"/>
    </row>
    <row r="246">
      <c r="A246" s="14"/>
      <c r="B246" s="21"/>
      <c r="C246" s="16"/>
      <c r="D246" s="16"/>
      <c r="E246" s="17"/>
      <c r="F246" s="17"/>
      <c r="G246" s="17"/>
      <c r="H246" s="17"/>
      <c r="I246" s="17"/>
      <c r="J246" s="17"/>
      <c r="K246" s="17"/>
      <c r="L246" s="17"/>
      <c r="M246" s="17"/>
      <c r="N246" s="18"/>
      <c r="O246" s="18"/>
    </row>
    <row r="247">
      <c r="A247" s="14"/>
      <c r="B247" s="21"/>
      <c r="C247" s="16"/>
      <c r="D247" s="16"/>
      <c r="E247" s="17"/>
      <c r="F247" s="17"/>
      <c r="G247" s="17"/>
      <c r="H247" s="17"/>
      <c r="I247" s="17"/>
      <c r="J247" s="17"/>
      <c r="K247" s="17"/>
      <c r="L247" s="17"/>
      <c r="M247" s="17"/>
      <c r="N247" s="18"/>
      <c r="O247" s="18"/>
    </row>
    <row r="248">
      <c r="A248" s="14"/>
      <c r="B248" s="21"/>
      <c r="C248" s="16"/>
      <c r="D248" s="16"/>
      <c r="E248" s="17"/>
      <c r="F248" s="17"/>
      <c r="G248" s="17"/>
      <c r="H248" s="17"/>
      <c r="I248" s="17"/>
      <c r="J248" s="17"/>
      <c r="K248" s="17"/>
      <c r="L248" s="17"/>
      <c r="M248" s="17"/>
      <c r="N248" s="18"/>
      <c r="O248" s="18"/>
    </row>
    <row r="249">
      <c r="A249" s="14"/>
      <c r="B249" s="21"/>
      <c r="C249" s="16"/>
      <c r="D249" s="16"/>
      <c r="E249" s="17"/>
      <c r="F249" s="17"/>
      <c r="G249" s="17"/>
      <c r="H249" s="17"/>
      <c r="I249" s="17"/>
      <c r="J249" s="17"/>
      <c r="K249" s="17"/>
      <c r="L249" s="17"/>
      <c r="M249" s="17"/>
      <c r="N249" s="18"/>
      <c r="O249" s="18"/>
    </row>
    <row r="250">
      <c r="A250" s="14"/>
      <c r="B250" s="21"/>
      <c r="C250" s="16"/>
      <c r="D250" s="16"/>
      <c r="E250" s="17"/>
      <c r="F250" s="17"/>
      <c r="G250" s="17"/>
      <c r="H250" s="17"/>
      <c r="I250" s="17"/>
      <c r="J250" s="17"/>
      <c r="K250" s="17"/>
      <c r="L250" s="17"/>
      <c r="M250" s="17"/>
      <c r="N250" s="18"/>
      <c r="O250" s="18"/>
    </row>
    <row r="251">
      <c r="A251" s="14"/>
      <c r="B251" s="21"/>
      <c r="C251" s="16"/>
      <c r="D251" s="16"/>
      <c r="E251" s="17"/>
      <c r="F251" s="17"/>
      <c r="G251" s="17"/>
      <c r="H251" s="17"/>
      <c r="I251" s="17"/>
      <c r="J251" s="17"/>
      <c r="K251" s="17"/>
      <c r="L251" s="17"/>
      <c r="M251" s="17"/>
      <c r="N251" s="18"/>
      <c r="O251" s="18"/>
    </row>
    <row r="252">
      <c r="A252" s="14"/>
      <c r="B252" s="21"/>
      <c r="C252" s="16"/>
      <c r="D252" s="16"/>
      <c r="E252" s="17"/>
      <c r="F252" s="17"/>
      <c r="G252" s="17"/>
      <c r="H252" s="17"/>
      <c r="I252" s="17"/>
      <c r="J252" s="17"/>
      <c r="K252" s="17"/>
      <c r="L252" s="17"/>
      <c r="M252" s="17"/>
      <c r="N252" s="18"/>
      <c r="O252" s="18"/>
    </row>
    <row r="253">
      <c r="A253" s="14"/>
      <c r="B253" s="21"/>
      <c r="C253" s="16"/>
      <c r="D253" s="16"/>
      <c r="E253" s="17"/>
      <c r="F253" s="17"/>
      <c r="G253" s="17"/>
      <c r="H253" s="17"/>
      <c r="I253" s="17"/>
      <c r="J253" s="17"/>
      <c r="K253" s="17"/>
      <c r="L253" s="17"/>
      <c r="M253" s="17"/>
      <c r="N253" s="18"/>
      <c r="O253" s="18"/>
    </row>
    <row r="254">
      <c r="A254" s="14"/>
      <c r="B254" s="21"/>
      <c r="C254" s="16"/>
      <c r="D254" s="16"/>
      <c r="E254" s="17"/>
      <c r="F254" s="17"/>
      <c r="G254" s="17"/>
      <c r="H254" s="17"/>
      <c r="I254" s="17"/>
      <c r="J254" s="17"/>
      <c r="K254" s="17"/>
      <c r="L254" s="17"/>
      <c r="M254" s="17"/>
      <c r="N254" s="18"/>
      <c r="O254" s="18"/>
    </row>
    <row r="255">
      <c r="A255" s="14"/>
      <c r="B255" s="21"/>
      <c r="C255" s="16"/>
      <c r="D255" s="16"/>
      <c r="E255" s="17"/>
      <c r="F255" s="17"/>
      <c r="G255" s="17"/>
      <c r="H255" s="17"/>
      <c r="I255" s="17"/>
      <c r="J255" s="17"/>
      <c r="K255" s="17"/>
      <c r="L255" s="17"/>
      <c r="M255" s="17"/>
      <c r="N255" s="18"/>
      <c r="O255" s="18"/>
    </row>
    <row r="256">
      <c r="A256" s="14"/>
      <c r="B256" s="21"/>
      <c r="C256" s="16"/>
      <c r="D256" s="16"/>
      <c r="E256" s="17"/>
      <c r="F256" s="17"/>
      <c r="G256" s="17"/>
      <c r="H256" s="17"/>
      <c r="I256" s="17"/>
      <c r="J256" s="17"/>
      <c r="K256" s="17"/>
      <c r="L256" s="17"/>
      <c r="M256" s="17"/>
      <c r="N256" s="18"/>
      <c r="O256" s="18"/>
    </row>
    <row r="257">
      <c r="A257" s="14"/>
      <c r="B257" s="21"/>
      <c r="C257" s="16"/>
      <c r="D257" s="16"/>
      <c r="E257" s="17"/>
      <c r="F257" s="17"/>
      <c r="G257" s="17"/>
      <c r="H257" s="17"/>
      <c r="I257" s="17"/>
      <c r="J257" s="17"/>
      <c r="K257" s="17"/>
      <c r="L257" s="17"/>
      <c r="M257" s="17"/>
      <c r="N257" s="18"/>
      <c r="O257" s="18"/>
    </row>
    <row r="258">
      <c r="A258" s="14"/>
      <c r="B258" s="21"/>
      <c r="C258" s="16"/>
      <c r="D258" s="16"/>
      <c r="E258" s="17"/>
      <c r="F258" s="17"/>
      <c r="G258" s="17"/>
      <c r="H258" s="17"/>
      <c r="I258" s="17"/>
      <c r="J258" s="17"/>
      <c r="K258" s="17"/>
      <c r="L258" s="17"/>
      <c r="M258" s="17"/>
      <c r="N258" s="18"/>
      <c r="O258" s="18"/>
    </row>
    <row r="259">
      <c r="A259" s="14"/>
      <c r="B259" s="21"/>
      <c r="C259" s="16"/>
      <c r="D259" s="16"/>
      <c r="E259" s="17"/>
      <c r="F259" s="17"/>
      <c r="G259" s="17"/>
      <c r="H259" s="17"/>
      <c r="I259" s="17"/>
      <c r="J259" s="17"/>
      <c r="K259" s="17"/>
      <c r="L259" s="17"/>
      <c r="M259" s="17"/>
      <c r="N259" s="18"/>
      <c r="O259" s="18"/>
    </row>
    <row r="260">
      <c r="A260" s="14"/>
      <c r="B260" s="21"/>
      <c r="C260" s="16"/>
      <c r="D260" s="16"/>
      <c r="E260" s="17"/>
      <c r="F260" s="17"/>
      <c r="G260" s="17"/>
      <c r="H260" s="17"/>
      <c r="I260" s="17"/>
      <c r="J260" s="17"/>
      <c r="K260" s="17"/>
      <c r="L260" s="17"/>
      <c r="M260" s="17"/>
      <c r="N260" s="18"/>
      <c r="O260" s="18"/>
    </row>
    <row r="261">
      <c r="A261" s="14"/>
      <c r="B261" s="21"/>
      <c r="C261" s="16"/>
      <c r="D261" s="16"/>
      <c r="E261" s="17"/>
      <c r="F261" s="17"/>
      <c r="G261" s="17"/>
      <c r="H261" s="17"/>
      <c r="I261" s="17"/>
      <c r="J261" s="17"/>
      <c r="K261" s="17"/>
      <c r="L261" s="17"/>
      <c r="M261" s="17"/>
      <c r="N261" s="18"/>
      <c r="O261" s="18"/>
    </row>
    <row r="262">
      <c r="A262" s="14"/>
      <c r="B262" s="21"/>
      <c r="C262" s="16"/>
      <c r="D262" s="16"/>
      <c r="E262" s="17"/>
      <c r="F262" s="17"/>
      <c r="G262" s="17"/>
      <c r="H262" s="17"/>
      <c r="I262" s="17"/>
      <c r="J262" s="17"/>
      <c r="K262" s="17"/>
      <c r="L262" s="17"/>
      <c r="M262" s="17"/>
      <c r="N262" s="18"/>
      <c r="O262" s="18"/>
    </row>
    <row r="263">
      <c r="A263" s="14"/>
      <c r="B263" s="21"/>
      <c r="C263" s="16"/>
      <c r="D263" s="16"/>
      <c r="E263" s="17"/>
      <c r="F263" s="17"/>
      <c r="G263" s="17"/>
      <c r="H263" s="17"/>
      <c r="I263" s="17"/>
      <c r="J263" s="17"/>
      <c r="K263" s="17"/>
      <c r="L263" s="17"/>
      <c r="M263" s="17"/>
      <c r="N263" s="18"/>
      <c r="O263" s="18"/>
    </row>
    <row r="264">
      <c r="A264" s="14"/>
      <c r="B264" s="21"/>
      <c r="C264" s="16"/>
      <c r="D264" s="16"/>
      <c r="E264" s="17"/>
      <c r="F264" s="17"/>
      <c r="G264" s="17"/>
      <c r="H264" s="17"/>
      <c r="I264" s="17"/>
      <c r="J264" s="17"/>
      <c r="K264" s="17"/>
      <c r="L264" s="17"/>
      <c r="M264" s="17"/>
      <c r="N264" s="18"/>
      <c r="O264" s="18"/>
    </row>
    <row r="265">
      <c r="A265" s="14"/>
      <c r="B265" s="21"/>
      <c r="C265" s="16"/>
      <c r="D265" s="16"/>
      <c r="E265" s="17"/>
      <c r="F265" s="17"/>
      <c r="G265" s="17"/>
      <c r="H265" s="17"/>
      <c r="I265" s="17"/>
      <c r="J265" s="17"/>
      <c r="K265" s="17"/>
      <c r="L265" s="17"/>
      <c r="M265" s="17"/>
      <c r="N265" s="18"/>
      <c r="O265" s="18"/>
    </row>
    <row r="266">
      <c r="A266" s="14"/>
      <c r="B266" s="21"/>
      <c r="C266" s="16"/>
      <c r="D266" s="16"/>
      <c r="E266" s="17"/>
      <c r="F266" s="17"/>
      <c r="G266" s="17"/>
      <c r="H266" s="17"/>
      <c r="I266" s="17"/>
      <c r="J266" s="17"/>
      <c r="K266" s="17"/>
      <c r="L266" s="17"/>
      <c r="M266" s="17"/>
      <c r="N266" s="18"/>
      <c r="O266" s="18"/>
    </row>
    <row r="267">
      <c r="A267" s="14"/>
      <c r="B267" s="21"/>
      <c r="C267" s="16"/>
      <c r="D267" s="16"/>
      <c r="E267" s="17"/>
      <c r="F267" s="17"/>
      <c r="G267" s="17"/>
      <c r="H267" s="17"/>
      <c r="I267" s="17"/>
      <c r="J267" s="17"/>
      <c r="K267" s="17"/>
      <c r="L267" s="17"/>
      <c r="M267" s="17"/>
      <c r="N267" s="18"/>
      <c r="O267" s="18"/>
    </row>
    <row r="268">
      <c r="A268" s="14"/>
      <c r="B268" s="21"/>
      <c r="C268" s="16"/>
      <c r="D268" s="16"/>
      <c r="E268" s="17"/>
      <c r="F268" s="17"/>
      <c r="G268" s="17"/>
      <c r="H268" s="17"/>
      <c r="I268" s="17"/>
      <c r="J268" s="17"/>
      <c r="K268" s="17"/>
      <c r="L268" s="17"/>
      <c r="M268" s="17"/>
      <c r="N268" s="18"/>
      <c r="O268" s="18"/>
    </row>
    <row r="269">
      <c r="A269" s="14"/>
      <c r="B269" s="21"/>
      <c r="C269" s="16"/>
      <c r="D269" s="16"/>
      <c r="E269" s="17"/>
      <c r="F269" s="17"/>
      <c r="G269" s="17"/>
      <c r="H269" s="17"/>
      <c r="I269" s="17"/>
      <c r="J269" s="17"/>
      <c r="K269" s="17"/>
      <c r="L269" s="17"/>
      <c r="M269" s="17"/>
      <c r="N269" s="18"/>
      <c r="O269" s="18"/>
    </row>
    <row r="270">
      <c r="A270" s="14"/>
      <c r="B270" s="21"/>
      <c r="C270" s="16"/>
      <c r="D270" s="16"/>
      <c r="E270" s="17"/>
      <c r="F270" s="17"/>
      <c r="G270" s="17"/>
      <c r="H270" s="17"/>
      <c r="I270" s="17"/>
      <c r="J270" s="17"/>
      <c r="K270" s="17"/>
      <c r="L270" s="17"/>
      <c r="M270" s="17"/>
      <c r="N270" s="18"/>
      <c r="O270" s="18"/>
    </row>
    <row r="271">
      <c r="A271" s="14"/>
      <c r="B271" s="21"/>
      <c r="C271" s="16"/>
      <c r="D271" s="16"/>
      <c r="E271" s="17"/>
      <c r="F271" s="17"/>
      <c r="G271" s="17"/>
      <c r="H271" s="17"/>
      <c r="I271" s="17"/>
      <c r="J271" s="17"/>
      <c r="K271" s="17"/>
      <c r="L271" s="17"/>
      <c r="M271" s="17"/>
      <c r="N271" s="18"/>
      <c r="O271" s="18"/>
    </row>
    <row r="272">
      <c r="A272" s="14"/>
      <c r="B272" s="21"/>
      <c r="C272" s="16"/>
      <c r="D272" s="16"/>
      <c r="E272" s="17"/>
      <c r="F272" s="17"/>
      <c r="G272" s="17"/>
      <c r="H272" s="17"/>
      <c r="I272" s="17"/>
      <c r="J272" s="17"/>
      <c r="K272" s="17"/>
      <c r="L272" s="17"/>
      <c r="M272" s="17"/>
      <c r="N272" s="18"/>
      <c r="O272" s="18"/>
    </row>
    <row r="273">
      <c r="A273" s="14"/>
      <c r="B273" s="21"/>
      <c r="C273" s="16"/>
      <c r="D273" s="16"/>
      <c r="E273" s="17"/>
      <c r="F273" s="17"/>
      <c r="G273" s="17"/>
      <c r="H273" s="17"/>
      <c r="I273" s="17"/>
      <c r="J273" s="17"/>
      <c r="K273" s="17"/>
      <c r="L273" s="17"/>
      <c r="M273" s="17"/>
      <c r="N273" s="18"/>
      <c r="O273" s="18"/>
    </row>
    <row r="274">
      <c r="A274" s="14"/>
      <c r="B274" s="21"/>
      <c r="C274" s="16"/>
      <c r="D274" s="16"/>
      <c r="E274" s="17"/>
      <c r="F274" s="17"/>
      <c r="G274" s="17"/>
      <c r="H274" s="17"/>
      <c r="I274" s="17"/>
      <c r="J274" s="17"/>
      <c r="K274" s="17"/>
      <c r="L274" s="17"/>
      <c r="M274" s="17"/>
      <c r="N274" s="18"/>
      <c r="O274" s="18"/>
    </row>
    <row r="275">
      <c r="A275" s="14"/>
      <c r="B275" s="21"/>
      <c r="C275" s="16"/>
      <c r="D275" s="16"/>
      <c r="E275" s="17"/>
      <c r="F275" s="17"/>
      <c r="G275" s="17"/>
      <c r="H275" s="17"/>
      <c r="I275" s="17"/>
      <c r="J275" s="17"/>
      <c r="K275" s="17"/>
      <c r="L275" s="17"/>
      <c r="M275" s="17"/>
      <c r="N275" s="18"/>
      <c r="O275" s="18"/>
    </row>
    <row r="276">
      <c r="A276" s="14"/>
      <c r="B276" s="21"/>
      <c r="C276" s="16"/>
      <c r="D276" s="16"/>
      <c r="E276" s="17"/>
      <c r="F276" s="17"/>
      <c r="G276" s="17"/>
      <c r="H276" s="17"/>
      <c r="I276" s="17"/>
      <c r="J276" s="17"/>
      <c r="K276" s="17"/>
      <c r="L276" s="17"/>
      <c r="M276" s="17"/>
      <c r="N276" s="18"/>
      <c r="O276" s="18"/>
    </row>
    <row r="277">
      <c r="A277" s="14"/>
      <c r="B277" s="21"/>
      <c r="C277" s="16"/>
      <c r="D277" s="16"/>
      <c r="E277" s="17"/>
      <c r="F277" s="17"/>
      <c r="G277" s="17"/>
      <c r="H277" s="17"/>
      <c r="I277" s="17"/>
      <c r="J277" s="17"/>
      <c r="K277" s="17"/>
      <c r="L277" s="17"/>
      <c r="M277" s="17"/>
      <c r="N277" s="18"/>
      <c r="O277" s="18"/>
    </row>
    <row r="278">
      <c r="A278" s="14"/>
      <c r="B278" s="21"/>
      <c r="C278" s="16"/>
      <c r="D278" s="16"/>
      <c r="E278" s="17"/>
      <c r="F278" s="17"/>
      <c r="G278" s="17"/>
      <c r="H278" s="17"/>
      <c r="I278" s="17"/>
      <c r="J278" s="17"/>
      <c r="K278" s="17"/>
      <c r="L278" s="17"/>
      <c r="M278" s="17"/>
      <c r="N278" s="18"/>
      <c r="O278" s="18"/>
    </row>
    <row r="279">
      <c r="A279" s="14"/>
      <c r="B279" s="21"/>
      <c r="C279" s="16"/>
      <c r="D279" s="16"/>
      <c r="E279" s="17"/>
      <c r="F279" s="17"/>
      <c r="G279" s="17"/>
      <c r="H279" s="17"/>
      <c r="I279" s="17"/>
      <c r="J279" s="17"/>
      <c r="K279" s="17"/>
      <c r="L279" s="17"/>
      <c r="M279" s="17"/>
      <c r="N279" s="18"/>
      <c r="O279" s="18"/>
    </row>
    <row r="280">
      <c r="A280" s="14"/>
      <c r="B280" s="21"/>
      <c r="C280" s="16"/>
      <c r="D280" s="16"/>
      <c r="E280" s="17"/>
      <c r="F280" s="17"/>
      <c r="G280" s="17"/>
      <c r="H280" s="17"/>
      <c r="I280" s="17"/>
      <c r="J280" s="17"/>
      <c r="K280" s="17"/>
      <c r="L280" s="17"/>
      <c r="M280" s="17"/>
      <c r="N280" s="18"/>
      <c r="O280" s="18"/>
    </row>
    <row r="281">
      <c r="A281" s="14"/>
      <c r="B281" s="21"/>
      <c r="C281" s="16"/>
      <c r="D281" s="16"/>
      <c r="E281" s="17"/>
      <c r="F281" s="17"/>
      <c r="G281" s="17"/>
      <c r="H281" s="17"/>
      <c r="I281" s="17"/>
      <c r="J281" s="17"/>
      <c r="K281" s="17"/>
      <c r="L281" s="17"/>
      <c r="M281" s="17"/>
      <c r="N281" s="18"/>
      <c r="O281" s="18"/>
    </row>
    <row r="282">
      <c r="A282" s="14"/>
      <c r="B282" s="21"/>
      <c r="C282" s="16"/>
      <c r="D282" s="16"/>
      <c r="E282" s="17"/>
      <c r="F282" s="17"/>
      <c r="G282" s="17"/>
      <c r="H282" s="17"/>
      <c r="I282" s="17"/>
      <c r="J282" s="17"/>
      <c r="K282" s="17"/>
      <c r="L282" s="17"/>
      <c r="M282" s="17"/>
      <c r="N282" s="18"/>
      <c r="O282" s="18"/>
    </row>
    <row r="283">
      <c r="A283" s="14"/>
      <c r="B283" s="21"/>
      <c r="C283" s="16"/>
      <c r="D283" s="16"/>
      <c r="E283" s="17"/>
      <c r="F283" s="17"/>
      <c r="G283" s="17"/>
      <c r="H283" s="17"/>
      <c r="I283" s="17"/>
      <c r="J283" s="17"/>
      <c r="K283" s="17"/>
      <c r="L283" s="17"/>
      <c r="M283" s="17"/>
      <c r="N283" s="18"/>
      <c r="O283" s="18"/>
    </row>
    <row r="284">
      <c r="A284" s="14"/>
      <c r="B284" s="21"/>
      <c r="C284" s="16"/>
      <c r="D284" s="16"/>
      <c r="E284" s="17"/>
      <c r="F284" s="17"/>
      <c r="G284" s="17"/>
      <c r="H284" s="17"/>
      <c r="I284" s="17"/>
      <c r="J284" s="17"/>
      <c r="K284" s="17"/>
      <c r="L284" s="17"/>
      <c r="M284" s="17"/>
      <c r="N284" s="18"/>
      <c r="O284" s="18"/>
    </row>
    <row r="285">
      <c r="A285" s="14"/>
      <c r="B285" s="21"/>
      <c r="C285" s="16"/>
      <c r="D285" s="16"/>
      <c r="E285" s="17"/>
      <c r="F285" s="17"/>
      <c r="G285" s="17"/>
      <c r="H285" s="17"/>
      <c r="I285" s="17"/>
      <c r="J285" s="17"/>
      <c r="K285" s="17"/>
      <c r="L285" s="17"/>
      <c r="M285" s="17"/>
      <c r="N285" s="18"/>
      <c r="O285" s="18"/>
    </row>
    <row r="286">
      <c r="A286" s="14"/>
      <c r="B286" s="21"/>
      <c r="C286" s="16"/>
      <c r="D286" s="16"/>
      <c r="E286" s="17"/>
      <c r="F286" s="17"/>
      <c r="G286" s="17"/>
      <c r="H286" s="17"/>
      <c r="I286" s="17"/>
      <c r="J286" s="17"/>
      <c r="K286" s="17"/>
      <c r="L286" s="17"/>
      <c r="M286" s="17"/>
      <c r="N286" s="18"/>
      <c r="O286" s="18"/>
    </row>
    <row r="287">
      <c r="A287" s="14"/>
      <c r="B287" s="21"/>
      <c r="C287" s="16"/>
      <c r="D287" s="16"/>
      <c r="E287" s="17"/>
      <c r="F287" s="17"/>
      <c r="G287" s="17"/>
      <c r="H287" s="17"/>
      <c r="I287" s="17"/>
      <c r="J287" s="17"/>
      <c r="K287" s="17"/>
      <c r="L287" s="17"/>
      <c r="M287" s="17"/>
      <c r="N287" s="18"/>
      <c r="O287" s="18"/>
    </row>
    <row r="288">
      <c r="A288" s="14"/>
      <c r="B288" s="21"/>
      <c r="C288" s="16"/>
      <c r="D288" s="16"/>
      <c r="E288" s="17"/>
      <c r="F288" s="17"/>
      <c r="G288" s="17"/>
      <c r="H288" s="17"/>
      <c r="I288" s="17"/>
      <c r="J288" s="17"/>
      <c r="K288" s="17"/>
      <c r="L288" s="17"/>
      <c r="M288" s="17"/>
      <c r="N288" s="18"/>
      <c r="O288" s="18"/>
    </row>
    <row r="289">
      <c r="A289" s="14"/>
      <c r="B289" s="21"/>
      <c r="C289" s="16"/>
      <c r="D289" s="16"/>
      <c r="E289" s="17"/>
      <c r="F289" s="17"/>
      <c r="G289" s="17"/>
      <c r="H289" s="17"/>
      <c r="I289" s="17"/>
      <c r="J289" s="17"/>
      <c r="K289" s="17"/>
      <c r="L289" s="17"/>
      <c r="M289" s="17"/>
      <c r="N289" s="18"/>
      <c r="O289" s="18"/>
    </row>
    <row r="290">
      <c r="A290" s="14"/>
      <c r="B290" s="21"/>
      <c r="C290" s="16"/>
      <c r="D290" s="16"/>
      <c r="E290" s="17"/>
      <c r="F290" s="17"/>
      <c r="G290" s="17"/>
      <c r="H290" s="17"/>
      <c r="I290" s="17"/>
      <c r="J290" s="17"/>
      <c r="K290" s="17"/>
      <c r="L290" s="17"/>
      <c r="M290" s="17"/>
      <c r="N290" s="18"/>
      <c r="O290" s="18"/>
    </row>
    <row r="291">
      <c r="A291" s="14"/>
      <c r="B291" s="21"/>
      <c r="C291" s="16"/>
      <c r="D291" s="16"/>
      <c r="E291" s="17"/>
      <c r="F291" s="17"/>
      <c r="G291" s="17"/>
      <c r="H291" s="17"/>
      <c r="I291" s="17"/>
      <c r="J291" s="17"/>
      <c r="K291" s="17"/>
      <c r="L291" s="17"/>
      <c r="M291" s="17"/>
      <c r="N291" s="18"/>
      <c r="O291" s="18"/>
    </row>
    <row r="292">
      <c r="A292" s="14"/>
      <c r="B292" s="21"/>
      <c r="C292" s="16"/>
      <c r="D292" s="16"/>
      <c r="E292" s="17"/>
      <c r="F292" s="17"/>
      <c r="G292" s="17"/>
      <c r="H292" s="17"/>
      <c r="I292" s="17"/>
      <c r="J292" s="17"/>
      <c r="K292" s="17"/>
      <c r="L292" s="17"/>
      <c r="M292" s="17"/>
      <c r="N292" s="18"/>
      <c r="O292" s="18"/>
    </row>
    <row r="293">
      <c r="A293" s="14"/>
      <c r="B293" s="21"/>
      <c r="C293" s="16"/>
      <c r="D293" s="16"/>
      <c r="E293" s="17"/>
      <c r="F293" s="17"/>
      <c r="G293" s="17"/>
      <c r="H293" s="17"/>
      <c r="I293" s="17"/>
      <c r="J293" s="17"/>
      <c r="K293" s="17"/>
      <c r="L293" s="17"/>
      <c r="M293" s="17"/>
      <c r="N293" s="18"/>
      <c r="O293" s="18"/>
    </row>
    <row r="294">
      <c r="A294" s="14"/>
      <c r="B294" s="21"/>
      <c r="C294" s="16"/>
      <c r="D294" s="16"/>
      <c r="E294" s="17"/>
      <c r="F294" s="17"/>
      <c r="G294" s="17"/>
      <c r="H294" s="17"/>
      <c r="I294" s="17"/>
      <c r="J294" s="17"/>
      <c r="K294" s="17"/>
      <c r="L294" s="17"/>
      <c r="M294" s="17"/>
      <c r="N294" s="18"/>
      <c r="O294" s="18"/>
    </row>
    <row r="295">
      <c r="A295" s="14"/>
      <c r="B295" s="21"/>
      <c r="C295" s="16"/>
      <c r="D295" s="16"/>
      <c r="E295" s="17"/>
      <c r="F295" s="17"/>
      <c r="G295" s="17"/>
      <c r="H295" s="17"/>
      <c r="I295" s="17"/>
      <c r="J295" s="17"/>
      <c r="K295" s="17"/>
      <c r="L295" s="17"/>
      <c r="M295" s="17"/>
      <c r="N295" s="18"/>
      <c r="O295" s="18"/>
    </row>
    <row r="296">
      <c r="A296" s="14"/>
      <c r="B296" s="21"/>
      <c r="C296" s="16"/>
      <c r="D296" s="16"/>
      <c r="E296" s="17"/>
      <c r="F296" s="17"/>
      <c r="G296" s="17"/>
      <c r="H296" s="17"/>
      <c r="I296" s="17"/>
      <c r="J296" s="17"/>
      <c r="K296" s="17"/>
      <c r="L296" s="17"/>
      <c r="M296" s="17"/>
      <c r="N296" s="18"/>
      <c r="O296" s="18"/>
    </row>
    <row r="297">
      <c r="A297" s="14"/>
      <c r="B297" s="21"/>
      <c r="C297" s="16"/>
      <c r="D297" s="16"/>
      <c r="E297" s="17"/>
      <c r="F297" s="17"/>
      <c r="G297" s="17"/>
      <c r="H297" s="17"/>
      <c r="I297" s="17"/>
      <c r="J297" s="17"/>
      <c r="K297" s="17"/>
      <c r="L297" s="17"/>
      <c r="M297" s="17"/>
      <c r="N297" s="18"/>
      <c r="O297" s="18"/>
    </row>
    <row r="298">
      <c r="A298" s="14"/>
      <c r="B298" s="21"/>
      <c r="C298" s="16"/>
      <c r="D298" s="16"/>
      <c r="E298" s="17"/>
      <c r="F298" s="17"/>
      <c r="G298" s="17"/>
      <c r="H298" s="17"/>
      <c r="I298" s="17"/>
      <c r="J298" s="17"/>
      <c r="K298" s="17"/>
      <c r="L298" s="17"/>
      <c r="M298" s="17"/>
      <c r="N298" s="18"/>
      <c r="O298" s="18"/>
    </row>
    <row r="299">
      <c r="A299" s="14"/>
      <c r="B299" s="21"/>
      <c r="C299" s="16"/>
      <c r="D299" s="16"/>
      <c r="E299" s="17"/>
      <c r="F299" s="17"/>
      <c r="G299" s="17"/>
      <c r="H299" s="17"/>
      <c r="I299" s="17"/>
      <c r="J299" s="17"/>
      <c r="K299" s="17"/>
      <c r="L299" s="17"/>
      <c r="M299" s="17"/>
      <c r="N299" s="18"/>
      <c r="O299" s="18"/>
    </row>
    <row r="300">
      <c r="A300" s="14"/>
      <c r="B300" s="21"/>
      <c r="C300" s="16"/>
      <c r="D300" s="16"/>
      <c r="E300" s="17"/>
      <c r="F300" s="17"/>
      <c r="G300" s="17"/>
      <c r="H300" s="17"/>
      <c r="I300" s="17"/>
      <c r="J300" s="17"/>
      <c r="K300" s="17"/>
      <c r="L300" s="17"/>
      <c r="M300" s="17"/>
      <c r="N300" s="18"/>
      <c r="O300" s="18"/>
    </row>
    <row r="301">
      <c r="A301" s="14"/>
      <c r="B301" s="21"/>
      <c r="C301" s="16"/>
      <c r="D301" s="16"/>
      <c r="E301" s="17"/>
      <c r="F301" s="17"/>
      <c r="G301" s="17"/>
      <c r="H301" s="17"/>
      <c r="I301" s="17"/>
      <c r="J301" s="17"/>
      <c r="K301" s="17"/>
      <c r="L301" s="17"/>
      <c r="M301" s="17"/>
      <c r="N301" s="18"/>
      <c r="O301" s="18"/>
    </row>
    <row r="302">
      <c r="A302" s="14"/>
      <c r="B302" s="21"/>
      <c r="C302" s="16"/>
      <c r="D302" s="16"/>
      <c r="E302" s="17"/>
      <c r="F302" s="17"/>
      <c r="G302" s="17"/>
      <c r="H302" s="17"/>
      <c r="I302" s="17"/>
      <c r="J302" s="17"/>
      <c r="K302" s="17"/>
      <c r="L302" s="17"/>
      <c r="M302" s="17"/>
      <c r="N302" s="18"/>
      <c r="O302" s="18"/>
    </row>
    <row r="303">
      <c r="A303" s="14"/>
      <c r="B303" s="21"/>
      <c r="C303" s="16"/>
      <c r="D303" s="16"/>
      <c r="E303" s="17"/>
      <c r="F303" s="17"/>
      <c r="G303" s="17"/>
      <c r="H303" s="17"/>
      <c r="I303" s="17"/>
      <c r="J303" s="17"/>
      <c r="K303" s="17"/>
      <c r="L303" s="17"/>
      <c r="M303" s="17"/>
      <c r="N303" s="18"/>
      <c r="O303" s="18"/>
    </row>
    <row r="304">
      <c r="A304" s="14"/>
      <c r="B304" s="21"/>
      <c r="C304" s="16"/>
      <c r="D304" s="16"/>
      <c r="E304" s="17"/>
      <c r="F304" s="17"/>
      <c r="G304" s="17"/>
      <c r="H304" s="17"/>
      <c r="I304" s="17"/>
      <c r="J304" s="17"/>
      <c r="K304" s="17"/>
      <c r="L304" s="17"/>
      <c r="M304" s="17"/>
      <c r="N304" s="18"/>
      <c r="O304" s="18"/>
    </row>
    <row r="305">
      <c r="A305" s="14"/>
      <c r="B305" s="21"/>
      <c r="C305" s="16"/>
      <c r="D305" s="16"/>
      <c r="E305" s="17"/>
      <c r="F305" s="17"/>
      <c r="G305" s="17"/>
      <c r="H305" s="17"/>
      <c r="I305" s="17"/>
      <c r="J305" s="17"/>
      <c r="K305" s="17"/>
      <c r="L305" s="17"/>
      <c r="M305" s="17"/>
      <c r="N305" s="18"/>
      <c r="O305" s="18"/>
    </row>
    <row r="306">
      <c r="A306" s="14"/>
      <c r="B306" s="21"/>
      <c r="C306" s="16"/>
      <c r="D306" s="16"/>
      <c r="E306" s="17"/>
      <c r="F306" s="17"/>
      <c r="G306" s="17"/>
      <c r="H306" s="17"/>
      <c r="I306" s="17"/>
      <c r="J306" s="17"/>
      <c r="K306" s="17"/>
      <c r="L306" s="17"/>
      <c r="M306" s="17"/>
      <c r="N306" s="18"/>
      <c r="O306" s="18"/>
    </row>
    <row r="307">
      <c r="A307" s="14"/>
      <c r="B307" s="21"/>
      <c r="C307" s="16"/>
      <c r="D307" s="16"/>
      <c r="E307" s="17"/>
      <c r="F307" s="17"/>
      <c r="G307" s="17"/>
      <c r="H307" s="17"/>
      <c r="I307" s="17"/>
      <c r="J307" s="17"/>
      <c r="K307" s="17"/>
      <c r="L307" s="17"/>
      <c r="M307" s="17"/>
      <c r="N307" s="18"/>
      <c r="O307" s="18"/>
    </row>
    <row r="308">
      <c r="A308" s="14"/>
      <c r="B308" s="21"/>
      <c r="C308" s="16"/>
      <c r="D308" s="16"/>
      <c r="E308" s="17"/>
      <c r="F308" s="17"/>
      <c r="G308" s="17"/>
      <c r="H308" s="17"/>
      <c r="I308" s="17"/>
      <c r="J308" s="17"/>
      <c r="K308" s="17"/>
      <c r="L308" s="17"/>
      <c r="M308" s="17"/>
      <c r="N308" s="18"/>
      <c r="O308" s="18"/>
    </row>
    <row r="309">
      <c r="A309" s="14"/>
      <c r="B309" s="21"/>
      <c r="C309" s="16"/>
      <c r="D309" s="16"/>
      <c r="E309" s="17"/>
      <c r="F309" s="17"/>
      <c r="G309" s="17"/>
      <c r="H309" s="17"/>
      <c r="I309" s="17"/>
      <c r="J309" s="17"/>
      <c r="K309" s="17"/>
      <c r="L309" s="17"/>
      <c r="M309" s="17"/>
      <c r="N309" s="18"/>
      <c r="O309" s="18"/>
    </row>
    <row r="310">
      <c r="A310" s="14"/>
      <c r="B310" s="21"/>
      <c r="C310" s="16"/>
      <c r="D310" s="16"/>
      <c r="E310" s="17"/>
      <c r="F310" s="17"/>
      <c r="G310" s="17"/>
      <c r="H310" s="17"/>
      <c r="I310" s="17"/>
      <c r="J310" s="17"/>
      <c r="K310" s="17"/>
      <c r="L310" s="17"/>
      <c r="M310" s="17"/>
      <c r="N310" s="18"/>
      <c r="O310" s="18"/>
    </row>
    <row r="311">
      <c r="A311" s="14"/>
      <c r="B311" s="21"/>
      <c r="C311" s="16"/>
      <c r="D311" s="16"/>
      <c r="E311" s="17"/>
      <c r="F311" s="17"/>
      <c r="G311" s="17"/>
      <c r="H311" s="17"/>
      <c r="I311" s="17"/>
      <c r="J311" s="17"/>
      <c r="K311" s="17"/>
      <c r="L311" s="17"/>
      <c r="M311" s="17"/>
      <c r="N311" s="18"/>
      <c r="O311" s="18"/>
    </row>
    <row r="312">
      <c r="A312" s="14"/>
      <c r="B312" s="21"/>
      <c r="C312" s="16"/>
      <c r="D312" s="16"/>
      <c r="E312" s="17"/>
      <c r="F312" s="17"/>
      <c r="G312" s="17"/>
      <c r="H312" s="17"/>
      <c r="I312" s="17"/>
      <c r="J312" s="17"/>
      <c r="K312" s="17"/>
      <c r="L312" s="17"/>
      <c r="M312" s="17"/>
      <c r="N312" s="18"/>
      <c r="O312" s="18"/>
    </row>
    <row r="313">
      <c r="A313" s="14"/>
      <c r="B313" s="21"/>
      <c r="C313" s="16"/>
      <c r="D313" s="16"/>
      <c r="E313" s="17"/>
      <c r="F313" s="17"/>
      <c r="G313" s="17"/>
      <c r="H313" s="17"/>
      <c r="I313" s="17"/>
      <c r="J313" s="17"/>
      <c r="K313" s="17"/>
      <c r="L313" s="17"/>
      <c r="M313" s="17"/>
      <c r="N313" s="18"/>
      <c r="O313" s="18"/>
    </row>
    <row r="314">
      <c r="A314" s="14"/>
      <c r="B314" s="21"/>
      <c r="C314" s="16"/>
      <c r="D314" s="16"/>
      <c r="E314" s="17"/>
      <c r="F314" s="17"/>
      <c r="G314" s="17"/>
      <c r="H314" s="17"/>
      <c r="I314" s="17"/>
      <c r="J314" s="17"/>
      <c r="K314" s="17"/>
      <c r="L314" s="17"/>
      <c r="M314" s="17"/>
      <c r="N314" s="18"/>
      <c r="O314" s="18"/>
    </row>
    <row r="315">
      <c r="A315" s="14"/>
      <c r="B315" s="21"/>
      <c r="C315" s="16"/>
      <c r="D315" s="16"/>
      <c r="E315" s="17"/>
      <c r="F315" s="17"/>
      <c r="G315" s="17"/>
      <c r="H315" s="17"/>
      <c r="I315" s="17"/>
      <c r="J315" s="17"/>
      <c r="K315" s="17"/>
      <c r="L315" s="17"/>
      <c r="M315" s="17"/>
      <c r="N315" s="18"/>
      <c r="O315" s="18"/>
    </row>
    <row r="316">
      <c r="A316" s="14"/>
      <c r="B316" s="21"/>
      <c r="C316" s="16"/>
      <c r="D316" s="16"/>
      <c r="E316" s="17"/>
      <c r="F316" s="17"/>
      <c r="G316" s="17"/>
      <c r="H316" s="17"/>
      <c r="I316" s="17"/>
      <c r="J316" s="17"/>
      <c r="K316" s="17"/>
      <c r="L316" s="17"/>
      <c r="M316" s="17"/>
      <c r="N316" s="18"/>
      <c r="O316" s="18"/>
    </row>
    <row r="317">
      <c r="A317" s="14"/>
      <c r="B317" s="21"/>
      <c r="C317" s="16"/>
      <c r="D317" s="16"/>
      <c r="E317" s="17"/>
      <c r="F317" s="17"/>
      <c r="G317" s="17"/>
      <c r="H317" s="17"/>
      <c r="I317" s="17"/>
      <c r="J317" s="17"/>
      <c r="K317" s="17"/>
      <c r="L317" s="17"/>
      <c r="M317" s="17"/>
      <c r="N317" s="18"/>
      <c r="O317" s="18"/>
    </row>
    <row r="318">
      <c r="A318" s="14"/>
      <c r="B318" s="21"/>
      <c r="C318" s="16"/>
      <c r="D318" s="16"/>
      <c r="E318" s="17"/>
      <c r="F318" s="17"/>
      <c r="G318" s="17"/>
      <c r="H318" s="17"/>
      <c r="I318" s="17"/>
      <c r="J318" s="17"/>
      <c r="K318" s="17"/>
      <c r="L318" s="17"/>
      <c r="M318" s="17"/>
      <c r="N318" s="18"/>
      <c r="O318" s="18"/>
    </row>
    <row r="319">
      <c r="A319" s="14"/>
      <c r="B319" s="21"/>
      <c r="C319" s="16"/>
      <c r="D319" s="16"/>
      <c r="E319" s="17"/>
      <c r="F319" s="17"/>
      <c r="G319" s="17"/>
      <c r="H319" s="17"/>
      <c r="I319" s="17"/>
      <c r="J319" s="17"/>
      <c r="K319" s="17"/>
      <c r="L319" s="17"/>
      <c r="M319" s="17"/>
      <c r="N319" s="18"/>
      <c r="O319" s="18"/>
    </row>
    <row r="320">
      <c r="A320" s="14"/>
      <c r="B320" s="21"/>
      <c r="C320" s="16"/>
      <c r="D320" s="16"/>
      <c r="E320" s="17"/>
      <c r="F320" s="17"/>
      <c r="G320" s="17"/>
      <c r="H320" s="17"/>
      <c r="I320" s="17"/>
      <c r="J320" s="17"/>
      <c r="K320" s="17"/>
      <c r="L320" s="17"/>
      <c r="M320" s="17"/>
      <c r="N320" s="18"/>
      <c r="O320" s="18"/>
    </row>
    <row r="321">
      <c r="A321" s="14"/>
      <c r="B321" s="21"/>
      <c r="C321" s="16"/>
      <c r="D321" s="16"/>
      <c r="E321" s="17"/>
      <c r="F321" s="17"/>
      <c r="G321" s="17"/>
      <c r="H321" s="17"/>
      <c r="I321" s="17"/>
      <c r="J321" s="17"/>
      <c r="K321" s="17"/>
      <c r="L321" s="17"/>
      <c r="M321" s="17"/>
      <c r="N321" s="18"/>
      <c r="O321" s="18"/>
    </row>
    <row r="322">
      <c r="A322" s="14"/>
      <c r="B322" s="21"/>
      <c r="C322" s="16"/>
      <c r="D322" s="16"/>
      <c r="E322" s="17"/>
      <c r="F322" s="17"/>
      <c r="G322" s="17"/>
      <c r="H322" s="17"/>
      <c r="I322" s="17"/>
      <c r="J322" s="17"/>
      <c r="K322" s="17"/>
      <c r="L322" s="17"/>
      <c r="M322" s="17"/>
      <c r="N322" s="18"/>
      <c r="O322" s="18"/>
    </row>
    <row r="323">
      <c r="A323" s="14"/>
      <c r="B323" s="21"/>
      <c r="C323" s="16"/>
      <c r="D323" s="16"/>
      <c r="E323" s="17"/>
      <c r="F323" s="17"/>
      <c r="G323" s="17"/>
      <c r="H323" s="17"/>
      <c r="I323" s="17"/>
      <c r="J323" s="17"/>
      <c r="K323" s="17"/>
      <c r="L323" s="17"/>
      <c r="M323" s="17"/>
      <c r="N323" s="18"/>
      <c r="O323" s="18"/>
    </row>
    <row r="324">
      <c r="A324" s="14"/>
      <c r="B324" s="21"/>
      <c r="C324" s="16"/>
      <c r="D324" s="16"/>
      <c r="E324" s="17"/>
      <c r="F324" s="17"/>
      <c r="G324" s="17"/>
      <c r="H324" s="17"/>
      <c r="I324" s="17"/>
      <c r="J324" s="17"/>
      <c r="K324" s="17"/>
      <c r="L324" s="17"/>
      <c r="M324" s="17"/>
      <c r="N324" s="18"/>
      <c r="O324" s="18"/>
    </row>
    <row r="325">
      <c r="A325" s="14"/>
      <c r="B325" s="21"/>
      <c r="C325" s="16"/>
      <c r="D325" s="16"/>
      <c r="E325" s="17"/>
      <c r="F325" s="17"/>
      <c r="G325" s="17"/>
      <c r="H325" s="17"/>
      <c r="I325" s="17"/>
      <c r="J325" s="17"/>
      <c r="K325" s="17"/>
      <c r="L325" s="17"/>
      <c r="M325" s="17"/>
      <c r="N325" s="18"/>
      <c r="O325" s="18"/>
    </row>
    <row r="326">
      <c r="A326" s="14"/>
      <c r="B326" s="21"/>
      <c r="C326" s="16"/>
      <c r="D326" s="16"/>
      <c r="E326" s="17"/>
      <c r="F326" s="17"/>
      <c r="G326" s="17"/>
      <c r="H326" s="17"/>
      <c r="I326" s="17"/>
      <c r="J326" s="17"/>
      <c r="K326" s="17"/>
      <c r="L326" s="17"/>
      <c r="M326" s="17"/>
      <c r="N326" s="18"/>
      <c r="O326" s="18"/>
    </row>
    <row r="327">
      <c r="A327" s="14"/>
      <c r="B327" s="21"/>
      <c r="C327" s="16"/>
      <c r="D327" s="16"/>
      <c r="E327" s="17"/>
      <c r="F327" s="17"/>
      <c r="G327" s="17"/>
      <c r="H327" s="17"/>
      <c r="I327" s="17"/>
      <c r="J327" s="17"/>
      <c r="K327" s="17"/>
      <c r="L327" s="17"/>
      <c r="M327" s="17"/>
      <c r="N327" s="18"/>
      <c r="O327" s="18"/>
    </row>
    <row r="328">
      <c r="A328" s="14"/>
      <c r="B328" s="21"/>
      <c r="C328" s="16"/>
      <c r="D328" s="16"/>
      <c r="E328" s="17"/>
      <c r="F328" s="17"/>
      <c r="G328" s="17"/>
      <c r="H328" s="17"/>
      <c r="I328" s="17"/>
      <c r="J328" s="17"/>
      <c r="K328" s="17"/>
      <c r="L328" s="17"/>
      <c r="M328" s="17"/>
      <c r="N328" s="18"/>
      <c r="O328" s="18"/>
    </row>
    <row r="329">
      <c r="A329" s="14"/>
      <c r="B329" s="21"/>
      <c r="C329" s="16"/>
      <c r="D329" s="16"/>
      <c r="E329" s="17"/>
      <c r="F329" s="17"/>
      <c r="G329" s="17"/>
      <c r="H329" s="17"/>
      <c r="I329" s="17"/>
      <c r="J329" s="17"/>
      <c r="K329" s="17"/>
      <c r="L329" s="17"/>
      <c r="M329" s="17"/>
      <c r="N329" s="18"/>
      <c r="O329" s="18"/>
    </row>
    <row r="330">
      <c r="A330" s="14"/>
      <c r="B330" s="21"/>
      <c r="C330" s="16"/>
      <c r="D330" s="16"/>
      <c r="E330" s="17"/>
      <c r="F330" s="17"/>
      <c r="G330" s="17"/>
      <c r="H330" s="17"/>
      <c r="I330" s="17"/>
      <c r="J330" s="17"/>
      <c r="K330" s="17"/>
      <c r="L330" s="17"/>
      <c r="M330" s="17"/>
      <c r="N330" s="18"/>
      <c r="O330" s="18"/>
    </row>
    <row r="331">
      <c r="A331" s="14"/>
      <c r="B331" s="21"/>
      <c r="C331" s="16"/>
      <c r="D331" s="16"/>
      <c r="E331" s="17"/>
      <c r="F331" s="17"/>
      <c r="G331" s="17"/>
      <c r="H331" s="17"/>
      <c r="I331" s="17"/>
      <c r="J331" s="17"/>
      <c r="K331" s="17"/>
      <c r="L331" s="17"/>
      <c r="M331" s="17"/>
      <c r="N331" s="18"/>
      <c r="O331" s="18"/>
    </row>
    <row r="332">
      <c r="A332" s="14"/>
      <c r="B332" s="21"/>
      <c r="C332" s="16"/>
      <c r="D332" s="16"/>
      <c r="E332" s="17"/>
      <c r="F332" s="17"/>
      <c r="G332" s="17"/>
      <c r="H332" s="17"/>
      <c r="I332" s="17"/>
      <c r="J332" s="17"/>
      <c r="K332" s="17"/>
      <c r="L332" s="17"/>
      <c r="M332" s="17"/>
      <c r="N332" s="18"/>
      <c r="O332" s="18"/>
    </row>
    <row r="333">
      <c r="A333" s="14"/>
      <c r="B333" s="21"/>
      <c r="C333" s="16"/>
      <c r="D333" s="16"/>
      <c r="E333" s="17"/>
      <c r="F333" s="17"/>
      <c r="G333" s="17"/>
      <c r="H333" s="17"/>
      <c r="I333" s="17"/>
      <c r="J333" s="17"/>
      <c r="K333" s="17"/>
      <c r="L333" s="17"/>
      <c r="M333" s="17"/>
      <c r="N333" s="18"/>
      <c r="O333" s="18"/>
    </row>
    <row r="334">
      <c r="A334" s="14"/>
      <c r="B334" s="21"/>
      <c r="C334" s="16"/>
      <c r="D334" s="16"/>
      <c r="E334" s="17"/>
      <c r="F334" s="17"/>
      <c r="G334" s="17"/>
      <c r="H334" s="17"/>
      <c r="I334" s="17"/>
      <c r="J334" s="17"/>
      <c r="K334" s="17"/>
      <c r="L334" s="17"/>
      <c r="M334" s="17"/>
      <c r="N334" s="18"/>
      <c r="O334" s="18"/>
    </row>
    <row r="335">
      <c r="A335" s="14"/>
      <c r="B335" s="21"/>
      <c r="C335" s="16"/>
      <c r="D335" s="16"/>
      <c r="E335" s="17"/>
      <c r="F335" s="17"/>
      <c r="G335" s="17"/>
      <c r="H335" s="17"/>
      <c r="I335" s="17"/>
      <c r="J335" s="17"/>
      <c r="K335" s="17"/>
      <c r="L335" s="17"/>
      <c r="M335" s="17"/>
      <c r="N335" s="18"/>
      <c r="O335" s="18"/>
    </row>
    <row r="336">
      <c r="A336" s="14"/>
      <c r="B336" s="21"/>
      <c r="C336" s="16"/>
      <c r="D336" s="16"/>
      <c r="E336" s="17"/>
      <c r="F336" s="17"/>
      <c r="G336" s="17"/>
      <c r="H336" s="17"/>
      <c r="I336" s="17"/>
      <c r="J336" s="17"/>
      <c r="K336" s="17"/>
      <c r="L336" s="17"/>
      <c r="M336" s="17"/>
      <c r="N336" s="18"/>
      <c r="O336" s="18"/>
    </row>
    <row r="337">
      <c r="A337" s="14"/>
      <c r="B337" s="21"/>
      <c r="C337" s="16"/>
      <c r="D337" s="16"/>
      <c r="E337" s="17"/>
      <c r="F337" s="17"/>
      <c r="G337" s="17"/>
      <c r="H337" s="17"/>
      <c r="I337" s="17"/>
      <c r="J337" s="17"/>
      <c r="K337" s="17"/>
      <c r="L337" s="17"/>
      <c r="M337" s="17"/>
      <c r="N337" s="18"/>
      <c r="O337" s="18"/>
    </row>
    <row r="338">
      <c r="A338" s="14"/>
      <c r="B338" s="21"/>
      <c r="C338" s="16"/>
      <c r="D338" s="16"/>
      <c r="E338" s="17"/>
      <c r="F338" s="17"/>
      <c r="G338" s="17"/>
      <c r="H338" s="17"/>
      <c r="I338" s="17"/>
      <c r="J338" s="17"/>
      <c r="K338" s="17"/>
      <c r="L338" s="17"/>
      <c r="M338" s="17"/>
      <c r="N338" s="18"/>
      <c r="O338" s="18"/>
    </row>
    <row r="339">
      <c r="A339" s="14"/>
      <c r="B339" s="21"/>
      <c r="C339" s="16"/>
      <c r="D339" s="16"/>
      <c r="E339" s="17"/>
      <c r="F339" s="17"/>
      <c r="G339" s="17"/>
      <c r="H339" s="17"/>
      <c r="I339" s="17"/>
      <c r="J339" s="17"/>
      <c r="K339" s="17"/>
      <c r="L339" s="17"/>
      <c r="M339" s="17"/>
      <c r="N339" s="18"/>
      <c r="O339" s="18"/>
    </row>
    <row r="340">
      <c r="A340" s="14"/>
      <c r="B340" s="21"/>
      <c r="C340" s="16"/>
      <c r="D340" s="16"/>
      <c r="E340" s="17"/>
      <c r="F340" s="17"/>
      <c r="G340" s="17"/>
      <c r="H340" s="17"/>
      <c r="I340" s="17"/>
      <c r="J340" s="17"/>
      <c r="K340" s="17"/>
      <c r="L340" s="17"/>
      <c r="M340" s="17"/>
      <c r="N340" s="18"/>
      <c r="O340" s="18"/>
    </row>
    <row r="341">
      <c r="A341" s="14"/>
      <c r="B341" s="21"/>
      <c r="C341" s="16"/>
      <c r="D341" s="16"/>
      <c r="E341" s="17"/>
      <c r="F341" s="17"/>
      <c r="G341" s="17"/>
      <c r="H341" s="17"/>
      <c r="I341" s="17"/>
      <c r="J341" s="17"/>
      <c r="K341" s="17"/>
      <c r="L341" s="17"/>
      <c r="M341" s="17"/>
      <c r="N341" s="18"/>
      <c r="O341" s="18"/>
    </row>
    <row r="342">
      <c r="A342" s="14"/>
      <c r="B342" s="21"/>
      <c r="C342" s="16"/>
      <c r="D342" s="16"/>
      <c r="E342" s="17"/>
      <c r="F342" s="17"/>
      <c r="G342" s="17"/>
      <c r="H342" s="17"/>
      <c r="I342" s="17"/>
      <c r="J342" s="17"/>
      <c r="K342" s="17"/>
      <c r="L342" s="17"/>
      <c r="M342" s="17"/>
      <c r="N342" s="18"/>
      <c r="O342" s="18"/>
    </row>
    <row r="343">
      <c r="A343" s="14"/>
      <c r="B343" s="21"/>
      <c r="C343" s="16"/>
      <c r="D343" s="16"/>
      <c r="E343" s="17"/>
      <c r="F343" s="17"/>
      <c r="G343" s="17"/>
      <c r="H343" s="17"/>
      <c r="I343" s="17"/>
      <c r="J343" s="17"/>
      <c r="K343" s="17"/>
      <c r="L343" s="17"/>
      <c r="M343" s="17"/>
      <c r="N343" s="18"/>
      <c r="O343" s="18"/>
    </row>
    <row r="344">
      <c r="A344" s="14"/>
      <c r="B344" s="21"/>
      <c r="C344" s="16"/>
      <c r="D344" s="16"/>
      <c r="E344" s="17"/>
      <c r="F344" s="17"/>
      <c r="G344" s="17"/>
      <c r="H344" s="17"/>
      <c r="I344" s="17"/>
      <c r="J344" s="17"/>
      <c r="K344" s="17"/>
      <c r="L344" s="17"/>
      <c r="M344" s="17"/>
      <c r="N344" s="18"/>
      <c r="O344" s="18"/>
    </row>
    <row r="345">
      <c r="A345" s="14"/>
      <c r="B345" s="21"/>
      <c r="C345" s="16"/>
      <c r="D345" s="16"/>
      <c r="E345" s="17"/>
      <c r="F345" s="17"/>
      <c r="G345" s="17"/>
      <c r="H345" s="17"/>
      <c r="I345" s="17"/>
      <c r="J345" s="17"/>
      <c r="K345" s="17"/>
      <c r="L345" s="17"/>
      <c r="M345" s="17"/>
      <c r="N345" s="18"/>
      <c r="O345" s="18"/>
    </row>
    <row r="346">
      <c r="A346" s="14"/>
      <c r="B346" s="21"/>
      <c r="C346" s="16"/>
      <c r="D346" s="16"/>
      <c r="E346" s="17"/>
      <c r="F346" s="17"/>
      <c r="G346" s="17"/>
      <c r="H346" s="17"/>
      <c r="I346" s="17"/>
      <c r="J346" s="17"/>
      <c r="K346" s="17"/>
      <c r="L346" s="17"/>
      <c r="M346" s="17"/>
      <c r="N346" s="18"/>
      <c r="O346" s="18"/>
    </row>
    <row r="347">
      <c r="A347" s="14"/>
      <c r="B347" s="21"/>
      <c r="C347" s="16"/>
      <c r="D347" s="16"/>
      <c r="E347" s="17"/>
      <c r="F347" s="17"/>
      <c r="G347" s="17"/>
      <c r="H347" s="17"/>
      <c r="I347" s="17"/>
      <c r="J347" s="17"/>
      <c r="K347" s="17"/>
      <c r="L347" s="17"/>
      <c r="M347" s="17"/>
      <c r="N347" s="18"/>
      <c r="O347" s="18"/>
    </row>
    <row r="348">
      <c r="A348" s="14"/>
      <c r="B348" s="21"/>
      <c r="C348" s="16"/>
      <c r="D348" s="16"/>
      <c r="E348" s="17"/>
      <c r="F348" s="17"/>
      <c r="G348" s="17"/>
      <c r="H348" s="17"/>
      <c r="I348" s="17"/>
      <c r="J348" s="17"/>
      <c r="K348" s="17"/>
      <c r="L348" s="17"/>
      <c r="M348" s="17"/>
      <c r="N348" s="18"/>
      <c r="O348" s="18"/>
    </row>
    <row r="349">
      <c r="A349" s="14"/>
      <c r="B349" s="21"/>
      <c r="C349" s="16"/>
      <c r="D349" s="16"/>
      <c r="E349" s="17"/>
      <c r="F349" s="17"/>
      <c r="G349" s="17"/>
      <c r="H349" s="17"/>
      <c r="I349" s="17"/>
      <c r="J349" s="17"/>
      <c r="K349" s="17"/>
      <c r="L349" s="17"/>
      <c r="M349" s="17"/>
      <c r="N349" s="18"/>
      <c r="O349" s="18"/>
    </row>
    <row r="350">
      <c r="A350" s="14"/>
      <c r="B350" s="21"/>
      <c r="C350" s="16"/>
      <c r="D350" s="16"/>
      <c r="E350" s="17"/>
      <c r="F350" s="17"/>
      <c r="G350" s="17"/>
      <c r="H350" s="17"/>
      <c r="I350" s="17"/>
      <c r="J350" s="17"/>
      <c r="K350" s="17"/>
      <c r="L350" s="17"/>
      <c r="M350" s="17"/>
      <c r="N350" s="18"/>
      <c r="O350" s="18"/>
    </row>
    <row r="351">
      <c r="A351" s="14"/>
      <c r="B351" s="21"/>
      <c r="C351" s="16"/>
      <c r="D351" s="16"/>
      <c r="E351" s="17"/>
      <c r="F351" s="17"/>
      <c r="G351" s="17"/>
      <c r="H351" s="17"/>
      <c r="I351" s="17"/>
      <c r="J351" s="17"/>
      <c r="K351" s="17"/>
      <c r="L351" s="17"/>
      <c r="M351" s="17"/>
      <c r="N351" s="18"/>
      <c r="O351" s="18"/>
    </row>
    <row r="352">
      <c r="A352" s="14"/>
      <c r="B352" s="21"/>
      <c r="C352" s="16"/>
      <c r="D352" s="16"/>
      <c r="E352" s="17"/>
      <c r="F352" s="17"/>
      <c r="G352" s="17"/>
      <c r="H352" s="17"/>
      <c r="I352" s="17"/>
      <c r="J352" s="17"/>
      <c r="K352" s="17"/>
      <c r="L352" s="17"/>
      <c r="M352" s="17"/>
      <c r="N352" s="18"/>
      <c r="O352" s="18"/>
    </row>
    <row r="353">
      <c r="A353" s="14"/>
      <c r="B353" s="21"/>
      <c r="C353" s="16"/>
      <c r="D353" s="16"/>
      <c r="E353" s="17"/>
      <c r="F353" s="17"/>
      <c r="G353" s="17"/>
      <c r="H353" s="17"/>
      <c r="I353" s="17"/>
      <c r="J353" s="17"/>
      <c r="K353" s="17"/>
      <c r="L353" s="17"/>
      <c r="M353" s="17"/>
      <c r="N353" s="18"/>
      <c r="O353" s="18"/>
    </row>
    <row r="354">
      <c r="A354" s="14"/>
      <c r="B354" s="21"/>
      <c r="C354" s="16"/>
      <c r="D354" s="16"/>
      <c r="E354" s="17"/>
      <c r="F354" s="17"/>
      <c r="G354" s="17"/>
      <c r="H354" s="17"/>
      <c r="I354" s="17"/>
      <c r="J354" s="17"/>
      <c r="K354" s="17"/>
      <c r="L354" s="17"/>
      <c r="M354" s="17"/>
      <c r="N354" s="18"/>
      <c r="O354" s="18"/>
    </row>
    <row r="355">
      <c r="A355" s="14"/>
      <c r="B355" s="21"/>
      <c r="C355" s="16"/>
      <c r="D355" s="16"/>
      <c r="E355" s="17"/>
      <c r="F355" s="17"/>
      <c r="G355" s="17"/>
      <c r="H355" s="17"/>
      <c r="I355" s="17"/>
      <c r="J355" s="17"/>
      <c r="K355" s="17"/>
      <c r="L355" s="17"/>
      <c r="M355" s="17"/>
      <c r="N355" s="18"/>
      <c r="O355" s="18"/>
    </row>
    <row r="356">
      <c r="A356" s="14"/>
      <c r="B356" s="21"/>
      <c r="C356" s="16"/>
      <c r="D356" s="16"/>
      <c r="E356" s="17"/>
      <c r="F356" s="17"/>
      <c r="G356" s="17"/>
      <c r="H356" s="17"/>
      <c r="I356" s="17"/>
      <c r="J356" s="17"/>
      <c r="K356" s="17"/>
      <c r="L356" s="17"/>
      <c r="M356" s="17"/>
      <c r="N356" s="18"/>
      <c r="O356" s="18"/>
    </row>
    <row r="357">
      <c r="A357" s="14"/>
      <c r="B357" s="21"/>
      <c r="C357" s="16"/>
      <c r="D357" s="16"/>
      <c r="E357" s="17"/>
      <c r="F357" s="17"/>
      <c r="G357" s="17"/>
      <c r="H357" s="17"/>
      <c r="I357" s="17"/>
      <c r="J357" s="17"/>
      <c r="K357" s="17"/>
      <c r="L357" s="17"/>
      <c r="M357" s="17"/>
      <c r="N357" s="18"/>
      <c r="O357" s="18"/>
    </row>
    <row r="358">
      <c r="A358" s="14"/>
      <c r="B358" s="21"/>
      <c r="C358" s="16"/>
      <c r="D358" s="16"/>
      <c r="E358" s="17"/>
      <c r="F358" s="17"/>
      <c r="G358" s="17"/>
      <c r="H358" s="17"/>
      <c r="I358" s="17"/>
      <c r="J358" s="17"/>
      <c r="K358" s="17"/>
      <c r="L358" s="17"/>
      <c r="M358" s="17"/>
      <c r="N358" s="18"/>
      <c r="O358" s="18"/>
    </row>
    <row r="359">
      <c r="A359" s="14"/>
      <c r="B359" s="21"/>
      <c r="C359" s="16"/>
      <c r="D359" s="16"/>
      <c r="E359" s="17"/>
      <c r="F359" s="17"/>
      <c r="G359" s="17"/>
      <c r="H359" s="17"/>
      <c r="I359" s="17"/>
      <c r="J359" s="17"/>
      <c r="K359" s="17"/>
      <c r="L359" s="17"/>
      <c r="M359" s="17"/>
      <c r="N359" s="18"/>
      <c r="O359" s="18"/>
    </row>
    <row r="360">
      <c r="A360" s="14"/>
      <c r="B360" s="21"/>
      <c r="C360" s="16"/>
      <c r="D360" s="16"/>
      <c r="E360" s="17"/>
      <c r="F360" s="17"/>
      <c r="G360" s="17"/>
      <c r="H360" s="17"/>
      <c r="I360" s="17"/>
      <c r="J360" s="17"/>
      <c r="K360" s="17"/>
      <c r="L360" s="17"/>
      <c r="M360" s="17"/>
      <c r="N360" s="18"/>
      <c r="O360" s="18"/>
    </row>
    <row r="361">
      <c r="A361" s="14"/>
      <c r="B361" s="21"/>
      <c r="C361" s="16"/>
      <c r="D361" s="16"/>
      <c r="E361" s="17"/>
      <c r="F361" s="17"/>
      <c r="G361" s="17"/>
      <c r="H361" s="17"/>
      <c r="I361" s="17"/>
      <c r="J361" s="17"/>
      <c r="K361" s="17"/>
      <c r="L361" s="17"/>
      <c r="M361" s="17"/>
      <c r="N361" s="18"/>
      <c r="O361" s="18"/>
    </row>
    <row r="362">
      <c r="A362" s="14"/>
      <c r="B362" s="21"/>
      <c r="C362" s="16"/>
      <c r="D362" s="16"/>
      <c r="E362" s="17"/>
      <c r="F362" s="17"/>
      <c r="G362" s="17"/>
      <c r="H362" s="17"/>
      <c r="I362" s="17"/>
      <c r="J362" s="17"/>
      <c r="K362" s="17"/>
      <c r="L362" s="17"/>
      <c r="M362" s="17"/>
      <c r="N362" s="18"/>
      <c r="O362" s="18"/>
    </row>
    <row r="363">
      <c r="A363" s="14"/>
      <c r="B363" s="21"/>
      <c r="C363" s="16"/>
      <c r="D363" s="16"/>
      <c r="E363" s="17"/>
      <c r="F363" s="17"/>
      <c r="G363" s="17"/>
      <c r="H363" s="17"/>
      <c r="I363" s="17"/>
      <c r="J363" s="17"/>
      <c r="K363" s="17"/>
      <c r="L363" s="17"/>
      <c r="M363" s="17"/>
      <c r="N363" s="18"/>
      <c r="O363" s="18"/>
    </row>
    <row r="364">
      <c r="A364" s="14"/>
      <c r="B364" s="21"/>
      <c r="C364" s="16"/>
      <c r="D364" s="16"/>
      <c r="E364" s="17"/>
      <c r="F364" s="17"/>
      <c r="G364" s="17"/>
      <c r="H364" s="17"/>
      <c r="I364" s="17"/>
      <c r="J364" s="17"/>
      <c r="K364" s="17"/>
      <c r="L364" s="17"/>
      <c r="M364" s="17"/>
      <c r="N364" s="18"/>
      <c r="O364" s="18"/>
    </row>
    <row r="365">
      <c r="A365" s="14"/>
      <c r="B365" s="21"/>
      <c r="C365" s="16"/>
      <c r="D365" s="16"/>
      <c r="E365" s="17"/>
      <c r="F365" s="17"/>
      <c r="G365" s="17"/>
      <c r="H365" s="17"/>
      <c r="I365" s="17"/>
      <c r="J365" s="17"/>
      <c r="K365" s="17"/>
      <c r="L365" s="17"/>
      <c r="M365" s="17"/>
      <c r="N365" s="18"/>
      <c r="O365" s="18"/>
    </row>
    <row r="366">
      <c r="A366" s="14"/>
      <c r="B366" s="21"/>
      <c r="C366" s="16"/>
      <c r="D366" s="16"/>
      <c r="E366" s="17"/>
      <c r="F366" s="17"/>
      <c r="G366" s="17"/>
      <c r="H366" s="17"/>
      <c r="I366" s="17"/>
      <c r="J366" s="17"/>
      <c r="K366" s="17"/>
      <c r="L366" s="17"/>
      <c r="M366" s="17"/>
      <c r="N366" s="18"/>
      <c r="O366" s="18"/>
    </row>
    <row r="367">
      <c r="A367" s="14"/>
      <c r="B367" s="21"/>
      <c r="C367" s="16"/>
      <c r="D367" s="16"/>
      <c r="E367" s="17"/>
      <c r="F367" s="17"/>
      <c r="G367" s="17"/>
      <c r="H367" s="17"/>
      <c r="I367" s="17"/>
      <c r="J367" s="17"/>
      <c r="K367" s="17"/>
      <c r="L367" s="17"/>
      <c r="M367" s="17"/>
      <c r="N367" s="18"/>
      <c r="O367" s="18"/>
    </row>
    <row r="368">
      <c r="A368" s="14"/>
      <c r="B368" s="21"/>
      <c r="C368" s="16"/>
      <c r="D368" s="16"/>
      <c r="E368" s="17"/>
      <c r="F368" s="17"/>
      <c r="G368" s="17"/>
      <c r="H368" s="17"/>
      <c r="I368" s="17"/>
      <c r="J368" s="17"/>
      <c r="K368" s="17"/>
      <c r="L368" s="17"/>
      <c r="M368" s="17"/>
      <c r="N368" s="18"/>
      <c r="O368" s="18"/>
    </row>
    <row r="369">
      <c r="A369" s="14"/>
      <c r="B369" s="21"/>
      <c r="C369" s="16"/>
      <c r="D369" s="16"/>
      <c r="E369" s="17"/>
      <c r="F369" s="17"/>
      <c r="G369" s="17"/>
      <c r="H369" s="17"/>
      <c r="I369" s="17"/>
      <c r="J369" s="17"/>
      <c r="K369" s="17"/>
      <c r="L369" s="17"/>
      <c r="M369" s="17"/>
      <c r="N369" s="18"/>
      <c r="O369" s="18"/>
    </row>
    <row r="370">
      <c r="A370" s="14"/>
      <c r="B370" s="21"/>
      <c r="C370" s="16"/>
      <c r="D370" s="16"/>
      <c r="E370" s="17"/>
      <c r="F370" s="17"/>
      <c r="G370" s="17"/>
      <c r="H370" s="17"/>
      <c r="I370" s="17"/>
      <c r="J370" s="17"/>
      <c r="K370" s="17"/>
      <c r="L370" s="17"/>
      <c r="M370" s="17"/>
      <c r="N370" s="18"/>
      <c r="O370" s="18"/>
    </row>
    <row r="371">
      <c r="A371" s="14"/>
      <c r="B371" s="21"/>
      <c r="C371" s="16"/>
      <c r="D371" s="16"/>
      <c r="E371" s="17"/>
      <c r="F371" s="17"/>
      <c r="G371" s="17"/>
      <c r="H371" s="17"/>
      <c r="I371" s="17"/>
      <c r="J371" s="17"/>
      <c r="K371" s="17"/>
      <c r="L371" s="17"/>
      <c r="M371" s="17"/>
      <c r="N371" s="18"/>
      <c r="O371" s="18"/>
    </row>
    <row r="372">
      <c r="A372" s="14"/>
      <c r="B372" s="21"/>
      <c r="C372" s="16"/>
      <c r="D372" s="16"/>
      <c r="E372" s="17"/>
      <c r="F372" s="17"/>
      <c r="G372" s="17"/>
      <c r="H372" s="17"/>
      <c r="I372" s="17"/>
      <c r="J372" s="17"/>
      <c r="K372" s="17"/>
      <c r="L372" s="17"/>
      <c r="M372" s="17"/>
      <c r="N372" s="18"/>
      <c r="O372" s="18"/>
    </row>
    <row r="373">
      <c r="A373" s="14"/>
      <c r="B373" s="21"/>
      <c r="C373" s="16"/>
      <c r="D373" s="16"/>
      <c r="E373" s="17"/>
      <c r="F373" s="17"/>
      <c r="G373" s="17"/>
      <c r="H373" s="17"/>
      <c r="I373" s="17"/>
      <c r="J373" s="17"/>
      <c r="K373" s="17"/>
      <c r="L373" s="17"/>
      <c r="M373" s="17"/>
      <c r="N373" s="18"/>
      <c r="O373" s="18"/>
    </row>
    <row r="374">
      <c r="A374" s="14"/>
      <c r="B374" s="21"/>
      <c r="C374" s="16"/>
      <c r="D374" s="16"/>
      <c r="E374" s="17"/>
      <c r="F374" s="17"/>
      <c r="G374" s="17"/>
      <c r="H374" s="17"/>
      <c r="I374" s="17"/>
      <c r="J374" s="17"/>
      <c r="K374" s="17"/>
      <c r="L374" s="17"/>
      <c r="M374" s="17"/>
      <c r="N374" s="18"/>
      <c r="O374" s="18"/>
    </row>
    <row r="375">
      <c r="A375" s="14"/>
      <c r="B375" s="21"/>
      <c r="C375" s="16"/>
      <c r="D375" s="16"/>
      <c r="E375" s="17"/>
      <c r="F375" s="17"/>
      <c r="G375" s="17"/>
      <c r="H375" s="17"/>
      <c r="I375" s="17"/>
      <c r="J375" s="17"/>
      <c r="K375" s="17"/>
      <c r="L375" s="17"/>
      <c r="M375" s="17"/>
      <c r="N375" s="18"/>
      <c r="O375" s="18"/>
    </row>
    <row r="376">
      <c r="A376" s="14"/>
      <c r="B376" s="21"/>
      <c r="C376" s="16"/>
      <c r="D376" s="16"/>
      <c r="E376" s="17"/>
      <c r="F376" s="17"/>
      <c r="G376" s="17"/>
      <c r="H376" s="17"/>
      <c r="I376" s="17"/>
      <c r="J376" s="17"/>
      <c r="K376" s="17"/>
      <c r="L376" s="17"/>
      <c r="M376" s="17"/>
      <c r="N376" s="18"/>
      <c r="O376" s="18"/>
    </row>
    <row r="377">
      <c r="A377" s="14"/>
      <c r="B377" s="21"/>
      <c r="C377" s="16"/>
      <c r="D377" s="16"/>
      <c r="E377" s="17"/>
      <c r="F377" s="17"/>
      <c r="G377" s="17"/>
      <c r="H377" s="17"/>
      <c r="I377" s="17"/>
      <c r="J377" s="17"/>
      <c r="K377" s="17"/>
      <c r="L377" s="17"/>
      <c r="M377" s="17"/>
      <c r="N377" s="18"/>
      <c r="O377" s="18"/>
    </row>
    <row r="378">
      <c r="A378" s="14"/>
      <c r="B378" s="21"/>
      <c r="C378" s="16"/>
      <c r="D378" s="16"/>
      <c r="E378" s="17"/>
      <c r="F378" s="17"/>
      <c r="G378" s="17"/>
      <c r="H378" s="17"/>
      <c r="I378" s="17"/>
      <c r="J378" s="17"/>
      <c r="K378" s="17"/>
      <c r="L378" s="17"/>
      <c r="M378" s="17"/>
      <c r="N378" s="18"/>
      <c r="O378" s="18"/>
    </row>
    <row r="379">
      <c r="A379" s="14"/>
      <c r="B379" s="21"/>
      <c r="C379" s="16"/>
      <c r="D379" s="16"/>
      <c r="E379" s="17"/>
      <c r="F379" s="17"/>
      <c r="G379" s="17"/>
      <c r="H379" s="17"/>
      <c r="I379" s="17"/>
      <c r="J379" s="17"/>
      <c r="K379" s="17"/>
      <c r="L379" s="17"/>
      <c r="M379" s="17"/>
      <c r="N379" s="18"/>
      <c r="O379" s="18"/>
    </row>
    <row r="380">
      <c r="A380" s="14"/>
      <c r="B380" s="21"/>
      <c r="C380" s="16"/>
      <c r="D380" s="16"/>
      <c r="E380" s="17"/>
      <c r="F380" s="17"/>
      <c r="G380" s="17"/>
      <c r="H380" s="17"/>
      <c r="I380" s="17"/>
      <c r="J380" s="17"/>
      <c r="K380" s="17"/>
      <c r="L380" s="17"/>
      <c r="M380" s="17"/>
      <c r="N380" s="18"/>
      <c r="O380" s="18"/>
    </row>
    <row r="381">
      <c r="A381" s="14"/>
      <c r="B381" s="21"/>
      <c r="C381" s="16"/>
      <c r="D381" s="16"/>
      <c r="E381" s="17"/>
      <c r="F381" s="17"/>
      <c r="G381" s="17"/>
      <c r="H381" s="17"/>
      <c r="I381" s="17"/>
      <c r="J381" s="17"/>
      <c r="K381" s="17"/>
      <c r="L381" s="17"/>
      <c r="M381" s="17"/>
      <c r="N381" s="18"/>
      <c r="O381" s="18"/>
    </row>
    <row r="382">
      <c r="A382" s="14"/>
      <c r="B382" s="21"/>
      <c r="C382" s="16"/>
      <c r="D382" s="16"/>
      <c r="E382" s="17"/>
      <c r="F382" s="17"/>
      <c r="G382" s="17"/>
      <c r="H382" s="17"/>
      <c r="I382" s="17"/>
      <c r="J382" s="17"/>
      <c r="K382" s="17"/>
      <c r="L382" s="17"/>
      <c r="M382" s="17"/>
      <c r="N382" s="18"/>
      <c r="O382" s="18"/>
    </row>
    <row r="383">
      <c r="A383" s="14"/>
      <c r="B383" s="21"/>
      <c r="C383" s="16"/>
      <c r="D383" s="16"/>
      <c r="E383" s="17"/>
      <c r="F383" s="17"/>
      <c r="G383" s="17"/>
      <c r="H383" s="17"/>
      <c r="I383" s="17"/>
      <c r="J383" s="17"/>
      <c r="K383" s="17"/>
      <c r="L383" s="17"/>
      <c r="M383" s="17"/>
      <c r="N383" s="18"/>
      <c r="O383" s="18"/>
    </row>
    <row r="384">
      <c r="A384" s="14"/>
      <c r="B384" s="21"/>
      <c r="C384" s="16"/>
      <c r="D384" s="16"/>
      <c r="E384" s="17"/>
      <c r="F384" s="17"/>
      <c r="G384" s="17"/>
      <c r="H384" s="17"/>
      <c r="I384" s="17"/>
      <c r="J384" s="17"/>
      <c r="K384" s="17"/>
      <c r="L384" s="17"/>
      <c r="M384" s="17"/>
      <c r="N384" s="18"/>
      <c r="O384" s="18"/>
    </row>
    <row r="385">
      <c r="A385" s="14"/>
      <c r="B385" s="21"/>
      <c r="C385" s="16"/>
      <c r="D385" s="16"/>
      <c r="E385" s="17"/>
      <c r="F385" s="17"/>
      <c r="G385" s="17"/>
      <c r="H385" s="17"/>
      <c r="I385" s="17"/>
      <c r="J385" s="17"/>
      <c r="K385" s="17"/>
      <c r="L385" s="17"/>
      <c r="M385" s="17"/>
      <c r="N385" s="18"/>
      <c r="O385" s="18"/>
    </row>
    <row r="386">
      <c r="A386" s="14"/>
      <c r="B386" s="21"/>
      <c r="C386" s="16"/>
      <c r="D386" s="16"/>
      <c r="E386" s="17"/>
      <c r="F386" s="17"/>
      <c r="G386" s="17"/>
      <c r="H386" s="17"/>
      <c r="I386" s="17"/>
      <c r="J386" s="17"/>
      <c r="K386" s="17"/>
      <c r="L386" s="17"/>
      <c r="M386" s="17"/>
      <c r="N386" s="18"/>
      <c r="O386" s="18"/>
    </row>
    <row r="387">
      <c r="A387" s="14"/>
      <c r="B387" s="21"/>
      <c r="C387" s="16"/>
      <c r="D387" s="16"/>
      <c r="E387" s="17"/>
      <c r="F387" s="17"/>
      <c r="G387" s="17"/>
      <c r="H387" s="17"/>
      <c r="I387" s="17"/>
      <c r="J387" s="17"/>
      <c r="K387" s="17"/>
      <c r="L387" s="17"/>
      <c r="M387" s="17"/>
      <c r="N387" s="18"/>
      <c r="O387" s="18"/>
    </row>
    <row r="388">
      <c r="A388" s="14"/>
      <c r="B388" s="21"/>
      <c r="C388" s="16"/>
      <c r="D388" s="16"/>
      <c r="E388" s="17"/>
      <c r="F388" s="17"/>
      <c r="G388" s="17"/>
      <c r="H388" s="17"/>
      <c r="I388" s="17"/>
      <c r="J388" s="17"/>
      <c r="K388" s="17"/>
      <c r="L388" s="17"/>
      <c r="M388" s="17"/>
      <c r="N388" s="18"/>
      <c r="O388" s="18"/>
    </row>
    <row r="389">
      <c r="A389" s="14"/>
      <c r="B389" s="21"/>
      <c r="C389" s="16"/>
      <c r="D389" s="16"/>
      <c r="E389" s="17"/>
      <c r="F389" s="17"/>
      <c r="G389" s="17"/>
      <c r="H389" s="17"/>
      <c r="I389" s="17"/>
      <c r="J389" s="17"/>
      <c r="K389" s="17"/>
      <c r="L389" s="17"/>
      <c r="M389" s="17"/>
      <c r="N389" s="18"/>
      <c r="O389" s="18"/>
    </row>
    <row r="390">
      <c r="A390" s="14"/>
      <c r="B390" s="21"/>
      <c r="C390" s="16"/>
      <c r="D390" s="16"/>
      <c r="E390" s="17"/>
      <c r="F390" s="17"/>
      <c r="G390" s="17"/>
      <c r="H390" s="17"/>
      <c r="I390" s="17"/>
      <c r="J390" s="17"/>
      <c r="K390" s="17"/>
      <c r="L390" s="17"/>
      <c r="M390" s="17"/>
      <c r="N390" s="18"/>
      <c r="O390" s="18"/>
    </row>
    <row r="391">
      <c r="A391" s="14"/>
      <c r="B391" s="21"/>
      <c r="C391" s="16"/>
      <c r="D391" s="16"/>
      <c r="E391" s="17"/>
      <c r="F391" s="17"/>
      <c r="G391" s="17"/>
      <c r="H391" s="17"/>
      <c r="I391" s="17"/>
      <c r="J391" s="17"/>
      <c r="K391" s="17"/>
      <c r="L391" s="17"/>
      <c r="M391" s="17"/>
      <c r="N391" s="18"/>
      <c r="O391" s="18"/>
    </row>
    <row r="392">
      <c r="A392" s="14"/>
      <c r="B392" s="21"/>
      <c r="C392" s="16"/>
      <c r="D392" s="16"/>
      <c r="E392" s="17"/>
      <c r="F392" s="17"/>
      <c r="G392" s="17"/>
      <c r="H392" s="17"/>
      <c r="I392" s="17"/>
      <c r="J392" s="17"/>
      <c r="K392" s="17"/>
      <c r="L392" s="17"/>
      <c r="M392" s="17"/>
      <c r="N392" s="18"/>
      <c r="O392" s="18"/>
    </row>
    <row r="393">
      <c r="A393" s="14"/>
      <c r="B393" s="21"/>
      <c r="C393" s="16"/>
      <c r="D393" s="16"/>
      <c r="E393" s="17"/>
      <c r="F393" s="17"/>
      <c r="G393" s="17"/>
      <c r="H393" s="17"/>
      <c r="I393" s="17"/>
      <c r="J393" s="17"/>
      <c r="K393" s="17"/>
      <c r="L393" s="17"/>
      <c r="M393" s="17"/>
      <c r="N393" s="18"/>
      <c r="O393" s="18"/>
    </row>
    <row r="394">
      <c r="A394" s="14"/>
      <c r="B394" s="21"/>
      <c r="C394" s="16"/>
      <c r="D394" s="16"/>
      <c r="E394" s="17"/>
      <c r="F394" s="17"/>
      <c r="G394" s="17"/>
      <c r="H394" s="17"/>
      <c r="I394" s="17"/>
      <c r="J394" s="17"/>
      <c r="K394" s="17"/>
      <c r="L394" s="17"/>
      <c r="M394" s="17"/>
      <c r="N394" s="18"/>
      <c r="O394" s="18"/>
    </row>
    <row r="395">
      <c r="A395" s="14"/>
      <c r="B395" s="21"/>
      <c r="C395" s="16"/>
      <c r="D395" s="16"/>
      <c r="E395" s="17"/>
      <c r="F395" s="17"/>
      <c r="G395" s="17"/>
      <c r="H395" s="17"/>
      <c r="I395" s="17"/>
      <c r="J395" s="17"/>
      <c r="K395" s="17"/>
      <c r="L395" s="17"/>
      <c r="M395" s="17"/>
      <c r="N395" s="18"/>
      <c r="O395" s="18"/>
    </row>
    <row r="396">
      <c r="A396" s="14"/>
      <c r="B396" s="21"/>
      <c r="C396" s="16"/>
      <c r="D396" s="16"/>
      <c r="E396" s="17"/>
      <c r="F396" s="17"/>
      <c r="G396" s="17"/>
      <c r="H396" s="17"/>
      <c r="I396" s="17"/>
      <c r="J396" s="17"/>
      <c r="K396" s="17"/>
      <c r="L396" s="17"/>
      <c r="M396" s="17"/>
      <c r="N396" s="18"/>
      <c r="O396" s="18"/>
    </row>
    <row r="397">
      <c r="A397" s="14"/>
      <c r="B397" s="21"/>
      <c r="C397" s="16"/>
      <c r="D397" s="16"/>
      <c r="E397" s="17"/>
      <c r="F397" s="17"/>
      <c r="G397" s="17"/>
      <c r="H397" s="17"/>
      <c r="I397" s="17"/>
      <c r="J397" s="17"/>
      <c r="K397" s="17"/>
      <c r="L397" s="17"/>
      <c r="M397" s="17"/>
      <c r="N397" s="18"/>
      <c r="O397" s="18"/>
    </row>
    <row r="398">
      <c r="A398" s="14"/>
      <c r="B398" s="21"/>
      <c r="C398" s="16"/>
      <c r="D398" s="16"/>
      <c r="E398" s="17"/>
      <c r="F398" s="17"/>
      <c r="G398" s="17"/>
      <c r="H398" s="17"/>
      <c r="I398" s="17"/>
      <c r="J398" s="17"/>
      <c r="K398" s="17"/>
      <c r="L398" s="17"/>
      <c r="M398" s="17"/>
      <c r="N398" s="18"/>
      <c r="O398" s="18"/>
    </row>
    <row r="399">
      <c r="A399" s="14"/>
      <c r="B399" s="21"/>
      <c r="C399" s="16"/>
      <c r="D399" s="16"/>
      <c r="E399" s="17"/>
      <c r="F399" s="17"/>
      <c r="G399" s="17"/>
      <c r="H399" s="17"/>
      <c r="I399" s="17"/>
      <c r="J399" s="17"/>
      <c r="K399" s="17"/>
      <c r="L399" s="17"/>
      <c r="M399" s="17"/>
      <c r="N399" s="18"/>
      <c r="O399" s="18"/>
    </row>
    <row r="400">
      <c r="A400" s="14"/>
      <c r="B400" s="21"/>
      <c r="C400" s="16"/>
      <c r="D400" s="16"/>
      <c r="E400" s="17"/>
      <c r="F400" s="17"/>
      <c r="G400" s="17"/>
      <c r="H400" s="17"/>
      <c r="I400" s="17"/>
      <c r="J400" s="17"/>
      <c r="K400" s="17"/>
      <c r="L400" s="17"/>
      <c r="M400" s="17"/>
      <c r="N400" s="18"/>
      <c r="O400" s="18"/>
    </row>
    <row r="401">
      <c r="A401" s="14"/>
      <c r="B401" s="21"/>
      <c r="C401" s="16"/>
      <c r="D401" s="16"/>
      <c r="E401" s="17"/>
      <c r="F401" s="17"/>
      <c r="G401" s="17"/>
      <c r="H401" s="17"/>
      <c r="I401" s="17"/>
      <c r="J401" s="17"/>
      <c r="K401" s="17"/>
      <c r="L401" s="17"/>
      <c r="M401" s="17"/>
      <c r="N401" s="18"/>
      <c r="O401" s="18"/>
    </row>
    <row r="402">
      <c r="A402" s="14"/>
      <c r="B402" s="21"/>
      <c r="C402" s="16"/>
      <c r="D402" s="16"/>
      <c r="E402" s="17"/>
      <c r="F402" s="17"/>
      <c r="G402" s="17"/>
      <c r="H402" s="17"/>
      <c r="I402" s="17"/>
      <c r="J402" s="17"/>
      <c r="K402" s="17"/>
      <c r="L402" s="17"/>
      <c r="M402" s="17"/>
      <c r="N402" s="18"/>
      <c r="O402" s="18"/>
    </row>
    <row r="403">
      <c r="A403" s="14"/>
      <c r="B403" s="21"/>
      <c r="C403" s="16"/>
      <c r="D403" s="16"/>
      <c r="E403" s="17"/>
      <c r="F403" s="17"/>
      <c r="G403" s="17"/>
      <c r="H403" s="17"/>
      <c r="I403" s="17"/>
      <c r="J403" s="17"/>
      <c r="K403" s="17"/>
      <c r="L403" s="17"/>
      <c r="M403" s="17"/>
      <c r="N403" s="18"/>
      <c r="O403" s="18"/>
    </row>
    <row r="404">
      <c r="A404" s="14"/>
      <c r="B404" s="21"/>
      <c r="C404" s="16"/>
      <c r="D404" s="16"/>
      <c r="E404" s="17"/>
      <c r="F404" s="17"/>
      <c r="G404" s="17"/>
      <c r="H404" s="17"/>
      <c r="I404" s="17"/>
      <c r="J404" s="17"/>
      <c r="K404" s="17"/>
      <c r="L404" s="17"/>
      <c r="M404" s="17"/>
      <c r="N404" s="18"/>
      <c r="O404" s="18"/>
    </row>
    <row r="405">
      <c r="A405" s="14"/>
      <c r="B405" s="21"/>
      <c r="C405" s="16"/>
      <c r="D405" s="16"/>
      <c r="E405" s="17"/>
      <c r="F405" s="17"/>
      <c r="G405" s="17"/>
      <c r="H405" s="17"/>
      <c r="I405" s="17"/>
      <c r="J405" s="17"/>
      <c r="K405" s="17"/>
      <c r="L405" s="17"/>
      <c r="M405" s="17"/>
      <c r="N405" s="18"/>
      <c r="O405" s="18"/>
    </row>
    <row r="406">
      <c r="A406" s="14"/>
      <c r="B406" s="21"/>
      <c r="C406" s="16"/>
      <c r="D406" s="16"/>
      <c r="E406" s="17"/>
      <c r="F406" s="17"/>
      <c r="G406" s="17"/>
      <c r="H406" s="17"/>
      <c r="I406" s="17"/>
      <c r="J406" s="17"/>
      <c r="K406" s="17"/>
      <c r="L406" s="17"/>
      <c r="M406" s="17"/>
      <c r="N406" s="18"/>
      <c r="O406" s="18"/>
    </row>
    <row r="407">
      <c r="A407" s="14"/>
      <c r="B407" s="21"/>
      <c r="C407" s="16"/>
      <c r="D407" s="16"/>
      <c r="E407" s="17"/>
      <c r="F407" s="17"/>
      <c r="G407" s="17"/>
      <c r="H407" s="17"/>
      <c r="I407" s="17"/>
      <c r="J407" s="17"/>
      <c r="K407" s="17"/>
      <c r="L407" s="17"/>
      <c r="M407" s="17"/>
      <c r="N407" s="18"/>
      <c r="O407" s="18"/>
    </row>
    <row r="408">
      <c r="A408" s="14"/>
      <c r="B408" s="21"/>
      <c r="C408" s="16"/>
      <c r="D408" s="16"/>
      <c r="E408" s="17"/>
      <c r="F408" s="17"/>
      <c r="G408" s="17"/>
      <c r="H408" s="17"/>
      <c r="I408" s="17"/>
      <c r="J408" s="17"/>
      <c r="K408" s="17"/>
      <c r="L408" s="17"/>
      <c r="M408" s="17"/>
      <c r="N408" s="18"/>
      <c r="O408" s="18"/>
    </row>
    <row r="409">
      <c r="A409" s="14"/>
      <c r="B409" s="21"/>
      <c r="C409" s="16"/>
      <c r="D409" s="16"/>
      <c r="E409" s="17"/>
      <c r="F409" s="17"/>
      <c r="G409" s="17"/>
      <c r="H409" s="17"/>
      <c r="I409" s="17"/>
      <c r="J409" s="17"/>
      <c r="K409" s="17"/>
      <c r="L409" s="17"/>
      <c r="M409" s="17"/>
      <c r="N409" s="18"/>
      <c r="O409" s="18"/>
    </row>
    <row r="410">
      <c r="A410" s="14"/>
      <c r="B410" s="21"/>
      <c r="C410" s="16"/>
      <c r="D410" s="16"/>
      <c r="E410" s="17"/>
      <c r="F410" s="17"/>
      <c r="G410" s="17"/>
      <c r="H410" s="17"/>
      <c r="I410" s="17"/>
      <c r="J410" s="17"/>
      <c r="K410" s="17"/>
      <c r="L410" s="17"/>
      <c r="M410" s="17"/>
      <c r="N410" s="18"/>
      <c r="O410" s="18"/>
    </row>
    <row r="411">
      <c r="A411" s="14"/>
      <c r="B411" s="21"/>
      <c r="C411" s="16"/>
      <c r="D411" s="16"/>
      <c r="E411" s="17"/>
      <c r="F411" s="17"/>
      <c r="G411" s="17"/>
      <c r="H411" s="17"/>
      <c r="I411" s="17"/>
      <c r="J411" s="17"/>
      <c r="K411" s="17"/>
      <c r="L411" s="17"/>
      <c r="M411" s="17"/>
      <c r="N411" s="18"/>
      <c r="O411" s="18"/>
    </row>
    <row r="412">
      <c r="A412" s="14"/>
      <c r="B412" s="21"/>
      <c r="C412" s="16"/>
      <c r="D412" s="16"/>
      <c r="E412" s="17"/>
      <c r="F412" s="17"/>
      <c r="G412" s="17"/>
      <c r="H412" s="17"/>
      <c r="I412" s="17"/>
      <c r="J412" s="17"/>
      <c r="K412" s="17"/>
      <c r="L412" s="17"/>
      <c r="M412" s="17"/>
      <c r="N412" s="18"/>
      <c r="O412" s="18"/>
    </row>
    <row r="413">
      <c r="A413" s="14"/>
      <c r="B413" s="21"/>
      <c r="C413" s="16"/>
      <c r="D413" s="16"/>
      <c r="E413" s="17"/>
      <c r="F413" s="17"/>
      <c r="G413" s="17"/>
      <c r="H413" s="17"/>
      <c r="I413" s="17"/>
      <c r="J413" s="17"/>
      <c r="K413" s="17"/>
      <c r="L413" s="17"/>
      <c r="M413" s="17"/>
      <c r="N413" s="18"/>
      <c r="O413" s="18"/>
    </row>
    <row r="414">
      <c r="A414" s="14"/>
      <c r="B414" s="21"/>
      <c r="C414" s="16"/>
      <c r="D414" s="16"/>
      <c r="E414" s="17"/>
      <c r="F414" s="17"/>
      <c r="G414" s="17"/>
      <c r="H414" s="17"/>
      <c r="I414" s="17"/>
      <c r="J414" s="17"/>
      <c r="K414" s="17"/>
      <c r="L414" s="17"/>
      <c r="M414" s="17"/>
      <c r="N414" s="18"/>
      <c r="O414" s="18"/>
    </row>
    <row r="415">
      <c r="A415" s="14"/>
      <c r="B415" s="21"/>
      <c r="C415" s="16"/>
      <c r="D415" s="16"/>
      <c r="E415" s="17"/>
      <c r="F415" s="17"/>
      <c r="G415" s="17"/>
      <c r="H415" s="17"/>
      <c r="I415" s="17"/>
      <c r="J415" s="17"/>
      <c r="K415" s="17"/>
      <c r="L415" s="17"/>
      <c r="M415" s="17"/>
      <c r="N415" s="18"/>
      <c r="O415" s="18"/>
    </row>
    <row r="416">
      <c r="A416" s="14"/>
      <c r="B416" s="21"/>
      <c r="C416" s="16"/>
      <c r="D416" s="16"/>
      <c r="E416" s="17"/>
      <c r="F416" s="17"/>
      <c r="G416" s="17"/>
      <c r="H416" s="17"/>
      <c r="I416" s="17"/>
      <c r="J416" s="17"/>
      <c r="K416" s="17"/>
      <c r="L416" s="17"/>
      <c r="M416" s="17"/>
      <c r="N416" s="18"/>
      <c r="O416" s="18"/>
    </row>
    <row r="417">
      <c r="A417" s="14"/>
      <c r="B417" s="21"/>
      <c r="C417" s="16"/>
      <c r="D417" s="16"/>
      <c r="E417" s="17"/>
      <c r="F417" s="17"/>
      <c r="G417" s="17"/>
      <c r="H417" s="17"/>
      <c r="I417" s="17"/>
      <c r="J417" s="17"/>
      <c r="K417" s="17"/>
      <c r="L417" s="17"/>
      <c r="M417" s="17"/>
      <c r="N417" s="18"/>
      <c r="O417" s="18"/>
    </row>
    <row r="418">
      <c r="A418" s="14"/>
      <c r="B418" s="21"/>
      <c r="C418" s="16"/>
      <c r="D418" s="16"/>
      <c r="E418" s="17"/>
      <c r="F418" s="17"/>
      <c r="G418" s="17"/>
      <c r="H418" s="17"/>
      <c r="I418" s="17"/>
      <c r="J418" s="17"/>
      <c r="K418" s="17"/>
      <c r="L418" s="17"/>
      <c r="M418" s="17"/>
      <c r="N418" s="18"/>
      <c r="O418" s="18"/>
    </row>
    <row r="419">
      <c r="A419" s="14"/>
      <c r="B419" s="21"/>
      <c r="C419" s="16"/>
      <c r="D419" s="16"/>
      <c r="E419" s="17"/>
      <c r="F419" s="17"/>
      <c r="G419" s="17"/>
      <c r="H419" s="17"/>
      <c r="I419" s="17"/>
      <c r="J419" s="17"/>
      <c r="K419" s="17"/>
      <c r="L419" s="17"/>
      <c r="M419" s="17"/>
      <c r="N419" s="18"/>
      <c r="O419" s="18"/>
    </row>
    <row r="420">
      <c r="A420" s="14"/>
      <c r="B420" s="21"/>
      <c r="C420" s="16"/>
      <c r="D420" s="16"/>
      <c r="E420" s="17"/>
      <c r="F420" s="17"/>
      <c r="G420" s="17"/>
      <c r="H420" s="17"/>
      <c r="I420" s="17"/>
      <c r="J420" s="17"/>
      <c r="K420" s="17"/>
      <c r="L420" s="17"/>
      <c r="M420" s="17"/>
      <c r="N420" s="18"/>
      <c r="O420" s="18"/>
    </row>
    <row r="421">
      <c r="A421" s="14"/>
      <c r="B421" s="21"/>
      <c r="C421" s="16"/>
      <c r="D421" s="16"/>
      <c r="E421" s="17"/>
      <c r="F421" s="17"/>
      <c r="G421" s="17"/>
      <c r="H421" s="17"/>
      <c r="I421" s="17"/>
      <c r="J421" s="17"/>
      <c r="K421" s="17"/>
      <c r="L421" s="17"/>
      <c r="M421" s="17"/>
      <c r="N421" s="18"/>
      <c r="O421" s="18"/>
    </row>
    <row r="422">
      <c r="A422" s="14"/>
      <c r="B422" s="21"/>
      <c r="C422" s="16"/>
      <c r="D422" s="16"/>
      <c r="E422" s="17"/>
      <c r="F422" s="17"/>
      <c r="G422" s="17"/>
      <c r="H422" s="17"/>
      <c r="I422" s="17"/>
      <c r="J422" s="17"/>
      <c r="K422" s="17"/>
      <c r="L422" s="17"/>
      <c r="M422" s="17"/>
      <c r="N422" s="18"/>
      <c r="O422" s="18"/>
    </row>
    <row r="423">
      <c r="A423" s="14"/>
      <c r="B423" s="21"/>
      <c r="C423" s="16"/>
      <c r="D423" s="16"/>
      <c r="E423" s="17"/>
      <c r="F423" s="17"/>
      <c r="G423" s="17"/>
      <c r="H423" s="17"/>
      <c r="I423" s="17"/>
      <c r="J423" s="17"/>
      <c r="K423" s="17"/>
      <c r="L423" s="17"/>
      <c r="M423" s="17"/>
      <c r="N423" s="18"/>
      <c r="O423" s="18"/>
    </row>
    <row r="424">
      <c r="A424" s="14"/>
      <c r="B424" s="21"/>
      <c r="C424" s="16"/>
      <c r="D424" s="16"/>
      <c r="E424" s="17"/>
      <c r="F424" s="17"/>
      <c r="G424" s="17"/>
      <c r="H424" s="17"/>
      <c r="I424" s="17"/>
      <c r="J424" s="17"/>
      <c r="K424" s="17"/>
      <c r="L424" s="17"/>
      <c r="M424" s="17"/>
      <c r="N424" s="18"/>
      <c r="O424" s="18"/>
    </row>
    <row r="425">
      <c r="A425" s="14"/>
      <c r="B425" s="21"/>
      <c r="C425" s="16"/>
      <c r="D425" s="16"/>
      <c r="E425" s="17"/>
      <c r="F425" s="17"/>
      <c r="G425" s="17"/>
      <c r="H425" s="17"/>
      <c r="I425" s="17"/>
      <c r="J425" s="17"/>
      <c r="K425" s="17"/>
      <c r="L425" s="17"/>
      <c r="M425" s="17"/>
      <c r="N425" s="18"/>
      <c r="O425" s="18"/>
    </row>
    <row r="426">
      <c r="A426" s="14"/>
      <c r="B426" s="21"/>
      <c r="C426" s="16"/>
      <c r="D426" s="16"/>
      <c r="E426" s="17"/>
      <c r="F426" s="17"/>
      <c r="G426" s="17"/>
      <c r="H426" s="17"/>
      <c r="I426" s="17"/>
      <c r="J426" s="17"/>
      <c r="K426" s="17"/>
      <c r="L426" s="17"/>
      <c r="M426" s="17"/>
      <c r="N426" s="18"/>
      <c r="O426" s="18"/>
    </row>
    <row r="427">
      <c r="A427" s="14"/>
      <c r="B427" s="21"/>
      <c r="C427" s="16"/>
      <c r="D427" s="16"/>
      <c r="E427" s="17"/>
      <c r="F427" s="17"/>
      <c r="G427" s="17"/>
      <c r="H427" s="17"/>
      <c r="I427" s="17"/>
      <c r="J427" s="17"/>
      <c r="K427" s="17"/>
      <c r="L427" s="17"/>
      <c r="M427" s="17"/>
      <c r="N427" s="18"/>
      <c r="O427" s="18"/>
    </row>
    <row r="428">
      <c r="A428" s="14"/>
      <c r="B428" s="21"/>
      <c r="C428" s="16"/>
      <c r="D428" s="16"/>
      <c r="E428" s="17"/>
      <c r="F428" s="17"/>
      <c r="G428" s="17"/>
      <c r="H428" s="17"/>
      <c r="I428" s="17"/>
      <c r="J428" s="17"/>
      <c r="K428" s="17"/>
      <c r="L428" s="17"/>
      <c r="M428" s="17"/>
      <c r="N428" s="18"/>
      <c r="O428" s="18"/>
    </row>
    <row r="429">
      <c r="A429" s="14"/>
      <c r="B429" s="21"/>
      <c r="C429" s="16"/>
      <c r="D429" s="16"/>
      <c r="E429" s="17"/>
      <c r="F429" s="17"/>
      <c r="G429" s="17"/>
      <c r="H429" s="17"/>
      <c r="I429" s="17"/>
      <c r="J429" s="17"/>
      <c r="K429" s="17"/>
      <c r="L429" s="17"/>
      <c r="M429" s="17"/>
      <c r="N429" s="18"/>
      <c r="O429" s="18"/>
    </row>
    <row r="430">
      <c r="A430" s="14"/>
      <c r="B430" s="21"/>
      <c r="C430" s="16"/>
      <c r="D430" s="16"/>
      <c r="E430" s="17"/>
      <c r="F430" s="17"/>
      <c r="G430" s="17"/>
      <c r="H430" s="17"/>
      <c r="I430" s="17"/>
      <c r="J430" s="17"/>
      <c r="K430" s="17"/>
      <c r="L430" s="17"/>
      <c r="M430" s="17"/>
      <c r="N430" s="18"/>
      <c r="O430" s="18"/>
    </row>
    <row r="431">
      <c r="A431" s="14"/>
      <c r="B431" s="21"/>
      <c r="C431" s="16"/>
      <c r="D431" s="16"/>
      <c r="E431" s="17"/>
      <c r="F431" s="17"/>
      <c r="G431" s="17"/>
      <c r="H431" s="17"/>
      <c r="I431" s="17"/>
      <c r="J431" s="17"/>
      <c r="K431" s="17"/>
      <c r="L431" s="17"/>
      <c r="M431" s="17"/>
      <c r="N431" s="18"/>
      <c r="O431" s="18"/>
    </row>
    <row r="432">
      <c r="A432" s="14"/>
      <c r="B432" s="21"/>
      <c r="C432" s="16"/>
      <c r="D432" s="16"/>
      <c r="E432" s="17"/>
      <c r="F432" s="17"/>
      <c r="G432" s="17"/>
      <c r="H432" s="17"/>
      <c r="I432" s="17"/>
      <c r="J432" s="17"/>
      <c r="K432" s="17"/>
      <c r="L432" s="17"/>
      <c r="M432" s="17"/>
      <c r="N432" s="18"/>
      <c r="O432" s="18"/>
    </row>
    <row r="433">
      <c r="A433" s="14"/>
      <c r="B433" s="21"/>
      <c r="C433" s="16"/>
      <c r="D433" s="16"/>
      <c r="E433" s="17"/>
      <c r="F433" s="17"/>
      <c r="G433" s="17"/>
      <c r="H433" s="17"/>
      <c r="I433" s="17"/>
      <c r="J433" s="17"/>
      <c r="K433" s="17"/>
      <c r="L433" s="17"/>
      <c r="M433" s="17"/>
      <c r="N433" s="18"/>
      <c r="O433" s="18"/>
    </row>
    <row r="434">
      <c r="A434" s="14"/>
      <c r="B434" s="21"/>
      <c r="C434" s="16"/>
      <c r="D434" s="16"/>
      <c r="E434" s="17"/>
      <c r="F434" s="17"/>
      <c r="G434" s="17"/>
      <c r="H434" s="17"/>
      <c r="I434" s="17"/>
      <c r="J434" s="17"/>
      <c r="K434" s="17"/>
      <c r="L434" s="17"/>
      <c r="M434" s="17"/>
      <c r="N434" s="18"/>
      <c r="O434" s="18"/>
    </row>
    <row r="435">
      <c r="A435" s="14"/>
      <c r="B435" s="21"/>
      <c r="C435" s="16"/>
      <c r="D435" s="16"/>
      <c r="E435" s="17"/>
      <c r="F435" s="17"/>
      <c r="G435" s="17"/>
      <c r="H435" s="17"/>
      <c r="I435" s="17"/>
      <c r="J435" s="17"/>
      <c r="K435" s="17"/>
      <c r="L435" s="17"/>
      <c r="M435" s="17"/>
      <c r="N435" s="18"/>
      <c r="O435" s="18"/>
    </row>
    <row r="436">
      <c r="A436" s="14"/>
      <c r="B436" s="21"/>
      <c r="C436" s="16"/>
      <c r="D436" s="16"/>
      <c r="E436" s="17"/>
      <c r="F436" s="17"/>
      <c r="G436" s="17"/>
      <c r="H436" s="17"/>
      <c r="I436" s="17"/>
      <c r="J436" s="17"/>
      <c r="K436" s="17"/>
      <c r="L436" s="17"/>
      <c r="M436" s="17"/>
      <c r="N436" s="18"/>
      <c r="O436" s="18"/>
    </row>
    <row r="437">
      <c r="A437" s="14"/>
      <c r="B437" s="21"/>
      <c r="C437" s="16"/>
      <c r="D437" s="16"/>
      <c r="E437" s="17"/>
      <c r="F437" s="17"/>
      <c r="G437" s="17"/>
      <c r="H437" s="17"/>
      <c r="I437" s="17"/>
      <c r="J437" s="17"/>
      <c r="K437" s="17"/>
      <c r="L437" s="17"/>
      <c r="M437" s="17"/>
      <c r="N437" s="18"/>
      <c r="O437" s="18"/>
    </row>
    <row r="438">
      <c r="A438" s="14"/>
      <c r="B438" s="21"/>
      <c r="C438" s="16"/>
      <c r="D438" s="16"/>
      <c r="E438" s="17"/>
      <c r="F438" s="17"/>
      <c r="G438" s="17"/>
      <c r="H438" s="17"/>
      <c r="I438" s="17"/>
      <c r="J438" s="17"/>
      <c r="K438" s="17"/>
      <c r="L438" s="17"/>
      <c r="M438" s="17"/>
      <c r="N438" s="18"/>
      <c r="O438" s="18"/>
    </row>
    <row r="439">
      <c r="A439" s="14"/>
      <c r="B439" s="21"/>
      <c r="C439" s="16"/>
      <c r="D439" s="16"/>
      <c r="E439" s="17"/>
      <c r="F439" s="17"/>
      <c r="G439" s="17"/>
      <c r="H439" s="17"/>
      <c r="I439" s="17"/>
      <c r="J439" s="17"/>
      <c r="K439" s="17"/>
      <c r="L439" s="17"/>
      <c r="M439" s="17"/>
      <c r="N439" s="18"/>
      <c r="O439" s="18"/>
    </row>
    <row r="440">
      <c r="A440" s="14"/>
      <c r="B440" s="21"/>
      <c r="C440" s="16"/>
      <c r="D440" s="16"/>
      <c r="E440" s="17"/>
      <c r="F440" s="17"/>
      <c r="G440" s="17"/>
      <c r="H440" s="17"/>
      <c r="I440" s="17"/>
      <c r="J440" s="17"/>
      <c r="K440" s="17"/>
      <c r="L440" s="17"/>
      <c r="M440" s="17"/>
      <c r="N440" s="18"/>
      <c r="O440" s="18"/>
    </row>
    <row r="441">
      <c r="A441" s="14"/>
      <c r="B441" s="21"/>
      <c r="C441" s="16"/>
      <c r="D441" s="16"/>
      <c r="E441" s="17"/>
      <c r="F441" s="17"/>
      <c r="G441" s="17"/>
      <c r="H441" s="17"/>
      <c r="I441" s="17"/>
      <c r="J441" s="17"/>
      <c r="K441" s="17"/>
      <c r="L441" s="17"/>
      <c r="M441" s="17"/>
      <c r="N441" s="18"/>
      <c r="O441" s="18"/>
    </row>
    <row r="442">
      <c r="A442" s="14"/>
      <c r="B442" s="21"/>
      <c r="C442" s="16"/>
      <c r="D442" s="16"/>
      <c r="E442" s="17"/>
      <c r="F442" s="17"/>
      <c r="G442" s="17"/>
      <c r="H442" s="17"/>
      <c r="I442" s="17"/>
      <c r="J442" s="17"/>
      <c r="K442" s="17"/>
      <c r="L442" s="17"/>
      <c r="M442" s="17"/>
      <c r="N442" s="18"/>
      <c r="O442" s="18"/>
    </row>
    <row r="443">
      <c r="A443" s="14"/>
      <c r="B443" s="21"/>
      <c r="C443" s="16"/>
      <c r="D443" s="16"/>
      <c r="E443" s="17"/>
      <c r="F443" s="17"/>
      <c r="G443" s="17"/>
      <c r="H443" s="17"/>
      <c r="I443" s="17"/>
      <c r="J443" s="17"/>
      <c r="K443" s="17"/>
      <c r="L443" s="17"/>
      <c r="M443" s="17"/>
      <c r="N443" s="18"/>
      <c r="O443" s="18"/>
    </row>
    <row r="444">
      <c r="A444" s="14"/>
      <c r="B444" s="21"/>
      <c r="C444" s="16"/>
      <c r="D444" s="16"/>
      <c r="E444" s="17"/>
      <c r="F444" s="17"/>
      <c r="G444" s="17"/>
      <c r="H444" s="17"/>
      <c r="I444" s="17"/>
      <c r="J444" s="17"/>
      <c r="K444" s="17"/>
      <c r="L444" s="17"/>
      <c r="M444" s="17"/>
      <c r="N444" s="18"/>
      <c r="O444" s="18"/>
    </row>
    <row r="445">
      <c r="A445" s="14"/>
      <c r="B445" s="21"/>
      <c r="C445" s="16"/>
      <c r="D445" s="16"/>
      <c r="E445" s="17"/>
      <c r="F445" s="17"/>
      <c r="G445" s="17"/>
      <c r="H445" s="17"/>
      <c r="I445" s="17"/>
      <c r="J445" s="17"/>
      <c r="K445" s="17"/>
      <c r="L445" s="17"/>
      <c r="M445" s="17"/>
      <c r="N445" s="18"/>
      <c r="O445" s="18"/>
    </row>
    <row r="446">
      <c r="A446" s="14"/>
      <c r="B446" s="21"/>
      <c r="C446" s="16"/>
      <c r="D446" s="16"/>
      <c r="E446" s="17"/>
      <c r="F446" s="17"/>
      <c r="G446" s="17"/>
      <c r="H446" s="17"/>
      <c r="I446" s="17"/>
      <c r="J446" s="17"/>
      <c r="K446" s="17"/>
      <c r="L446" s="17"/>
      <c r="M446" s="17"/>
      <c r="N446" s="18"/>
      <c r="O446" s="18"/>
    </row>
    <row r="447">
      <c r="A447" s="14"/>
      <c r="B447" s="21"/>
      <c r="C447" s="16"/>
      <c r="D447" s="16"/>
      <c r="E447" s="17"/>
      <c r="F447" s="17"/>
      <c r="G447" s="17"/>
      <c r="H447" s="17"/>
      <c r="I447" s="17"/>
      <c r="J447" s="17"/>
      <c r="K447" s="17"/>
      <c r="L447" s="17"/>
      <c r="M447" s="17"/>
      <c r="N447" s="18"/>
      <c r="O447" s="18"/>
    </row>
    <row r="448">
      <c r="A448" s="14"/>
      <c r="B448" s="21"/>
      <c r="C448" s="16"/>
      <c r="D448" s="16"/>
      <c r="E448" s="17"/>
      <c r="F448" s="17"/>
      <c r="G448" s="17"/>
      <c r="H448" s="17"/>
      <c r="I448" s="17"/>
      <c r="J448" s="17"/>
      <c r="K448" s="17"/>
      <c r="L448" s="17"/>
      <c r="M448" s="17"/>
      <c r="N448" s="18"/>
      <c r="O448" s="18"/>
    </row>
    <row r="449">
      <c r="A449" s="14"/>
      <c r="B449" s="21"/>
      <c r="C449" s="16"/>
      <c r="D449" s="16"/>
      <c r="E449" s="17"/>
      <c r="F449" s="17"/>
      <c r="G449" s="17"/>
      <c r="H449" s="17"/>
      <c r="I449" s="17"/>
      <c r="J449" s="17"/>
      <c r="K449" s="17"/>
      <c r="L449" s="17"/>
      <c r="M449" s="17"/>
      <c r="N449" s="18"/>
      <c r="O449" s="18"/>
    </row>
    <row r="450">
      <c r="A450" s="14"/>
      <c r="B450" s="21"/>
      <c r="C450" s="16"/>
      <c r="D450" s="16"/>
      <c r="E450" s="17"/>
      <c r="F450" s="17"/>
      <c r="G450" s="17"/>
      <c r="H450" s="17"/>
      <c r="I450" s="17"/>
      <c r="J450" s="17"/>
      <c r="K450" s="17"/>
      <c r="L450" s="17"/>
      <c r="M450" s="17"/>
      <c r="N450" s="18"/>
      <c r="O450" s="18"/>
    </row>
    <row r="451">
      <c r="A451" s="14"/>
      <c r="B451" s="21"/>
      <c r="C451" s="16"/>
      <c r="D451" s="16"/>
      <c r="E451" s="17"/>
      <c r="F451" s="17"/>
      <c r="G451" s="17"/>
      <c r="H451" s="17"/>
      <c r="I451" s="17"/>
      <c r="J451" s="17"/>
      <c r="K451" s="17"/>
      <c r="L451" s="17"/>
      <c r="M451" s="17"/>
      <c r="N451" s="18"/>
      <c r="O451" s="18"/>
    </row>
    <row r="452">
      <c r="A452" s="14"/>
      <c r="B452" s="21"/>
      <c r="C452" s="16"/>
      <c r="D452" s="16"/>
      <c r="E452" s="17"/>
      <c r="F452" s="17"/>
      <c r="G452" s="17"/>
      <c r="H452" s="17"/>
      <c r="I452" s="17"/>
      <c r="J452" s="17"/>
      <c r="K452" s="17"/>
      <c r="L452" s="17"/>
      <c r="M452" s="17"/>
      <c r="N452" s="18"/>
      <c r="O452" s="18"/>
    </row>
    <row r="453">
      <c r="A453" s="14"/>
      <c r="B453" s="21"/>
      <c r="C453" s="16"/>
      <c r="D453" s="16"/>
      <c r="E453" s="17"/>
      <c r="F453" s="17"/>
      <c r="G453" s="17"/>
      <c r="H453" s="17"/>
      <c r="I453" s="17"/>
      <c r="J453" s="17"/>
      <c r="K453" s="17"/>
      <c r="L453" s="17"/>
      <c r="M453" s="17"/>
      <c r="N453" s="18"/>
      <c r="O453" s="18"/>
    </row>
    <row r="454">
      <c r="A454" s="14"/>
      <c r="B454" s="21"/>
      <c r="C454" s="16"/>
      <c r="D454" s="16"/>
      <c r="E454" s="17"/>
      <c r="F454" s="17"/>
      <c r="G454" s="17"/>
      <c r="H454" s="17"/>
      <c r="I454" s="17"/>
      <c r="J454" s="17"/>
      <c r="K454" s="17"/>
      <c r="L454" s="17"/>
      <c r="M454" s="17"/>
      <c r="N454" s="18"/>
      <c r="O454" s="18"/>
    </row>
    <row r="455">
      <c r="A455" s="14"/>
      <c r="B455" s="21"/>
      <c r="C455" s="16"/>
      <c r="D455" s="16"/>
      <c r="E455" s="17"/>
      <c r="F455" s="17"/>
      <c r="G455" s="17"/>
      <c r="H455" s="17"/>
      <c r="I455" s="17"/>
      <c r="J455" s="17"/>
      <c r="K455" s="17"/>
      <c r="L455" s="17"/>
      <c r="M455" s="17"/>
      <c r="N455" s="18"/>
      <c r="O455" s="18"/>
    </row>
    <row r="456">
      <c r="A456" s="14"/>
      <c r="B456" s="21"/>
      <c r="C456" s="16"/>
      <c r="D456" s="16"/>
      <c r="E456" s="17"/>
      <c r="F456" s="17"/>
      <c r="G456" s="17"/>
      <c r="H456" s="17"/>
      <c r="I456" s="17"/>
      <c r="J456" s="17"/>
      <c r="K456" s="17"/>
      <c r="L456" s="17"/>
      <c r="M456" s="17"/>
      <c r="N456" s="18"/>
      <c r="O456" s="18"/>
    </row>
    <row r="457">
      <c r="A457" s="14"/>
      <c r="B457" s="21"/>
      <c r="C457" s="16"/>
      <c r="D457" s="16"/>
      <c r="E457" s="17"/>
      <c r="F457" s="17"/>
      <c r="G457" s="17"/>
      <c r="H457" s="17"/>
      <c r="I457" s="17"/>
      <c r="J457" s="17"/>
      <c r="K457" s="17"/>
      <c r="L457" s="17"/>
      <c r="M457" s="17"/>
      <c r="N457" s="18"/>
      <c r="O457" s="18"/>
    </row>
    <row r="458">
      <c r="A458" s="14"/>
      <c r="B458" s="21"/>
      <c r="C458" s="16"/>
      <c r="D458" s="16"/>
      <c r="E458" s="17"/>
      <c r="F458" s="17"/>
      <c r="G458" s="17"/>
      <c r="H458" s="17"/>
      <c r="I458" s="17"/>
      <c r="J458" s="17"/>
      <c r="K458" s="17"/>
      <c r="L458" s="17"/>
      <c r="M458" s="17"/>
      <c r="N458" s="18"/>
      <c r="O458" s="18"/>
    </row>
    <row r="459">
      <c r="A459" s="14"/>
      <c r="B459" s="21"/>
      <c r="C459" s="16"/>
      <c r="D459" s="16"/>
      <c r="E459" s="17"/>
      <c r="F459" s="17"/>
      <c r="G459" s="17"/>
      <c r="H459" s="17"/>
      <c r="I459" s="17"/>
      <c r="J459" s="17"/>
      <c r="K459" s="17"/>
      <c r="L459" s="17"/>
      <c r="M459" s="17"/>
      <c r="N459" s="18"/>
      <c r="O459" s="18"/>
    </row>
    <row r="460">
      <c r="A460" s="14"/>
      <c r="B460" s="21"/>
      <c r="C460" s="16"/>
      <c r="D460" s="16"/>
      <c r="E460" s="17"/>
      <c r="F460" s="17"/>
      <c r="G460" s="17"/>
      <c r="H460" s="17"/>
      <c r="I460" s="17"/>
      <c r="J460" s="17"/>
      <c r="K460" s="17"/>
      <c r="L460" s="17"/>
      <c r="M460" s="17"/>
      <c r="N460" s="18"/>
      <c r="O460" s="18"/>
    </row>
    <row r="461">
      <c r="A461" s="14"/>
      <c r="B461" s="21"/>
      <c r="C461" s="16"/>
      <c r="D461" s="16"/>
      <c r="E461" s="17"/>
      <c r="F461" s="17"/>
      <c r="G461" s="17"/>
      <c r="H461" s="17"/>
      <c r="I461" s="17"/>
      <c r="J461" s="17"/>
      <c r="K461" s="17"/>
      <c r="L461" s="17"/>
      <c r="M461" s="17"/>
      <c r="N461" s="18"/>
      <c r="O461" s="18"/>
    </row>
    <row r="462">
      <c r="A462" s="14"/>
      <c r="B462" s="21"/>
      <c r="C462" s="16"/>
      <c r="D462" s="16"/>
      <c r="E462" s="17"/>
      <c r="F462" s="17"/>
      <c r="G462" s="17"/>
      <c r="H462" s="17"/>
      <c r="I462" s="17"/>
      <c r="J462" s="17"/>
      <c r="K462" s="17"/>
      <c r="L462" s="17"/>
      <c r="M462" s="17"/>
      <c r="N462" s="18"/>
      <c r="O462" s="18"/>
    </row>
    <row r="463">
      <c r="A463" s="14"/>
      <c r="B463" s="21"/>
      <c r="C463" s="16"/>
      <c r="D463" s="16"/>
      <c r="E463" s="17"/>
      <c r="F463" s="17"/>
      <c r="G463" s="17"/>
      <c r="H463" s="17"/>
      <c r="I463" s="17"/>
      <c r="J463" s="17"/>
      <c r="K463" s="17"/>
      <c r="L463" s="17"/>
      <c r="M463" s="17"/>
      <c r="N463" s="18"/>
      <c r="O463" s="18"/>
    </row>
    <row r="464">
      <c r="A464" s="14"/>
      <c r="B464" s="21"/>
      <c r="C464" s="16"/>
      <c r="D464" s="16"/>
      <c r="E464" s="17"/>
      <c r="F464" s="17"/>
      <c r="G464" s="17"/>
      <c r="H464" s="17"/>
      <c r="I464" s="17"/>
      <c r="J464" s="17"/>
      <c r="K464" s="17"/>
      <c r="L464" s="17"/>
      <c r="M464" s="17"/>
      <c r="N464" s="18"/>
      <c r="O464" s="18"/>
    </row>
    <row r="465">
      <c r="A465" s="14"/>
      <c r="B465" s="21"/>
      <c r="C465" s="16"/>
      <c r="D465" s="16"/>
      <c r="E465" s="17"/>
      <c r="F465" s="17"/>
      <c r="G465" s="17"/>
      <c r="H465" s="17"/>
      <c r="I465" s="17"/>
      <c r="J465" s="17"/>
      <c r="K465" s="17"/>
      <c r="L465" s="17"/>
      <c r="M465" s="17"/>
      <c r="N465" s="18"/>
      <c r="O465" s="18"/>
    </row>
    <row r="466">
      <c r="A466" s="14"/>
      <c r="B466" s="21"/>
      <c r="C466" s="16"/>
      <c r="D466" s="16"/>
      <c r="E466" s="17"/>
      <c r="F466" s="17"/>
      <c r="G466" s="17"/>
      <c r="H466" s="17"/>
      <c r="I466" s="17"/>
      <c r="J466" s="17"/>
      <c r="K466" s="17"/>
      <c r="L466" s="17"/>
      <c r="M466" s="17"/>
      <c r="N466" s="18"/>
      <c r="O466" s="18"/>
    </row>
    <row r="467">
      <c r="A467" s="14"/>
      <c r="B467" s="21"/>
      <c r="C467" s="16"/>
      <c r="D467" s="16"/>
      <c r="E467" s="17"/>
      <c r="F467" s="17"/>
      <c r="G467" s="17"/>
      <c r="H467" s="17"/>
      <c r="I467" s="17"/>
      <c r="J467" s="17"/>
      <c r="K467" s="17"/>
      <c r="L467" s="17"/>
      <c r="M467" s="17"/>
      <c r="N467" s="18"/>
      <c r="O467" s="18"/>
    </row>
    <row r="468">
      <c r="A468" s="14"/>
      <c r="B468" s="21"/>
      <c r="C468" s="16"/>
      <c r="D468" s="16"/>
      <c r="E468" s="17"/>
      <c r="F468" s="17"/>
      <c r="G468" s="17"/>
      <c r="H468" s="17"/>
      <c r="I468" s="17"/>
      <c r="J468" s="17"/>
      <c r="K468" s="17"/>
      <c r="L468" s="17"/>
      <c r="M468" s="17"/>
      <c r="N468" s="18"/>
      <c r="O468" s="18"/>
    </row>
    <row r="469">
      <c r="A469" s="14"/>
      <c r="B469" s="21"/>
      <c r="C469" s="16"/>
      <c r="D469" s="16"/>
      <c r="E469" s="17"/>
      <c r="F469" s="17"/>
      <c r="G469" s="17"/>
      <c r="H469" s="17"/>
      <c r="I469" s="17"/>
      <c r="J469" s="17"/>
      <c r="K469" s="17"/>
      <c r="L469" s="17"/>
      <c r="M469" s="17"/>
      <c r="N469" s="18"/>
      <c r="O469" s="18"/>
    </row>
    <row r="470">
      <c r="A470" s="14"/>
      <c r="B470" s="21"/>
      <c r="C470" s="16"/>
      <c r="D470" s="16"/>
      <c r="E470" s="17"/>
      <c r="F470" s="17"/>
      <c r="G470" s="17"/>
      <c r="H470" s="17"/>
      <c r="I470" s="17"/>
      <c r="J470" s="17"/>
      <c r="K470" s="17"/>
      <c r="L470" s="17"/>
      <c r="M470" s="17"/>
      <c r="N470" s="18"/>
      <c r="O470" s="18"/>
    </row>
    <row r="471">
      <c r="A471" s="14"/>
      <c r="B471" s="21"/>
      <c r="C471" s="16"/>
      <c r="D471" s="16"/>
      <c r="E471" s="17"/>
      <c r="F471" s="17"/>
      <c r="G471" s="17"/>
      <c r="H471" s="17"/>
      <c r="I471" s="17"/>
      <c r="J471" s="17"/>
      <c r="K471" s="17"/>
      <c r="L471" s="17"/>
      <c r="M471" s="17"/>
      <c r="N471" s="18"/>
      <c r="O471" s="18"/>
    </row>
    <row r="472">
      <c r="A472" s="14"/>
      <c r="B472" s="21"/>
      <c r="C472" s="16"/>
      <c r="D472" s="16"/>
      <c r="E472" s="17"/>
      <c r="F472" s="17"/>
      <c r="G472" s="17"/>
      <c r="H472" s="17"/>
      <c r="I472" s="17"/>
      <c r="J472" s="17"/>
      <c r="K472" s="17"/>
      <c r="L472" s="17"/>
      <c r="M472" s="17"/>
      <c r="N472" s="18"/>
      <c r="O472" s="18"/>
    </row>
    <row r="473">
      <c r="A473" s="14"/>
      <c r="B473" s="21"/>
      <c r="C473" s="16"/>
      <c r="D473" s="16"/>
      <c r="E473" s="17"/>
      <c r="F473" s="17"/>
      <c r="G473" s="17"/>
      <c r="H473" s="17"/>
      <c r="I473" s="17"/>
      <c r="J473" s="17"/>
      <c r="K473" s="17"/>
      <c r="L473" s="17"/>
      <c r="M473" s="17"/>
      <c r="N473" s="18"/>
      <c r="O473" s="18"/>
    </row>
    <row r="474">
      <c r="A474" s="14"/>
      <c r="B474" s="21"/>
      <c r="C474" s="16"/>
      <c r="D474" s="16"/>
      <c r="E474" s="17"/>
      <c r="F474" s="17"/>
      <c r="G474" s="17"/>
      <c r="H474" s="17"/>
      <c r="I474" s="17"/>
      <c r="J474" s="17"/>
      <c r="K474" s="17"/>
      <c r="L474" s="17"/>
      <c r="M474" s="17"/>
      <c r="N474" s="18"/>
      <c r="O474" s="18"/>
    </row>
    <row r="475">
      <c r="A475" s="14"/>
      <c r="B475" s="21"/>
      <c r="C475" s="16"/>
      <c r="D475" s="16"/>
      <c r="E475" s="17"/>
      <c r="F475" s="17"/>
      <c r="G475" s="17"/>
      <c r="H475" s="17"/>
      <c r="I475" s="17"/>
      <c r="J475" s="17"/>
      <c r="K475" s="17"/>
      <c r="L475" s="17"/>
      <c r="M475" s="17"/>
      <c r="N475" s="18"/>
      <c r="O475" s="18"/>
    </row>
    <row r="476">
      <c r="A476" s="14"/>
      <c r="B476" s="21"/>
      <c r="C476" s="16"/>
      <c r="D476" s="16"/>
      <c r="E476" s="17"/>
      <c r="F476" s="17"/>
      <c r="G476" s="17"/>
      <c r="H476" s="17"/>
      <c r="I476" s="17"/>
      <c r="J476" s="17"/>
      <c r="K476" s="17"/>
      <c r="L476" s="17"/>
      <c r="M476" s="17"/>
      <c r="N476" s="18"/>
      <c r="O476" s="18"/>
    </row>
    <row r="477">
      <c r="A477" s="14"/>
      <c r="B477" s="21"/>
      <c r="C477" s="16"/>
      <c r="D477" s="16"/>
      <c r="E477" s="17"/>
      <c r="F477" s="17"/>
      <c r="G477" s="17"/>
      <c r="H477" s="17"/>
      <c r="I477" s="17"/>
      <c r="J477" s="17"/>
      <c r="K477" s="17"/>
      <c r="L477" s="17"/>
      <c r="M477" s="17"/>
      <c r="N477" s="18"/>
      <c r="O477" s="18"/>
    </row>
    <row r="478">
      <c r="A478" s="14"/>
      <c r="B478" s="21"/>
      <c r="C478" s="16"/>
      <c r="D478" s="16"/>
      <c r="E478" s="17"/>
      <c r="F478" s="17"/>
      <c r="G478" s="17"/>
      <c r="H478" s="17"/>
      <c r="I478" s="17"/>
      <c r="J478" s="17"/>
      <c r="K478" s="17"/>
      <c r="L478" s="17"/>
      <c r="M478" s="17"/>
      <c r="N478" s="18"/>
      <c r="O478" s="18"/>
    </row>
    <row r="479">
      <c r="A479" s="14"/>
      <c r="B479" s="21"/>
      <c r="C479" s="16"/>
      <c r="D479" s="16"/>
      <c r="E479" s="17"/>
      <c r="F479" s="17"/>
      <c r="G479" s="17"/>
      <c r="H479" s="17"/>
      <c r="I479" s="17"/>
      <c r="J479" s="17"/>
      <c r="K479" s="17"/>
      <c r="L479" s="17"/>
      <c r="M479" s="17"/>
      <c r="N479" s="18"/>
      <c r="O479" s="18"/>
    </row>
    <row r="480">
      <c r="A480" s="14"/>
      <c r="B480" s="21"/>
      <c r="C480" s="16"/>
      <c r="D480" s="16"/>
      <c r="E480" s="17"/>
      <c r="F480" s="17"/>
      <c r="G480" s="17"/>
      <c r="H480" s="17"/>
      <c r="I480" s="17"/>
      <c r="J480" s="17"/>
      <c r="K480" s="17"/>
      <c r="L480" s="17"/>
      <c r="M480" s="17"/>
      <c r="N480" s="18"/>
      <c r="O480" s="18"/>
    </row>
    <row r="481">
      <c r="A481" s="14"/>
      <c r="B481" s="21"/>
      <c r="C481" s="16"/>
      <c r="D481" s="16"/>
      <c r="E481" s="17"/>
      <c r="F481" s="17"/>
      <c r="G481" s="17"/>
      <c r="H481" s="17"/>
      <c r="I481" s="17"/>
      <c r="J481" s="17"/>
      <c r="K481" s="17"/>
      <c r="L481" s="17"/>
      <c r="M481" s="17"/>
      <c r="N481" s="18"/>
      <c r="O481" s="18"/>
    </row>
    <row r="482">
      <c r="A482" s="14"/>
      <c r="B482" s="21"/>
      <c r="C482" s="16"/>
      <c r="D482" s="16"/>
      <c r="E482" s="17"/>
      <c r="F482" s="17"/>
      <c r="G482" s="17"/>
      <c r="H482" s="17"/>
      <c r="I482" s="17"/>
      <c r="J482" s="17"/>
      <c r="K482" s="17"/>
      <c r="L482" s="17"/>
      <c r="M482" s="17"/>
      <c r="N482" s="18"/>
      <c r="O482" s="18"/>
    </row>
    <row r="483">
      <c r="A483" s="14"/>
      <c r="B483" s="21"/>
      <c r="C483" s="16"/>
      <c r="D483" s="16"/>
      <c r="E483" s="17"/>
      <c r="F483" s="17"/>
      <c r="G483" s="17"/>
      <c r="H483" s="17"/>
      <c r="I483" s="17"/>
      <c r="J483" s="17"/>
      <c r="K483" s="17"/>
      <c r="L483" s="17"/>
      <c r="M483" s="17"/>
      <c r="N483" s="18"/>
      <c r="O483" s="18"/>
    </row>
    <row r="484">
      <c r="A484" s="14"/>
      <c r="B484" s="21"/>
      <c r="C484" s="16"/>
      <c r="D484" s="16"/>
      <c r="E484" s="17"/>
      <c r="F484" s="17"/>
      <c r="G484" s="17"/>
      <c r="H484" s="17"/>
      <c r="I484" s="17"/>
      <c r="J484" s="17"/>
      <c r="K484" s="17"/>
      <c r="L484" s="17"/>
      <c r="M484" s="17"/>
      <c r="N484" s="18"/>
      <c r="O484" s="18"/>
    </row>
    <row r="485">
      <c r="A485" s="14"/>
      <c r="B485" s="21"/>
      <c r="C485" s="16"/>
      <c r="D485" s="16"/>
      <c r="E485" s="17"/>
      <c r="F485" s="17"/>
      <c r="G485" s="17"/>
      <c r="H485" s="17"/>
      <c r="I485" s="17"/>
      <c r="J485" s="17"/>
      <c r="K485" s="17"/>
      <c r="L485" s="17"/>
      <c r="M485" s="17"/>
      <c r="N485" s="18"/>
      <c r="O485" s="18"/>
    </row>
    <row r="486">
      <c r="A486" s="14"/>
      <c r="B486" s="21"/>
      <c r="C486" s="16"/>
      <c r="D486" s="16"/>
      <c r="E486" s="17"/>
      <c r="F486" s="17"/>
      <c r="G486" s="17"/>
      <c r="H486" s="17"/>
      <c r="I486" s="17"/>
      <c r="J486" s="17"/>
      <c r="K486" s="17"/>
      <c r="L486" s="17"/>
      <c r="M486" s="17"/>
      <c r="N486" s="18"/>
      <c r="O486" s="18"/>
    </row>
    <row r="487">
      <c r="A487" s="14"/>
      <c r="B487" s="21"/>
      <c r="C487" s="16"/>
      <c r="D487" s="16"/>
      <c r="E487" s="17"/>
      <c r="F487" s="17"/>
      <c r="G487" s="17"/>
      <c r="H487" s="17"/>
      <c r="I487" s="17"/>
      <c r="J487" s="17"/>
      <c r="K487" s="17"/>
      <c r="L487" s="17"/>
      <c r="M487" s="17"/>
      <c r="N487" s="18"/>
      <c r="O487" s="18"/>
    </row>
    <row r="488">
      <c r="A488" s="14"/>
      <c r="B488" s="21"/>
      <c r="C488" s="16"/>
      <c r="D488" s="16"/>
      <c r="E488" s="17"/>
      <c r="F488" s="17"/>
      <c r="G488" s="17"/>
      <c r="H488" s="17"/>
      <c r="I488" s="17"/>
      <c r="J488" s="17"/>
      <c r="K488" s="17"/>
      <c r="L488" s="17"/>
      <c r="M488" s="17"/>
      <c r="N488" s="18"/>
      <c r="O488" s="18"/>
    </row>
    <row r="489">
      <c r="A489" s="14"/>
      <c r="B489" s="21"/>
      <c r="C489" s="16"/>
      <c r="D489" s="16"/>
      <c r="E489" s="17"/>
      <c r="F489" s="17"/>
      <c r="G489" s="17"/>
      <c r="H489" s="17"/>
      <c r="I489" s="17"/>
      <c r="J489" s="17"/>
      <c r="K489" s="17"/>
      <c r="L489" s="17"/>
      <c r="M489" s="17"/>
      <c r="N489" s="18"/>
      <c r="O489" s="18"/>
    </row>
    <row r="490">
      <c r="A490" s="14"/>
      <c r="B490" s="21"/>
      <c r="C490" s="16"/>
      <c r="D490" s="16"/>
      <c r="E490" s="17"/>
      <c r="F490" s="17"/>
      <c r="G490" s="17"/>
      <c r="H490" s="17"/>
      <c r="I490" s="17"/>
      <c r="J490" s="17"/>
      <c r="K490" s="17"/>
      <c r="L490" s="17"/>
      <c r="M490" s="17"/>
      <c r="N490" s="18"/>
      <c r="O490" s="18"/>
    </row>
    <row r="491">
      <c r="A491" s="14"/>
      <c r="B491" s="21"/>
      <c r="C491" s="16"/>
      <c r="D491" s="16"/>
      <c r="E491" s="17"/>
      <c r="F491" s="17"/>
      <c r="G491" s="17"/>
      <c r="H491" s="17"/>
      <c r="I491" s="17"/>
      <c r="J491" s="17"/>
      <c r="K491" s="17"/>
      <c r="L491" s="17"/>
      <c r="M491" s="17"/>
      <c r="N491" s="18"/>
      <c r="O491" s="18"/>
    </row>
    <row r="492">
      <c r="A492" s="14"/>
      <c r="B492" s="21"/>
      <c r="C492" s="16"/>
      <c r="D492" s="16"/>
      <c r="E492" s="17"/>
      <c r="F492" s="17"/>
      <c r="G492" s="17"/>
      <c r="H492" s="17"/>
      <c r="I492" s="17"/>
      <c r="J492" s="17"/>
      <c r="K492" s="17"/>
      <c r="L492" s="17"/>
      <c r="M492" s="17"/>
      <c r="N492" s="18"/>
      <c r="O492" s="18"/>
    </row>
    <row r="493">
      <c r="A493" s="14"/>
      <c r="B493" s="21"/>
      <c r="C493" s="16"/>
      <c r="D493" s="16"/>
      <c r="E493" s="17"/>
      <c r="F493" s="17"/>
      <c r="G493" s="17"/>
      <c r="H493" s="17"/>
      <c r="I493" s="17"/>
      <c r="J493" s="17"/>
      <c r="K493" s="17"/>
      <c r="L493" s="17"/>
      <c r="M493" s="17"/>
      <c r="N493" s="18"/>
      <c r="O493" s="18"/>
    </row>
    <row r="494">
      <c r="A494" s="14"/>
      <c r="B494" s="21"/>
      <c r="C494" s="16"/>
      <c r="D494" s="16"/>
      <c r="E494" s="17"/>
      <c r="F494" s="17"/>
      <c r="G494" s="17"/>
      <c r="H494" s="17"/>
      <c r="I494" s="17"/>
      <c r="J494" s="17"/>
      <c r="K494" s="17"/>
      <c r="L494" s="17"/>
      <c r="M494" s="17"/>
      <c r="N494" s="18"/>
      <c r="O494" s="18"/>
    </row>
    <row r="495">
      <c r="A495" s="14"/>
      <c r="B495" s="21"/>
      <c r="C495" s="16"/>
      <c r="D495" s="16"/>
      <c r="E495" s="17"/>
      <c r="F495" s="17"/>
      <c r="G495" s="17"/>
      <c r="H495" s="17"/>
      <c r="I495" s="17"/>
      <c r="J495" s="17"/>
      <c r="K495" s="17"/>
      <c r="L495" s="17"/>
      <c r="M495" s="17"/>
      <c r="N495" s="18"/>
      <c r="O495" s="18"/>
    </row>
    <row r="496">
      <c r="A496" s="14"/>
      <c r="B496" s="21"/>
      <c r="C496" s="16"/>
      <c r="D496" s="16"/>
      <c r="E496" s="17"/>
      <c r="F496" s="17"/>
      <c r="G496" s="17"/>
      <c r="H496" s="17"/>
      <c r="I496" s="17"/>
      <c r="J496" s="17"/>
      <c r="K496" s="17"/>
      <c r="L496" s="17"/>
      <c r="M496" s="17"/>
      <c r="N496" s="18"/>
      <c r="O496" s="18"/>
    </row>
    <row r="497">
      <c r="A497" s="14"/>
      <c r="B497" s="21"/>
      <c r="C497" s="16"/>
      <c r="D497" s="16"/>
      <c r="E497" s="17"/>
      <c r="F497" s="17"/>
      <c r="G497" s="17"/>
      <c r="H497" s="17"/>
      <c r="I497" s="17"/>
      <c r="J497" s="17"/>
      <c r="K497" s="17"/>
      <c r="L497" s="17"/>
      <c r="M497" s="17"/>
      <c r="N497" s="18"/>
      <c r="O497" s="18"/>
    </row>
    <row r="498">
      <c r="A498" s="14"/>
      <c r="B498" s="21"/>
      <c r="C498" s="16"/>
      <c r="D498" s="16"/>
      <c r="E498" s="17"/>
      <c r="F498" s="17"/>
      <c r="G498" s="17"/>
      <c r="H498" s="17"/>
      <c r="I498" s="17"/>
      <c r="J498" s="17"/>
      <c r="K498" s="17"/>
      <c r="L498" s="17"/>
      <c r="M498" s="17"/>
      <c r="N498" s="18"/>
      <c r="O498" s="18"/>
    </row>
    <row r="499">
      <c r="A499" s="14"/>
      <c r="B499" s="21"/>
      <c r="C499" s="16"/>
      <c r="D499" s="16"/>
      <c r="E499" s="17"/>
      <c r="F499" s="17"/>
      <c r="G499" s="17"/>
      <c r="H499" s="17"/>
      <c r="I499" s="17"/>
      <c r="J499" s="17"/>
      <c r="K499" s="17"/>
      <c r="L499" s="17"/>
      <c r="M499" s="17"/>
      <c r="N499" s="18"/>
      <c r="O499" s="18"/>
    </row>
    <row r="500">
      <c r="A500" s="14"/>
      <c r="B500" s="21"/>
      <c r="C500" s="16"/>
      <c r="D500" s="16"/>
      <c r="E500" s="17"/>
      <c r="F500" s="17"/>
      <c r="G500" s="17"/>
      <c r="H500" s="17"/>
      <c r="I500" s="17"/>
      <c r="J500" s="17"/>
      <c r="K500" s="17"/>
      <c r="L500" s="17"/>
      <c r="M500" s="17"/>
      <c r="N500" s="18"/>
      <c r="O500" s="18"/>
    </row>
    <row r="501">
      <c r="A501" s="14"/>
      <c r="B501" s="21"/>
      <c r="C501" s="16"/>
      <c r="D501" s="16"/>
      <c r="E501" s="17"/>
      <c r="F501" s="17"/>
      <c r="G501" s="17"/>
      <c r="H501" s="17"/>
      <c r="I501" s="17"/>
      <c r="J501" s="17"/>
      <c r="K501" s="17"/>
      <c r="L501" s="17"/>
      <c r="M501" s="17"/>
      <c r="N501" s="18"/>
      <c r="O501" s="18"/>
    </row>
    <row r="502">
      <c r="A502" s="14"/>
      <c r="B502" s="21"/>
      <c r="C502" s="16"/>
      <c r="D502" s="16"/>
      <c r="E502" s="17"/>
      <c r="F502" s="17"/>
      <c r="G502" s="17"/>
      <c r="H502" s="17"/>
      <c r="I502" s="17"/>
      <c r="J502" s="17"/>
      <c r="K502" s="17"/>
      <c r="L502" s="17"/>
      <c r="M502" s="17"/>
      <c r="N502" s="18"/>
      <c r="O502" s="18"/>
    </row>
    <row r="503">
      <c r="A503" s="14"/>
      <c r="B503" s="21"/>
      <c r="C503" s="16"/>
      <c r="D503" s="16"/>
      <c r="E503" s="17"/>
      <c r="F503" s="17"/>
      <c r="G503" s="17"/>
      <c r="H503" s="17"/>
      <c r="I503" s="17"/>
      <c r="J503" s="17"/>
      <c r="K503" s="17"/>
      <c r="L503" s="17"/>
      <c r="M503" s="17"/>
      <c r="N503" s="18"/>
      <c r="O503" s="18"/>
    </row>
    <row r="504">
      <c r="A504" s="14"/>
      <c r="B504" s="21"/>
      <c r="C504" s="16"/>
      <c r="D504" s="16"/>
      <c r="E504" s="17"/>
      <c r="F504" s="17"/>
      <c r="G504" s="17"/>
      <c r="H504" s="17"/>
      <c r="I504" s="17"/>
      <c r="J504" s="17"/>
      <c r="K504" s="17"/>
      <c r="L504" s="17"/>
      <c r="M504" s="17"/>
      <c r="N504" s="18"/>
      <c r="O504" s="18"/>
    </row>
    <row r="505">
      <c r="A505" s="14"/>
      <c r="B505" s="21"/>
      <c r="C505" s="16"/>
      <c r="D505" s="16"/>
      <c r="E505" s="17"/>
      <c r="F505" s="17"/>
      <c r="G505" s="17"/>
      <c r="H505" s="17"/>
      <c r="I505" s="17"/>
      <c r="J505" s="17"/>
      <c r="K505" s="17"/>
      <c r="L505" s="17"/>
      <c r="M505" s="17"/>
      <c r="N505" s="18"/>
      <c r="O505" s="18"/>
    </row>
    <row r="506">
      <c r="A506" s="14"/>
      <c r="B506" s="21"/>
      <c r="C506" s="16"/>
      <c r="D506" s="16"/>
      <c r="E506" s="17"/>
      <c r="F506" s="17"/>
      <c r="G506" s="17"/>
      <c r="H506" s="17"/>
      <c r="I506" s="17"/>
      <c r="J506" s="17"/>
      <c r="K506" s="17"/>
      <c r="L506" s="17"/>
      <c r="M506" s="17"/>
      <c r="N506" s="18"/>
      <c r="O506" s="18"/>
    </row>
    <row r="507">
      <c r="A507" s="14"/>
      <c r="B507" s="21"/>
      <c r="C507" s="16"/>
      <c r="D507" s="16"/>
      <c r="E507" s="17"/>
      <c r="F507" s="17"/>
      <c r="G507" s="17"/>
      <c r="H507" s="17"/>
      <c r="I507" s="17"/>
      <c r="J507" s="17"/>
      <c r="K507" s="17"/>
      <c r="L507" s="17"/>
      <c r="M507" s="17"/>
      <c r="N507" s="18"/>
      <c r="O507" s="18"/>
    </row>
    <row r="508">
      <c r="A508" s="14"/>
      <c r="B508" s="21"/>
      <c r="C508" s="16"/>
      <c r="D508" s="16"/>
      <c r="E508" s="17"/>
      <c r="F508" s="17"/>
      <c r="G508" s="17"/>
      <c r="H508" s="17"/>
      <c r="I508" s="17"/>
      <c r="J508" s="17"/>
      <c r="K508" s="17"/>
      <c r="L508" s="17"/>
      <c r="M508" s="17"/>
      <c r="N508" s="18"/>
      <c r="O508" s="18"/>
    </row>
    <row r="509">
      <c r="A509" s="14"/>
      <c r="B509" s="21"/>
      <c r="C509" s="16"/>
      <c r="D509" s="16"/>
      <c r="E509" s="17"/>
      <c r="F509" s="17"/>
      <c r="G509" s="17"/>
      <c r="H509" s="17"/>
      <c r="I509" s="17"/>
      <c r="J509" s="17"/>
      <c r="K509" s="17"/>
      <c r="L509" s="17"/>
      <c r="M509" s="17"/>
      <c r="N509" s="18"/>
      <c r="O509" s="18"/>
    </row>
    <row r="510">
      <c r="A510" s="14"/>
      <c r="B510" s="21"/>
      <c r="C510" s="16"/>
      <c r="D510" s="16"/>
      <c r="E510" s="17"/>
      <c r="F510" s="17"/>
      <c r="G510" s="17"/>
      <c r="H510" s="17"/>
      <c r="I510" s="17"/>
      <c r="J510" s="17"/>
      <c r="K510" s="17"/>
      <c r="L510" s="17"/>
      <c r="M510" s="17"/>
      <c r="N510" s="18"/>
      <c r="O510" s="18"/>
    </row>
    <row r="511">
      <c r="A511" s="14"/>
      <c r="B511" s="21"/>
      <c r="C511" s="16"/>
      <c r="D511" s="16"/>
      <c r="E511" s="17"/>
      <c r="F511" s="17"/>
      <c r="G511" s="17"/>
      <c r="H511" s="17"/>
      <c r="I511" s="17"/>
      <c r="J511" s="17"/>
      <c r="K511" s="17"/>
      <c r="L511" s="17"/>
      <c r="M511" s="17"/>
      <c r="N511" s="18"/>
      <c r="O511" s="18"/>
    </row>
    <row r="512">
      <c r="A512" s="14"/>
      <c r="B512" s="21"/>
      <c r="C512" s="16"/>
      <c r="D512" s="16"/>
      <c r="E512" s="17"/>
      <c r="F512" s="17"/>
      <c r="G512" s="17"/>
      <c r="H512" s="17"/>
      <c r="I512" s="17"/>
      <c r="J512" s="17"/>
      <c r="K512" s="17"/>
      <c r="L512" s="17"/>
      <c r="M512" s="17"/>
      <c r="N512" s="18"/>
      <c r="O512" s="18"/>
    </row>
    <row r="513">
      <c r="A513" s="14"/>
      <c r="B513" s="21"/>
      <c r="C513" s="16"/>
      <c r="D513" s="16"/>
      <c r="E513" s="17"/>
      <c r="F513" s="17"/>
      <c r="G513" s="17"/>
      <c r="H513" s="17"/>
      <c r="I513" s="17"/>
      <c r="J513" s="17"/>
      <c r="K513" s="17"/>
      <c r="L513" s="17"/>
      <c r="M513" s="17"/>
      <c r="N513" s="18"/>
      <c r="O513" s="18"/>
    </row>
    <row r="514">
      <c r="A514" s="14"/>
      <c r="B514" s="21"/>
      <c r="C514" s="16"/>
      <c r="D514" s="16"/>
      <c r="E514" s="17"/>
      <c r="F514" s="17"/>
      <c r="G514" s="17"/>
      <c r="H514" s="17"/>
      <c r="I514" s="17"/>
      <c r="J514" s="17"/>
      <c r="K514" s="17"/>
      <c r="L514" s="17"/>
      <c r="M514" s="17"/>
      <c r="N514" s="18"/>
      <c r="O514" s="18"/>
    </row>
    <row r="515">
      <c r="A515" s="14"/>
      <c r="B515" s="21"/>
      <c r="C515" s="16"/>
      <c r="D515" s="16"/>
      <c r="E515" s="17"/>
      <c r="F515" s="17"/>
      <c r="G515" s="17"/>
      <c r="H515" s="17"/>
      <c r="I515" s="17"/>
      <c r="J515" s="17"/>
      <c r="K515" s="17"/>
      <c r="L515" s="17"/>
      <c r="M515" s="17"/>
      <c r="N515" s="18"/>
      <c r="O515" s="18"/>
    </row>
    <row r="516">
      <c r="A516" s="14"/>
      <c r="B516" s="21"/>
      <c r="C516" s="16"/>
      <c r="D516" s="16"/>
      <c r="E516" s="17"/>
      <c r="F516" s="17"/>
      <c r="G516" s="17"/>
      <c r="H516" s="17"/>
      <c r="I516" s="17"/>
      <c r="J516" s="17"/>
      <c r="K516" s="17"/>
      <c r="L516" s="17"/>
      <c r="M516" s="17"/>
      <c r="N516" s="18"/>
      <c r="O516" s="18"/>
    </row>
    <row r="517">
      <c r="A517" s="14"/>
      <c r="B517" s="21"/>
      <c r="C517" s="16"/>
      <c r="D517" s="16"/>
      <c r="E517" s="17"/>
      <c r="F517" s="17"/>
      <c r="G517" s="17"/>
      <c r="H517" s="17"/>
      <c r="I517" s="17"/>
      <c r="J517" s="17"/>
      <c r="K517" s="17"/>
      <c r="L517" s="17"/>
      <c r="M517" s="17"/>
      <c r="N517" s="18"/>
      <c r="O517" s="18"/>
    </row>
    <row r="518">
      <c r="A518" s="14"/>
      <c r="B518" s="21"/>
      <c r="C518" s="16"/>
      <c r="D518" s="16"/>
      <c r="E518" s="17"/>
      <c r="F518" s="17"/>
      <c r="G518" s="17"/>
      <c r="H518" s="17"/>
      <c r="I518" s="17"/>
      <c r="J518" s="17"/>
      <c r="K518" s="17"/>
      <c r="L518" s="17"/>
      <c r="M518" s="17"/>
      <c r="N518" s="18"/>
      <c r="O518" s="18"/>
    </row>
    <row r="519">
      <c r="A519" s="14"/>
      <c r="B519" s="21"/>
      <c r="C519" s="16"/>
      <c r="D519" s="16"/>
      <c r="E519" s="17"/>
      <c r="F519" s="17"/>
      <c r="G519" s="17"/>
      <c r="H519" s="17"/>
      <c r="I519" s="17"/>
      <c r="J519" s="17"/>
      <c r="K519" s="17"/>
      <c r="L519" s="17"/>
      <c r="M519" s="17"/>
      <c r="N519" s="18"/>
      <c r="O519" s="18"/>
    </row>
    <row r="520">
      <c r="A520" s="14"/>
      <c r="B520" s="21"/>
      <c r="C520" s="16"/>
      <c r="D520" s="16"/>
      <c r="E520" s="17"/>
      <c r="F520" s="17"/>
      <c r="G520" s="17"/>
      <c r="H520" s="17"/>
      <c r="I520" s="17"/>
      <c r="J520" s="17"/>
      <c r="K520" s="17"/>
      <c r="L520" s="17"/>
      <c r="M520" s="17"/>
      <c r="N520" s="18"/>
      <c r="O520" s="18"/>
    </row>
    <row r="521">
      <c r="A521" s="14"/>
      <c r="B521" s="21"/>
      <c r="C521" s="16"/>
      <c r="D521" s="16"/>
      <c r="E521" s="17"/>
      <c r="F521" s="17"/>
      <c r="G521" s="17"/>
      <c r="H521" s="17"/>
      <c r="I521" s="17"/>
      <c r="J521" s="17"/>
      <c r="K521" s="17"/>
      <c r="L521" s="17"/>
      <c r="M521" s="17"/>
      <c r="N521" s="18"/>
      <c r="O521" s="18"/>
    </row>
    <row r="522">
      <c r="A522" s="14"/>
      <c r="B522" s="21"/>
      <c r="C522" s="16"/>
      <c r="D522" s="16"/>
      <c r="E522" s="17"/>
      <c r="F522" s="17"/>
      <c r="G522" s="17"/>
      <c r="H522" s="17"/>
      <c r="I522" s="17"/>
      <c r="J522" s="17"/>
      <c r="K522" s="17"/>
      <c r="L522" s="17"/>
      <c r="M522" s="17"/>
      <c r="N522" s="18"/>
      <c r="O522" s="18"/>
    </row>
    <row r="523">
      <c r="A523" s="14"/>
      <c r="B523" s="21"/>
      <c r="C523" s="16"/>
      <c r="D523" s="16"/>
      <c r="E523" s="17"/>
      <c r="F523" s="17"/>
      <c r="G523" s="17"/>
      <c r="H523" s="17"/>
      <c r="I523" s="17"/>
      <c r="J523" s="17"/>
      <c r="K523" s="17"/>
      <c r="L523" s="17"/>
      <c r="M523" s="17"/>
      <c r="N523" s="18"/>
      <c r="O523" s="18"/>
    </row>
    <row r="524">
      <c r="A524" s="14"/>
      <c r="B524" s="21"/>
      <c r="C524" s="16"/>
      <c r="D524" s="16"/>
      <c r="E524" s="17"/>
      <c r="F524" s="17"/>
      <c r="G524" s="17"/>
      <c r="H524" s="17"/>
      <c r="I524" s="17"/>
      <c r="J524" s="17"/>
      <c r="K524" s="17"/>
      <c r="L524" s="17"/>
      <c r="M524" s="17"/>
      <c r="N524" s="18"/>
      <c r="O524" s="18"/>
    </row>
    <row r="525">
      <c r="A525" s="14"/>
      <c r="B525" s="21"/>
      <c r="C525" s="16"/>
      <c r="D525" s="16"/>
      <c r="E525" s="17"/>
      <c r="F525" s="17"/>
      <c r="G525" s="17"/>
      <c r="H525" s="17"/>
      <c r="I525" s="17"/>
      <c r="J525" s="17"/>
      <c r="K525" s="17"/>
      <c r="L525" s="17"/>
      <c r="M525" s="17"/>
      <c r="N525" s="18"/>
      <c r="O525" s="18"/>
    </row>
    <row r="526">
      <c r="A526" s="14"/>
      <c r="B526" s="21"/>
      <c r="C526" s="16"/>
      <c r="D526" s="16"/>
      <c r="E526" s="17"/>
      <c r="F526" s="17"/>
      <c r="G526" s="17"/>
      <c r="H526" s="17"/>
      <c r="I526" s="17"/>
      <c r="J526" s="17"/>
      <c r="K526" s="17"/>
      <c r="L526" s="17"/>
      <c r="M526" s="17"/>
      <c r="N526" s="18"/>
      <c r="O526" s="18"/>
    </row>
    <row r="527">
      <c r="A527" s="14"/>
      <c r="B527" s="21"/>
      <c r="C527" s="16"/>
      <c r="D527" s="16"/>
      <c r="E527" s="17"/>
      <c r="F527" s="17"/>
      <c r="G527" s="17"/>
      <c r="H527" s="17"/>
      <c r="I527" s="17"/>
      <c r="J527" s="17"/>
      <c r="K527" s="17"/>
      <c r="L527" s="17"/>
      <c r="M527" s="17"/>
      <c r="N527" s="18"/>
      <c r="O527" s="18"/>
    </row>
    <row r="528">
      <c r="A528" s="14"/>
      <c r="B528" s="21"/>
      <c r="C528" s="16"/>
      <c r="D528" s="16"/>
      <c r="E528" s="17"/>
      <c r="F528" s="17"/>
      <c r="G528" s="17"/>
      <c r="H528" s="17"/>
      <c r="I528" s="17"/>
      <c r="J528" s="17"/>
      <c r="K528" s="17"/>
      <c r="L528" s="17"/>
      <c r="M528" s="17"/>
      <c r="N528" s="18"/>
      <c r="O528" s="18"/>
    </row>
    <row r="529">
      <c r="A529" s="14"/>
      <c r="B529" s="21"/>
      <c r="C529" s="16"/>
      <c r="D529" s="16"/>
      <c r="E529" s="17"/>
      <c r="F529" s="17"/>
      <c r="G529" s="17"/>
      <c r="H529" s="17"/>
      <c r="I529" s="17"/>
      <c r="J529" s="17"/>
      <c r="K529" s="17"/>
      <c r="L529" s="17"/>
      <c r="M529" s="17"/>
      <c r="N529" s="18"/>
      <c r="O529" s="18"/>
    </row>
    <row r="530">
      <c r="A530" s="14"/>
      <c r="B530" s="21"/>
      <c r="C530" s="16"/>
      <c r="D530" s="16"/>
      <c r="E530" s="17"/>
      <c r="F530" s="17"/>
      <c r="G530" s="17"/>
      <c r="H530" s="17"/>
      <c r="I530" s="17"/>
      <c r="J530" s="17"/>
      <c r="K530" s="17"/>
      <c r="L530" s="17"/>
      <c r="M530" s="17"/>
      <c r="N530" s="18"/>
      <c r="O530" s="18"/>
    </row>
    <row r="531">
      <c r="A531" s="14"/>
      <c r="B531" s="21"/>
      <c r="C531" s="16"/>
      <c r="D531" s="16"/>
      <c r="E531" s="17"/>
      <c r="F531" s="17"/>
      <c r="G531" s="17"/>
      <c r="H531" s="17"/>
      <c r="I531" s="17"/>
      <c r="J531" s="17"/>
      <c r="K531" s="17"/>
      <c r="L531" s="17"/>
      <c r="M531" s="17"/>
      <c r="N531" s="18"/>
      <c r="O531" s="18"/>
    </row>
    <row r="532">
      <c r="A532" s="14"/>
      <c r="B532" s="21"/>
      <c r="C532" s="16"/>
      <c r="D532" s="16"/>
      <c r="E532" s="17"/>
      <c r="F532" s="17"/>
      <c r="G532" s="17"/>
      <c r="H532" s="17"/>
      <c r="I532" s="17"/>
      <c r="J532" s="17"/>
      <c r="K532" s="17"/>
      <c r="L532" s="17"/>
      <c r="M532" s="17"/>
      <c r="N532" s="18"/>
      <c r="O532" s="18"/>
    </row>
    <row r="533">
      <c r="A533" s="14"/>
      <c r="B533" s="21"/>
      <c r="C533" s="16"/>
      <c r="D533" s="16"/>
      <c r="E533" s="17"/>
      <c r="F533" s="17"/>
      <c r="G533" s="17"/>
      <c r="H533" s="17"/>
      <c r="I533" s="17"/>
      <c r="J533" s="17"/>
      <c r="K533" s="17"/>
      <c r="L533" s="17"/>
      <c r="M533" s="17"/>
      <c r="N533" s="18"/>
      <c r="O533" s="18"/>
    </row>
    <row r="534">
      <c r="A534" s="14"/>
      <c r="B534" s="21"/>
      <c r="C534" s="16"/>
      <c r="D534" s="16"/>
      <c r="E534" s="17"/>
      <c r="F534" s="17"/>
      <c r="G534" s="17"/>
      <c r="H534" s="17"/>
      <c r="I534" s="17"/>
      <c r="J534" s="17"/>
      <c r="K534" s="17"/>
      <c r="L534" s="17"/>
      <c r="M534" s="17"/>
      <c r="N534" s="18"/>
      <c r="O534" s="18"/>
    </row>
    <row r="535">
      <c r="A535" s="14"/>
      <c r="B535" s="21"/>
      <c r="C535" s="16"/>
      <c r="D535" s="16"/>
      <c r="E535" s="17"/>
      <c r="F535" s="17"/>
      <c r="G535" s="17"/>
      <c r="H535" s="17"/>
      <c r="I535" s="17"/>
      <c r="J535" s="17"/>
      <c r="K535" s="17"/>
      <c r="L535" s="17"/>
      <c r="M535" s="17"/>
      <c r="N535" s="18"/>
      <c r="O535" s="18"/>
    </row>
    <row r="536">
      <c r="A536" s="14"/>
      <c r="B536" s="21"/>
      <c r="C536" s="16"/>
      <c r="D536" s="16"/>
      <c r="E536" s="17"/>
      <c r="F536" s="17"/>
      <c r="G536" s="17"/>
      <c r="H536" s="17"/>
      <c r="I536" s="17"/>
      <c r="J536" s="17"/>
      <c r="K536" s="17"/>
      <c r="L536" s="17"/>
      <c r="M536" s="17"/>
      <c r="N536" s="18"/>
      <c r="O536" s="18"/>
    </row>
    <row r="537">
      <c r="A537" s="14"/>
      <c r="B537" s="21"/>
      <c r="C537" s="16"/>
      <c r="D537" s="16"/>
      <c r="E537" s="17"/>
      <c r="F537" s="17"/>
      <c r="G537" s="17"/>
      <c r="H537" s="17"/>
      <c r="I537" s="17"/>
      <c r="J537" s="17"/>
      <c r="K537" s="17"/>
      <c r="L537" s="17"/>
      <c r="M537" s="17"/>
      <c r="N537" s="18"/>
      <c r="O537" s="18"/>
    </row>
    <row r="538">
      <c r="A538" s="14"/>
      <c r="B538" s="21"/>
      <c r="C538" s="16"/>
      <c r="D538" s="16"/>
      <c r="E538" s="17"/>
      <c r="F538" s="17"/>
      <c r="G538" s="17"/>
      <c r="H538" s="17"/>
      <c r="I538" s="17"/>
      <c r="J538" s="17"/>
      <c r="K538" s="17"/>
      <c r="L538" s="17"/>
      <c r="M538" s="17"/>
      <c r="N538" s="18"/>
      <c r="O538" s="18"/>
    </row>
    <row r="539">
      <c r="A539" s="14"/>
      <c r="B539" s="21"/>
      <c r="C539" s="16"/>
      <c r="D539" s="16"/>
      <c r="E539" s="17"/>
      <c r="F539" s="17"/>
      <c r="G539" s="17"/>
      <c r="H539" s="17"/>
      <c r="I539" s="17"/>
      <c r="J539" s="17"/>
      <c r="K539" s="17"/>
      <c r="L539" s="17"/>
      <c r="M539" s="17"/>
      <c r="N539" s="18"/>
      <c r="O539" s="18"/>
    </row>
    <row r="540">
      <c r="A540" s="14"/>
      <c r="B540" s="21"/>
      <c r="C540" s="16"/>
      <c r="D540" s="16"/>
      <c r="E540" s="17"/>
      <c r="F540" s="17"/>
      <c r="G540" s="17"/>
      <c r="H540" s="17"/>
      <c r="I540" s="17"/>
      <c r="J540" s="17"/>
      <c r="K540" s="17"/>
      <c r="L540" s="17"/>
      <c r="M540" s="17"/>
      <c r="N540" s="18"/>
      <c r="O540" s="18"/>
    </row>
    <row r="541">
      <c r="A541" s="14"/>
      <c r="B541" s="21"/>
      <c r="C541" s="16"/>
      <c r="D541" s="16"/>
      <c r="E541" s="17"/>
      <c r="F541" s="17"/>
      <c r="G541" s="17"/>
      <c r="H541" s="17"/>
      <c r="I541" s="17"/>
      <c r="J541" s="17"/>
      <c r="K541" s="17"/>
      <c r="L541" s="17"/>
      <c r="M541" s="17"/>
      <c r="N541" s="18"/>
      <c r="O541" s="18"/>
    </row>
    <row r="542">
      <c r="A542" s="14"/>
      <c r="B542" s="21"/>
      <c r="C542" s="16"/>
      <c r="D542" s="16"/>
      <c r="E542" s="17"/>
      <c r="F542" s="17"/>
      <c r="G542" s="17"/>
      <c r="H542" s="17"/>
      <c r="I542" s="17"/>
      <c r="J542" s="17"/>
      <c r="K542" s="17"/>
      <c r="L542" s="17"/>
      <c r="M542" s="17"/>
      <c r="N542" s="18"/>
      <c r="O542" s="18"/>
    </row>
    <row r="543">
      <c r="A543" s="14"/>
      <c r="B543" s="21"/>
      <c r="C543" s="16"/>
      <c r="D543" s="16"/>
      <c r="E543" s="17"/>
      <c r="F543" s="17"/>
      <c r="G543" s="17"/>
      <c r="H543" s="17"/>
      <c r="I543" s="17"/>
      <c r="J543" s="17"/>
      <c r="K543" s="17"/>
      <c r="L543" s="17"/>
      <c r="M543" s="17"/>
      <c r="N543" s="18"/>
      <c r="O543" s="18"/>
    </row>
    <row r="544">
      <c r="A544" s="14"/>
      <c r="B544" s="21"/>
      <c r="C544" s="16"/>
      <c r="D544" s="16"/>
      <c r="E544" s="17"/>
      <c r="F544" s="17"/>
      <c r="G544" s="17"/>
      <c r="H544" s="17"/>
      <c r="I544" s="17"/>
      <c r="J544" s="17"/>
      <c r="K544" s="17"/>
      <c r="L544" s="17"/>
      <c r="M544" s="17"/>
      <c r="N544" s="18"/>
      <c r="O544" s="18"/>
    </row>
    <row r="545">
      <c r="A545" s="14"/>
      <c r="B545" s="21"/>
      <c r="C545" s="16"/>
      <c r="D545" s="16"/>
      <c r="E545" s="17"/>
      <c r="F545" s="17"/>
      <c r="G545" s="17"/>
      <c r="H545" s="17"/>
      <c r="I545" s="17"/>
      <c r="J545" s="17"/>
      <c r="K545" s="17"/>
      <c r="L545" s="17"/>
      <c r="M545" s="17"/>
      <c r="N545" s="18"/>
      <c r="O545" s="18"/>
    </row>
    <row r="546">
      <c r="A546" s="14"/>
      <c r="B546" s="21"/>
      <c r="C546" s="16"/>
      <c r="D546" s="16"/>
      <c r="E546" s="17"/>
      <c r="F546" s="17"/>
      <c r="G546" s="17"/>
      <c r="H546" s="17"/>
      <c r="I546" s="17"/>
      <c r="J546" s="17"/>
      <c r="K546" s="17"/>
      <c r="L546" s="17"/>
      <c r="M546" s="17"/>
      <c r="N546" s="18"/>
      <c r="O546" s="18"/>
    </row>
    <row r="547">
      <c r="A547" s="14"/>
      <c r="B547" s="21"/>
      <c r="C547" s="16"/>
      <c r="D547" s="16"/>
      <c r="E547" s="17"/>
      <c r="F547" s="17"/>
      <c r="G547" s="17"/>
      <c r="H547" s="17"/>
      <c r="I547" s="17"/>
      <c r="J547" s="17"/>
      <c r="K547" s="17"/>
      <c r="L547" s="17"/>
      <c r="M547" s="17"/>
      <c r="N547" s="18"/>
      <c r="O547" s="18"/>
    </row>
    <row r="548">
      <c r="A548" s="14"/>
      <c r="B548" s="21"/>
      <c r="C548" s="16"/>
      <c r="D548" s="16"/>
      <c r="E548" s="17"/>
      <c r="F548" s="17"/>
      <c r="G548" s="17"/>
      <c r="H548" s="17"/>
      <c r="I548" s="17"/>
      <c r="J548" s="17"/>
      <c r="K548" s="17"/>
      <c r="L548" s="17"/>
      <c r="M548" s="17"/>
      <c r="N548" s="18"/>
      <c r="O548" s="18"/>
    </row>
    <row r="549">
      <c r="A549" s="14"/>
      <c r="B549" s="21"/>
      <c r="C549" s="16"/>
      <c r="D549" s="16"/>
      <c r="E549" s="17"/>
      <c r="F549" s="17"/>
      <c r="G549" s="17"/>
      <c r="H549" s="17"/>
      <c r="I549" s="17"/>
      <c r="J549" s="17"/>
      <c r="K549" s="17"/>
      <c r="L549" s="17"/>
      <c r="M549" s="17"/>
      <c r="N549" s="18"/>
      <c r="O549" s="18"/>
    </row>
    <row r="550">
      <c r="A550" s="14"/>
      <c r="B550" s="21"/>
      <c r="C550" s="16"/>
      <c r="D550" s="16"/>
      <c r="E550" s="17"/>
      <c r="F550" s="17"/>
      <c r="G550" s="17"/>
      <c r="H550" s="17"/>
      <c r="I550" s="17"/>
      <c r="J550" s="17"/>
      <c r="K550" s="17"/>
      <c r="L550" s="17"/>
      <c r="M550" s="17"/>
      <c r="N550" s="18"/>
      <c r="O550" s="18"/>
    </row>
    <row r="551">
      <c r="A551" s="14"/>
      <c r="B551" s="21"/>
      <c r="C551" s="16"/>
      <c r="D551" s="16"/>
      <c r="E551" s="17"/>
      <c r="F551" s="17"/>
      <c r="G551" s="17"/>
      <c r="H551" s="17"/>
      <c r="I551" s="17"/>
      <c r="J551" s="17"/>
      <c r="K551" s="17"/>
      <c r="L551" s="17"/>
      <c r="M551" s="17"/>
      <c r="N551" s="18"/>
      <c r="O551" s="18"/>
    </row>
    <row r="552">
      <c r="A552" s="14"/>
      <c r="B552" s="21"/>
      <c r="C552" s="16"/>
      <c r="D552" s="16"/>
      <c r="E552" s="17"/>
      <c r="F552" s="17"/>
      <c r="G552" s="17"/>
      <c r="H552" s="17"/>
      <c r="I552" s="17"/>
      <c r="J552" s="17"/>
      <c r="K552" s="17"/>
      <c r="L552" s="17"/>
      <c r="M552" s="17"/>
      <c r="N552" s="18"/>
      <c r="O552" s="18"/>
    </row>
    <row r="553">
      <c r="A553" s="14"/>
      <c r="B553" s="21"/>
      <c r="C553" s="16"/>
      <c r="D553" s="16"/>
      <c r="E553" s="17"/>
      <c r="F553" s="17"/>
      <c r="G553" s="17"/>
      <c r="H553" s="17"/>
      <c r="I553" s="17"/>
      <c r="J553" s="17"/>
      <c r="K553" s="17"/>
      <c r="L553" s="17"/>
      <c r="M553" s="17"/>
      <c r="N553" s="18"/>
      <c r="O553" s="18"/>
    </row>
    <row r="554">
      <c r="A554" s="14"/>
      <c r="B554" s="21"/>
      <c r="C554" s="16"/>
      <c r="D554" s="16"/>
      <c r="E554" s="17"/>
      <c r="F554" s="17"/>
      <c r="G554" s="17"/>
      <c r="H554" s="17"/>
      <c r="I554" s="17"/>
      <c r="J554" s="17"/>
      <c r="K554" s="17"/>
      <c r="L554" s="17"/>
      <c r="M554" s="17"/>
      <c r="N554" s="18"/>
      <c r="O554" s="18"/>
    </row>
    <row r="555">
      <c r="A555" s="14"/>
      <c r="B555" s="21"/>
      <c r="C555" s="16"/>
      <c r="D555" s="16"/>
      <c r="E555" s="17"/>
      <c r="F555" s="17"/>
      <c r="G555" s="17"/>
      <c r="H555" s="17"/>
      <c r="I555" s="17"/>
      <c r="J555" s="17"/>
      <c r="K555" s="17"/>
      <c r="L555" s="17"/>
      <c r="M555" s="17"/>
      <c r="N555" s="18"/>
      <c r="O555" s="18"/>
    </row>
    <row r="556">
      <c r="A556" s="14"/>
      <c r="B556" s="21"/>
      <c r="C556" s="16"/>
      <c r="D556" s="16"/>
      <c r="E556" s="17"/>
      <c r="F556" s="17"/>
      <c r="G556" s="17"/>
      <c r="H556" s="17"/>
      <c r="I556" s="17"/>
      <c r="J556" s="17"/>
      <c r="K556" s="17"/>
      <c r="L556" s="17"/>
      <c r="M556" s="17"/>
      <c r="N556" s="18"/>
      <c r="O556" s="18"/>
    </row>
    <row r="557">
      <c r="A557" s="14"/>
      <c r="B557" s="21"/>
      <c r="C557" s="16"/>
      <c r="D557" s="16"/>
      <c r="E557" s="17"/>
      <c r="F557" s="17"/>
      <c r="G557" s="17"/>
      <c r="H557" s="17"/>
      <c r="I557" s="17"/>
      <c r="J557" s="17"/>
      <c r="K557" s="17"/>
      <c r="L557" s="17"/>
      <c r="M557" s="17"/>
      <c r="N557" s="18"/>
      <c r="O557" s="18"/>
    </row>
    <row r="558">
      <c r="A558" s="14"/>
      <c r="B558" s="21"/>
      <c r="C558" s="16"/>
      <c r="D558" s="16"/>
      <c r="E558" s="17"/>
      <c r="F558" s="17"/>
      <c r="G558" s="17"/>
      <c r="H558" s="17"/>
      <c r="I558" s="17"/>
      <c r="J558" s="17"/>
      <c r="K558" s="17"/>
      <c r="L558" s="17"/>
      <c r="M558" s="17"/>
      <c r="N558" s="18"/>
      <c r="O558" s="18"/>
    </row>
    <row r="559">
      <c r="A559" s="14"/>
      <c r="B559" s="21"/>
      <c r="C559" s="16"/>
      <c r="D559" s="16"/>
      <c r="E559" s="17"/>
      <c r="F559" s="17"/>
      <c r="G559" s="17"/>
      <c r="H559" s="17"/>
      <c r="I559" s="17"/>
      <c r="J559" s="17"/>
      <c r="K559" s="17"/>
      <c r="L559" s="17"/>
      <c r="M559" s="17"/>
      <c r="N559" s="18"/>
      <c r="O559" s="18"/>
    </row>
    <row r="560">
      <c r="A560" s="14"/>
      <c r="B560" s="21"/>
      <c r="C560" s="16"/>
      <c r="D560" s="16"/>
      <c r="E560" s="17"/>
      <c r="F560" s="17"/>
      <c r="G560" s="17"/>
      <c r="H560" s="17"/>
      <c r="I560" s="17"/>
      <c r="J560" s="17"/>
      <c r="K560" s="17"/>
      <c r="L560" s="17"/>
      <c r="M560" s="17"/>
      <c r="N560" s="18"/>
      <c r="O560" s="18"/>
    </row>
    <row r="561">
      <c r="A561" s="14"/>
      <c r="B561" s="21"/>
      <c r="C561" s="16"/>
      <c r="D561" s="16"/>
      <c r="E561" s="17"/>
      <c r="F561" s="17"/>
      <c r="G561" s="17"/>
      <c r="H561" s="17"/>
      <c r="I561" s="17"/>
      <c r="J561" s="17"/>
      <c r="K561" s="17"/>
      <c r="L561" s="17"/>
      <c r="M561" s="17"/>
      <c r="N561" s="18"/>
      <c r="O561" s="18"/>
    </row>
    <row r="562">
      <c r="A562" s="14"/>
      <c r="B562" s="21"/>
      <c r="C562" s="16"/>
      <c r="D562" s="16"/>
      <c r="E562" s="17"/>
      <c r="F562" s="17"/>
      <c r="G562" s="17"/>
      <c r="H562" s="17"/>
      <c r="I562" s="17"/>
      <c r="J562" s="17"/>
      <c r="K562" s="17"/>
      <c r="L562" s="17"/>
      <c r="M562" s="17"/>
      <c r="N562" s="18"/>
      <c r="O562" s="18"/>
    </row>
    <row r="563">
      <c r="A563" s="14"/>
      <c r="B563" s="21"/>
      <c r="C563" s="16"/>
      <c r="D563" s="16"/>
      <c r="E563" s="17"/>
      <c r="F563" s="17"/>
      <c r="G563" s="17"/>
      <c r="H563" s="17"/>
      <c r="I563" s="17"/>
      <c r="J563" s="17"/>
      <c r="K563" s="17"/>
      <c r="L563" s="17"/>
      <c r="M563" s="17"/>
      <c r="N563" s="18"/>
      <c r="O563" s="18"/>
    </row>
    <row r="564">
      <c r="A564" s="14"/>
      <c r="B564" s="21"/>
      <c r="C564" s="16"/>
      <c r="D564" s="16"/>
      <c r="E564" s="17"/>
      <c r="F564" s="17"/>
      <c r="G564" s="17"/>
      <c r="H564" s="17"/>
      <c r="I564" s="17"/>
      <c r="J564" s="17"/>
      <c r="K564" s="17"/>
      <c r="L564" s="17"/>
      <c r="M564" s="17"/>
      <c r="N564" s="18"/>
      <c r="O564" s="18"/>
    </row>
    <row r="565">
      <c r="A565" s="14"/>
      <c r="B565" s="21"/>
      <c r="C565" s="16"/>
      <c r="D565" s="16"/>
      <c r="E565" s="17"/>
      <c r="F565" s="17"/>
      <c r="G565" s="17"/>
      <c r="H565" s="17"/>
      <c r="I565" s="17"/>
      <c r="J565" s="17"/>
      <c r="K565" s="17"/>
      <c r="L565" s="17"/>
      <c r="M565" s="17"/>
      <c r="N565" s="18"/>
      <c r="O565" s="18"/>
    </row>
    <row r="566">
      <c r="A566" s="14"/>
      <c r="B566" s="21"/>
      <c r="C566" s="16"/>
      <c r="D566" s="16"/>
      <c r="E566" s="17"/>
      <c r="F566" s="17"/>
      <c r="G566" s="17"/>
      <c r="H566" s="17"/>
      <c r="I566" s="17"/>
      <c r="J566" s="17"/>
      <c r="K566" s="17"/>
      <c r="L566" s="17"/>
      <c r="M566" s="17"/>
      <c r="N566" s="18"/>
      <c r="O566" s="18"/>
    </row>
    <row r="567">
      <c r="A567" s="14"/>
      <c r="B567" s="21"/>
      <c r="C567" s="16"/>
      <c r="D567" s="16"/>
      <c r="E567" s="17"/>
      <c r="F567" s="17"/>
      <c r="G567" s="17"/>
      <c r="H567" s="17"/>
      <c r="I567" s="17"/>
      <c r="J567" s="17"/>
      <c r="K567" s="17"/>
      <c r="L567" s="17"/>
      <c r="M567" s="17"/>
      <c r="N567" s="18"/>
      <c r="O567" s="18"/>
    </row>
    <row r="568">
      <c r="A568" s="14"/>
      <c r="B568" s="21"/>
      <c r="C568" s="16"/>
      <c r="D568" s="16"/>
      <c r="E568" s="17"/>
      <c r="F568" s="17"/>
      <c r="G568" s="17"/>
      <c r="H568" s="17"/>
      <c r="I568" s="17"/>
      <c r="J568" s="17"/>
      <c r="K568" s="17"/>
      <c r="L568" s="17"/>
      <c r="M568" s="17"/>
      <c r="N568" s="18"/>
      <c r="O568" s="18"/>
    </row>
    <row r="569">
      <c r="A569" s="14"/>
      <c r="B569" s="21"/>
      <c r="C569" s="16"/>
      <c r="D569" s="16"/>
      <c r="E569" s="17"/>
      <c r="F569" s="17"/>
      <c r="G569" s="17"/>
      <c r="H569" s="17"/>
      <c r="I569" s="17"/>
      <c r="J569" s="17"/>
      <c r="K569" s="17"/>
      <c r="L569" s="17"/>
      <c r="M569" s="17"/>
      <c r="N569" s="18"/>
      <c r="O569" s="18"/>
    </row>
    <row r="570">
      <c r="A570" s="14"/>
      <c r="B570" s="21"/>
      <c r="C570" s="16"/>
      <c r="D570" s="16"/>
      <c r="E570" s="17"/>
      <c r="F570" s="17"/>
      <c r="G570" s="17"/>
      <c r="H570" s="17"/>
      <c r="I570" s="17"/>
      <c r="J570" s="17"/>
      <c r="K570" s="17"/>
      <c r="L570" s="17"/>
      <c r="M570" s="17"/>
      <c r="N570" s="18"/>
      <c r="O570" s="18"/>
    </row>
    <row r="571">
      <c r="A571" s="14"/>
      <c r="B571" s="21"/>
      <c r="C571" s="16"/>
      <c r="D571" s="16"/>
      <c r="E571" s="17"/>
      <c r="F571" s="17"/>
      <c r="G571" s="17"/>
      <c r="H571" s="17"/>
      <c r="I571" s="17"/>
      <c r="J571" s="17"/>
      <c r="K571" s="17"/>
      <c r="L571" s="17"/>
      <c r="M571" s="17"/>
      <c r="N571" s="18"/>
      <c r="O571" s="18"/>
    </row>
    <row r="572">
      <c r="A572" s="14"/>
      <c r="B572" s="21"/>
      <c r="C572" s="16"/>
      <c r="D572" s="16"/>
      <c r="E572" s="17"/>
      <c r="F572" s="17"/>
      <c r="G572" s="17"/>
      <c r="H572" s="17"/>
      <c r="I572" s="17"/>
      <c r="J572" s="17"/>
      <c r="K572" s="17"/>
      <c r="L572" s="17"/>
      <c r="M572" s="17"/>
      <c r="N572" s="18"/>
      <c r="O572" s="18"/>
    </row>
    <row r="573">
      <c r="A573" s="14"/>
      <c r="B573" s="21"/>
      <c r="C573" s="16"/>
      <c r="D573" s="16"/>
      <c r="E573" s="17"/>
      <c r="F573" s="17"/>
      <c r="G573" s="17"/>
      <c r="H573" s="17"/>
      <c r="I573" s="17"/>
      <c r="J573" s="17"/>
      <c r="K573" s="17"/>
      <c r="L573" s="17"/>
      <c r="M573" s="17"/>
      <c r="N573" s="18"/>
      <c r="O573" s="18"/>
    </row>
    <row r="574">
      <c r="A574" s="14"/>
      <c r="B574" s="21"/>
      <c r="C574" s="16"/>
      <c r="D574" s="16"/>
      <c r="E574" s="17"/>
      <c r="F574" s="17"/>
      <c r="G574" s="17"/>
      <c r="H574" s="17"/>
      <c r="I574" s="17"/>
      <c r="J574" s="17"/>
      <c r="K574" s="17"/>
      <c r="L574" s="17"/>
      <c r="M574" s="17"/>
      <c r="N574" s="18"/>
      <c r="O574" s="18"/>
    </row>
    <row r="575">
      <c r="A575" s="14"/>
      <c r="B575" s="21"/>
      <c r="C575" s="16"/>
      <c r="D575" s="16"/>
      <c r="E575" s="17"/>
      <c r="F575" s="17"/>
      <c r="G575" s="17"/>
      <c r="H575" s="17"/>
      <c r="I575" s="17"/>
      <c r="J575" s="17"/>
      <c r="K575" s="17"/>
      <c r="L575" s="17"/>
      <c r="M575" s="17"/>
      <c r="N575" s="18"/>
      <c r="O575" s="18"/>
    </row>
    <row r="576">
      <c r="A576" s="14"/>
      <c r="B576" s="21"/>
      <c r="C576" s="16"/>
      <c r="D576" s="16"/>
      <c r="E576" s="17"/>
      <c r="F576" s="17"/>
      <c r="G576" s="17"/>
      <c r="H576" s="17"/>
      <c r="I576" s="17"/>
      <c r="J576" s="17"/>
      <c r="K576" s="17"/>
      <c r="L576" s="17"/>
      <c r="M576" s="17"/>
      <c r="N576" s="18"/>
      <c r="O576" s="18"/>
    </row>
    <row r="577">
      <c r="A577" s="14"/>
      <c r="B577" s="21"/>
      <c r="C577" s="16"/>
      <c r="D577" s="16"/>
      <c r="E577" s="17"/>
      <c r="F577" s="17"/>
      <c r="G577" s="17"/>
      <c r="H577" s="17"/>
      <c r="I577" s="17"/>
      <c r="J577" s="17"/>
      <c r="K577" s="17"/>
      <c r="L577" s="17"/>
      <c r="M577" s="17"/>
      <c r="N577" s="18"/>
      <c r="O577" s="18"/>
    </row>
    <row r="578">
      <c r="A578" s="14"/>
      <c r="B578" s="21"/>
      <c r="C578" s="16"/>
      <c r="D578" s="16"/>
      <c r="E578" s="17"/>
      <c r="F578" s="17"/>
      <c r="G578" s="17"/>
      <c r="H578" s="17"/>
      <c r="I578" s="17"/>
      <c r="J578" s="17"/>
      <c r="K578" s="17"/>
      <c r="L578" s="17"/>
      <c r="M578" s="17"/>
      <c r="N578" s="18"/>
      <c r="O578" s="18"/>
    </row>
    <row r="579">
      <c r="A579" s="14"/>
      <c r="B579" s="21"/>
      <c r="C579" s="16"/>
      <c r="D579" s="16"/>
      <c r="E579" s="17"/>
      <c r="F579" s="17"/>
      <c r="G579" s="17"/>
      <c r="H579" s="17"/>
      <c r="I579" s="17"/>
      <c r="J579" s="17"/>
      <c r="K579" s="17"/>
      <c r="L579" s="17"/>
      <c r="M579" s="17"/>
      <c r="N579" s="18"/>
      <c r="O579" s="18"/>
    </row>
    <row r="580">
      <c r="A580" s="14"/>
      <c r="B580" s="21"/>
      <c r="C580" s="16"/>
      <c r="D580" s="16"/>
      <c r="E580" s="17"/>
      <c r="F580" s="17"/>
      <c r="G580" s="17"/>
      <c r="H580" s="17"/>
      <c r="I580" s="17"/>
      <c r="J580" s="17"/>
      <c r="K580" s="17"/>
      <c r="L580" s="17"/>
      <c r="M580" s="17"/>
      <c r="N580" s="18"/>
      <c r="O580" s="18"/>
    </row>
    <row r="581">
      <c r="A581" s="14"/>
      <c r="B581" s="21"/>
      <c r="C581" s="16"/>
      <c r="D581" s="16"/>
      <c r="E581" s="17"/>
      <c r="F581" s="17"/>
      <c r="G581" s="17"/>
      <c r="H581" s="17"/>
      <c r="I581" s="17"/>
      <c r="J581" s="17"/>
      <c r="K581" s="17"/>
      <c r="L581" s="17"/>
      <c r="M581" s="17"/>
      <c r="N581" s="18"/>
      <c r="O581" s="18"/>
    </row>
    <row r="582">
      <c r="A582" s="14"/>
      <c r="B582" s="21"/>
      <c r="C582" s="16"/>
      <c r="D582" s="16"/>
      <c r="E582" s="17"/>
      <c r="F582" s="17"/>
      <c r="G582" s="17"/>
      <c r="H582" s="17"/>
      <c r="I582" s="17"/>
      <c r="J582" s="17"/>
      <c r="K582" s="17"/>
      <c r="L582" s="17"/>
      <c r="M582" s="17"/>
      <c r="N582" s="18"/>
      <c r="O582" s="18"/>
    </row>
    <row r="583">
      <c r="A583" s="14"/>
      <c r="B583" s="21"/>
      <c r="C583" s="16"/>
      <c r="D583" s="16"/>
      <c r="E583" s="17"/>
      <c r="F583" s="17"/>
      <c r="G583" s="17"/>
      <c r="H583" s="17"/>
      <c r="I583" s="17"/>
      <c r="J583" s="17"/>
      <c r="K583" s="17"/>
      <c r="L583" s="17"/>
      <c r="M583" s="17"/>
      <c r="N583" s="18"/>
      <c r="O583" s="18"/>
    </row>
    <row r="584">
      <c r="A584" s="14"/>
      <c r="B584" s="21"/>
      <c r="C584" s="16"/>
      <c r="D584" s="16"/>
      <c r="E584" s="17"/>
      <c r="F584" s="17"/>
      <c r="G584" s="17"/>
      <c r="H584" s="17"/>
      <c r="I584" s="17"/>
      <c r="J584" s="17"/>
      <c r="K584" s="17"/>
      <c r="L584" s="17"/>
      <c r="M584" s="17"/>
      <c r="N584" s="18"/>
      <c r="O584" s="18"/>
    </row>
    <row r="585">
      <c r="A585" s="14"/>
      <c r="B585" s="21"/>
      <c r="C585" s="16"/>
      <c r="D585" s="16"/>
      <c r="E585" s="17"/>
      <c r="F585" s="17"/>
      <c r="G585" s="17"/>
      <c r="H585" s="17"/>
      <c r="I585" s="17"/>
      <c r="J585" s="17"/>
      <c r="K585" s="17"/>
      <c r="L585" s="17"/>
      <c r="M585" s="17"/>
      <c r="N585" s="18"/>
      <c r="O585" s="18"/>
    </row>
    <row r="586">
      <c r="A586" s="14"/>
      <c r="B586" s="21"/>
      <c r="C586" s="16"/>
      <c r="D586" s="16"/>
      <c r="E586" s="17"/>
      <c r="F586" s="17"/>
      <c r="G586" s="17"/>
      <c r="H586" s="17"/>
      <c r="I586" s="17"/>
      <c r="J586" s="17"/>
      <c r="K586" s="17"/>
      <c r="L586" s="17"/>
      <c r="M586" s="17"/>
      <c r="N586" s="18"/>
      <c r="O586" s="18"/>
    </row>
    <row r="587">
      <c r="A587" s="14"/>
      <c r="B587" s="21"/>
      <c r="C587" s="16"/>
      <c r="D587" s="16"/>
      <c r="E587" s="17"/>
      <c r="F587" s="17"/>
      <c r="G587" s="17"/>
      <c r="H587" s="17"/>
      <c r="I587" s="17"/>
      <c r="J587" s="17"/>
      <c r="K587" s="17"/>
      <c r="L587" s="17"/>
      <c r="M587" s="17"/>
      <c r="N587" s="18"/>
      <c r="O587" s="18"/>
    </row>
    <row r="588">
      <c r="A588" s="14"/>
      <c r="B588" s="21"/>
      <c r="C588" s="16"/>
      <c r="D588" s="16"/>
      <c r="E588" s="17"/>
      <c r="F588" s="17"/>
      <c r="G588" s="17"/>
      <c r="H588" s="17"/>
      <c r="I588" s="17"/>
      <c r="J588" s="17"/>
      <c r="K588" s="17"/>
      <c r="L588" s="17"/>
      <c r="M588" s="17"/>
      <c r="N588" s="18"/>
      <c r="O588" s="18"/>
    </row>
    <row r="589">
      <c r="A589" s="14"/>
      <c r="B589" s="21"/>
      <c r="C589" s="16"/>
      <c r="D589" s="16"/>
      <c r="E589" s="17"/>
      <c r="F589" s="17"/>
      <c r="G589" s="17"/>
      <c r="H589" s="17"/>
      <c r="I589" s="17"/>
      <c r="J589" s="17"/>
      <c r="K589" s="17"/>
      <c r="L589" s="17"/>
      <c r="M589" s="17"/>
      <c r="N589" s="18"/>
      <c r="O589" s="18"/>
    </row>
    <row r="590">
      <c r="A590" s="14"/>
      <c r="B590" s="21"/>
      <c r="C590" s="16"/>
      <c r="D590" s="16"/>
      <c r="E590" s="17"/>
      <c r="F590" s="17"/>
      <c r="G590" s="17"/>
      <c r="H590" s="17"/>
      <c r="I590" s="17"/>
      <c r="J590" s="17"/>
      <c r="K590" s="17"/>
      <c r="L590" s="17"/>
      <c r="M590" s="17"/>
      <c r="N590" s="18"/>
      <c r="O590" s="18"/>
    </row>
    <row r="591">
      <c r="A591" s="14"/>
      <c r="B591" s="21"/>
      <c r="C591" s="16"/>
      <c r="D591" s="16"/>
      <c r="E591" s="17"/>
      <c r="F591" s="17"/>
      <c r="G591" s="17"/>
      <c r="H591" s="17"/>
      <c r="I591" s="17"/>
      <c r="J591" s="17"/>
      <c r="K591" s="17"/>
      <c r="L591" s="17"/>
      <c r="M591" s="17"/>
      <c r="N591" s="18"/>
      <c r="O591" s="18"/>
    </row>
    <row r="592">
      <c r="A592" s="14"/>
      <c r="B592" s="21"/>
      <c r="C592" s="16"/>
      <c r="D592" s="16"/>
      <c r="E592" s="17"/>
      <c r="F592" s="17"/>
      <c r="G592" s="17"/>
      <c r="H592" s="17"/>
      <c r="I592" s="17"/>
      <c r="J592" s="17"/>
      <c r="K592" s="17"/>
      <c r="L592" s="17"/>
      <c r="M592" s="17"/>
      <c r="N592" s="18"/>
      <c r="O592" s="18"/>
    </row>
    <row r="593">
      <c r="A593" s="14"/>
      <c r="B593" s="21"/>
      <c r="C593" s="16"/>
      <c r="D593" s="16"/>
      <c r="E593" s="17"/>
      <c r="F593" s="17"/>
      <c r="G593" s="17"/>
      <c r="H593" s="17"/>
      <c r="I593" s="17"/>
      <c r="J593" s="17"/>
      <c r="K593" s="17"/>
      <c r="L593" s="17"/>
      <c r="M593" s="17"/>
      <c r="N593" s="18"/>
      <c r="O593" s="18"/>
    </row>
    <row r="594">
      <c r="A594" s="14"/>
      <c r="B594" s="21"/>
      <c r="C594" s="16"/>
      <c r="D594" s="16"/>
      <c r="E594" s="17"/>
      <c r="F594" s="17"/>
      <c r="G594" s="17"/>
      <c r="H594" s="17"/>
      <c r="I594" s="17"/>
      <c r="J594" s="17"/>
      <c r="K594" s="17"/>
      <c r="L594" s="17"/>
      <c r="M594" s="17"/>
      <c r="N594" s="18"/>
      <c r="O594" s="18"/>
    </row>
    <row r="595">
      <c r="A595" s="14"/>
      <c r="B595" s="21"/>
      <c r="C595" s="16"/>
      <c r="D595" s="16"/>
      <c r="E595" s="17"/>
      <c r="F595" s="17"/>
      <c r="G595" s="17"/>
      <c r="H595" s="17"/>
      <c r="I595" s="17"/>
      <c r="J595" s="17"/>
      <c r="K595" s="17"/>
      <c r="L595" s="17"/>
      <c r="M595" s="17"/>
      <c r="N595" s="18"/>
      <c r="O595" s="18"/>
    </row>
    <row r="596">
      <c r="A596" s="14"/>
      <c r="B596" s="21"/>
      <c r="C596" s="16"/>
      <c r="D596" s="16"/>
      <c r="E596" s="17"/>
      <c r="F596" s="17"/>
      <c r="G596" s="17"/>
      <c r="H596" s="17"/>
      <c r="I596" s="17"/>
      <c r="J596" s="17"/>
      <c r="K596" s="17"/>
      <c r="L596" s="17"/>
      <c r="M596" s="17"/>
      <c r="N596" s="18"/>
      <c r="O596" s="18"/>
    </row>
    <row r="597">
      <c r="A597" s="14"/>
      <c r="B597" s="21"/>
      <c r="C597" s="16"/>
      <c r="D597" s="16"/>
      <c r="E597" s="17"/>
      <c r="F597" s="17"/>
      <c r="G597" s="17"/>
      <c r="H597" s="17"/>
      <c r="I597" s="17"/>
      <c r="J597" s="17"/>
      <c r="K597" s="17"/>
      <c r="L597" s="17"/>
      <c r="M597" s="17"/>
      <c r="N597" s="18"/>
      <c r="O597" s="18"/>
    </row>
    <row r="598">
      <c r="A598" s="14"/>
      <c r="B598" s="21"/>
      <c r="C598" s="16"/>
      <c r="D598" s="16"/>
      <c r="E598" s="17"/>
      <c r="F598" s="17"/>
      <c r="G598" s="17"/>
      <c r="H598" s="17"/>
      <c r="I598" s="17"/>
      <c r="J598" s="17"/>
      <c r="K598" s="17"/>
      <c r="L598" s="17"/>
      <c r="M598" s="17"/>
      <c r="N598" s="18"/>
      <c r="O598" s="18"/>
    </row>
    <row r="599">
      <c r="A599" s="14"/>
      <c r="B599" s="21"/>
      <c r="C599" s="16"/>
      <c r="D599" s="16"/>
      <c r="E599" s="17"/>
      <c r="F599" s="17"/>
      <c r="G599" s="17"/>
      <c r="H599" s="17"/>
      <c r="I599" s="17"/>
      <c r="J599" s="17"/>
      <c r="K599" s="17"/>
      <c r="L599" s="17"/>
      <c r="M599" s="17"/>
      <c r="N599" s="18"/>
      <c r="O599" s="18"/>
    </row>
    <row r="600">
      <c r="A600" s="14"/>
      <c r="B600" s="21"/>
      <c r="C600" s="16"/>
      <c r="D600" s="16"/>
      <c r="E600" s="17"/>
      <c r="F600" s="17"/>
      <c r="G600" s="17"/>
      <c r="H600" s="17"/>
      <c r="I600" s="17"/>
      <c r="J600" s="17"/>
      <c r="K600" s="17"/>
      <c r="L600" s="17"/>
      <c r="M600" s="17"/>
      <c r="N600" s="18"/>
      <c r="O600" s="18"/>
    </row>
    <row r="601">
      <c r="A601" s="14"/>
      <c r="B601" s="21"/>
      <c r="C601" s="16"/>
      <c r="D601" s="16"/>
      <c r="E601" s="17"/>
      <c r="F601" s="17"/>
      <c r="G601" s="17"/>
      <c r="H601" s="17"/>
      <c r="I601" s="17"/>
      <c r="J601" s="17"/>
      <c r="K601" s="17"/>
      <c r="L601" s="17"/>
      <c r="M601" s="17"/>
      <c r="N601" s="18"/>
      <c r="O601" s="18"/>
    </row>
    <row r="602">
      <c r="A602" s="14"/>
      <c r="B602" s="21"/>
      <c r="C602" s="16"/>
      <c r="D602" s="16"/>
      <c r="E602" s="17"/>
      <c r="F602" s="17"/>
      <c r="G602" s="17"/>
      <c r="H602" s="17"/>
      <c r="I602" s="17"/>
      <c r="J602" s="17"/>
      <c r="K602" s="17"/>
      <c r="L602" s="17"/>
      <c r="M602" s="17"/>
      <c r="N602" s="18"/>
      <c r="O602" s="18"/>
    </row>
    <row r="603">
      <c r="A603" s="14"/>
      <c r="B603" s="21"/>
      <c r="C603" s="16"/>
      <c r="D603" s="16"/>
      <c r="E603" s="17"/>
      <c r="F603" s="17"/>
      <c r="G603" s="17"/>
      <c r="H603" s="17"/>
      <c r="I603" s="17"/>
      <c r="J603" s="17"/>
      <c r="K603" s="17"/>
      <c r="L603" s="17"/>
      <c r="M603" s="17"/>
      <c r="N603" s="18"/>
      <c r="O603" s="18"/>
    </row>
    <row r="604">
      <c r="A604" s="14"/>
      <c r="B604" s="21"/>
      <c r="C604" s="16"/>
      <c r="D604" s="16"/>
      <c r="E604" s="17"/>
      <c r="F604" s="17"/>
      <c r="G604" s="17"/>
      <c r="H604" s="17"/>
      <c r="I604" s="17"/>
      <c r="J604" s="17"/>
      <c r="K604" s="17"/>
      <c r="L604" s="17"/>
      <c r="M604" s="17"/>
      <c r="N604" s="18"/>
      <c r="O604" s="18"/>
    </row>
    <row r="605">
      <c r="A605" s="14"/>
      <c r="B605" s="21"/>
      <c r="C605" s="16"/>
      <c r="D605" s="16"/>
      <c r="E605" s="17"/>
      <c r="F605" s="17"/>
      <c r="G605" s="17"/>
      <c r="H605" s="17"/>
      <c r="I605" s="17"/>
      <c r="J605" s="17"/>
      <c r="K605" s="17"/>
      <c r="L605" s="17"/>
      <c r="M605" s="17"/>
      <c r="N605" s="18"/>
      <c r="O605" s="18"/>
    </row>
    <row r="606">
      <c r="A606" s="14"/>
      <c r="B606" s="21"/>
      <c r="C606" s="16"/>
      <c r="D606" s="16"/>
      <c r="E606" s="17"/>
      <c r="F606" s="17"/>
      <c r="G606" s="17"/>
      <c r="H606" s="17"/>
      <c r="I606" s="17"/>
      <c r="J606" s="17"/>
      <c r="K606" s="17"/>
      <c r="L606" s="17"/>
      <c r="M606" s="17"/>
      <c r="N606" s="18"/>
      <c r="O606" s="18"/>
    </row>
    <row r="607">
      <c r="A607" s="14"/>
      <c r="B607" s="21"/>
      <c r="C607" s="16"/>
      <c r="D607" s="16"/>
      <c r="E607" s="17"/>
      <c r="F607" s="17"/>
      <c r="G607" s="17"/>
      <c r="H607" s="17"/>
      <c r="I607" s="17"/>
      <c r="J607" s="17"/>
      <c r="K607" s="17"/>
      <c r="L607" s="17"/>
      <c r="M607" s="17"/>
      <c r="N607" s="18"/>
      <c r="O607" s="18"/>
    </row>
    <row r="608">
      <c r="A608" s="14"/>
      <c r="B608" s="21"/>
      <c r="C608" s="16"/>
      <c r="D608" s="16"/>
      <c r="E608" s="17"/>
      <c r="F608" s="17"/>
      <c r="G608" s="17"/>
      <c r="H608" s="17"/>
      <c r="I608" s="17"/>
      <c r="J608" s="17"/>
      <c r="K608" s="17"/>
      <c r="L608" s="17"/>
      <c r="M608" s="17"/>
      <c r="N608" s="18"/>
      <c r="O608" s="18"/>
    </row>
    <row r="609">
      <c r="A609" s="14"/>
      <c r="B609" s="21"/>
      <c r="C609" s="16"/>
      <c r="D609" s="16"/>
      <c r="E609" s="17"/>
      <c r="F609" s="17"/>
      <c r="G609" s="17"/>
      <c r="H609" s="17"/>
      <c r="I609" s="17"/>
      <c r="J609" s="17"/>
      <c r="K609" s="17"/>
      <c r="L609" s="17"/>
      <c r="M609" s="17"/>
      <c r="N609" s="18"/>
      <c r="O609" s="18"/>
    </row>
    <row r="610">
      <c r="A610" s="14"/>
      <c r="B610" s="21"/>
      <c r="C610" s="16"/>
      <c r="D610" s="16"/>
      <c r="E610" s="17"/>
      <c r="F610" s="17"/>
      <c r="G610" s="17"/>
      <c r="H610" s="17"/>
      <c r="I610" s="17"/>
      <c r="J610" s="17"/>
      <c r="K610" s="17"/>
      <c r="L610" s="17"/>
      <c r="M610" s="17"/>
      <c r="N610" s="18"/>
      <c r="O610" s="18"/>
    </row>
    <row r="611">
      <c r="A611" s="14"/>
      <c r="B611" s="21"/>
      <c r="C611" s="16"/>
      <c r="D611" s="16"/>
      <c r="E611" s="17"/>
      <c r="F611" s="17"/>
      <c r="G611" s="17"/>
      <c r="H611" s="17"/>
      <c r="I611" s="17"/>
      <c r="J611" s="17"/>
      <c r="K611" s="17"/>
      <c r="L611" s="17"/>
      <c r="M611" s="17"/>
      <c r="N611" s="18"/>
      <c r="O611" s="18"/>
    </row>
    <row r="612">
      <c r="A612" s="14"/>
      <c r="B612" s="21"/>
      <c r="C612" s="16"/>
      <c r="D612" s="16"/>
      <c r="E612" s="17"/>
      <c r="F612" s="17"/>
      <c r="G612" s="17"/>
      <c r="H612" s="17"/>
      <c r="I612" s="17"/>
      <c r="J612" s="17"/>
      <c r="K612" s="17"/>
      <c r="L612" s="17"/>
      <c r="M612" s="17"/>
      <c r="N612" s="18"/>
      <c r="O612" s="18"/>
    </row>
    <row r="613">
      <c r="A613" s="14"/>
      <c r="B613" s="21"/>
      <c r="C613" s="16"/>
      <c r="D613" s="16"/>
      <c r="E613" s="17"/>
      <c r="F613" s="17"/>
      <c r="G613" s="17"/>
      <c r="H613" s="17"/>
      <c r="I613" s="17"/>
      <c r="J613" s="17"/>
      <c r="K613" s="17"/>
      <c r="L613" s="17"/>
      <c r="M613" s="17"/>
      <c r="N613" s="18"/>
      <c r="O613" s="18"/>
    </row>
    <row r="614">
      <c r="A614" s="14"/>
      <c r="B614" s="21"/>
      <c r="C614" s="16"/>
      <c r="D614" s="16"/>
      <c r="E614" s="17"/>
      <c r="F614" s="17"/>
      <c r="G614" s="17"/>
      <c r="H614" s="17"/>
      <c r="I614" s="17"/>
      <c r="J614" s="17"/>
      <c r="K614" s="17"/>
      <c r="L614" s="17"/>
      <c r="M614" s="17"/>
      <c r="N614" s="18"/>
      <c r="O614" s="18"/>
    </row>
    <row r="615">
      <c r="A615" s="14"/>
      <c r="B615" s="21"/>
      <c r="C615" s="16"/>
      <c r="D615" s="16"/>
      <c r="E615" s="17"/>
      <c r="F615" s="17"/>
      <c r="G615" s="17"/>
      <c r="H615" s="17"/>
      <c r="I615" s="17"/>
      <c r="J615" s="17"/>
      <c r="K615" s="17"/>
      <c r="L615" s="17"/>
      <c r="M615" s="17"/>
      <c r="N615" s="18"/>
      <c r="O615" s="18"/>
    </row>
    <row r="616">
      <c r="A616" s="14"/>
      <c r="B616" s="21"/>
      <c r="C616" s="16"/>
      <c r="D616" s="16"/>
      <c r="E616" s="17"/>
      <c r="F616" s="17"/>
      <c r="G616" s="17"/>
      <c r="H616" s="17"/>
      <c r="I616" s="17"/>
      <c r="J616" s="17"/>
      <c r="K616" s="17"/>
      <c r="L616" s="17"/>
      <c r="M616" s="17"/>
      <c r="N616" s="18"/>
      <c r="O616" s="18"/>
    </row>
    <row r="617">
      <c r="A617" s="14"/>
      <c r="B617" s="21"/>
      <c r="C617" s="16"/>
      <c r="D617" s="16"/>
      <c r="E617" s="17"/>
      <c r="F617" s="17"/>
      <c r="G617" s="17"/>
      <c r="H617" s="17"/>
      <c r="I617" s="17"/>
      <c r="J617" s="17"/>
      <c r="K617" s="17"/>
      <c r="L617" s="17"/>
      <c r="M617" s="17"/>
      <c r="N617" s="18"/>
      <c r="O617" s="18"/>
    </row>
    <row r="618">
      <c r="A618" s="14"/>
      <c r="B618" s="21"/>
      <c r="C618" s="16"/>
      <c r="D618" s="16"/>
      <c r="E618" s="17"/>
      <c r="F618" s="17"/>
      <c r="G618" s="17"/>
      <c r="H618" s="17"/>
      <c r="I618" s="17"/>
      <c r="J618" s="17"/>
      <c r="K618" s="17"/>
      <c r="L618" s="17"/>
      <c r="M618" s="17"/>
      <c r="N618" s="18"/>
      <c r="O618" s="18"/>
    </row>
    <row r="619">
      <c r="A619" s="14"/>
      <c r="B619" s="21"/>
      <c r="C619" s="16"/>
      <c r="D619" s="16"/>
      <c r="E619" s="17"/>
      <c r="F619" s="17"/>
      <c r="G619" s="17"/>
      <c r="H619" s="17"/>
      <c r="I619" s="17"/>
      <c r="J619" s="17"/>
      <c r="K619" s="17"/>
      <c r="L619" s="17"/>
      <c r="M619" s="17"/>
      <c r="N619" s="18"/>
      <c r="O619" s="18"/>
    </row>
    <row r="620">
      <c r="A620" s="14"/>
      <c r="B620" s="21"/>
      <c r="C620" s="16"/>
      <c r="D620" s="16"/>
      <c r="E620" s="17"/>
      <c r="F620" s="17"/>
      <c r="G620" s="17"/>
      <c r="H620" s="17"/>
      <c r="I620" s="17"/>
      <c r="J620" s="17"/>
      <c r="K620" s="17"/>
      <c r="L620" s="17"/>
      <c r="M620" s="17"/>
      <c r="N620" s="18"/>
      <c r="O620" s="18"/>
    </row>
    <row r="621">
      <c r="A621" s="14"/>
      <c r="B621" s="21"/>
      <c r="C621" s="16"/>
      <c r="D621" s="16"/>
      <c r="E621" s="17"/>
      <c r="F621" s="17"/>
      <c r="G621" s="17"/>
      <c r="H621" s="17"/>
      <c r="I621" s="17"/>
      <c r="J621" s="17"/>
      <c r="K621" s="17"/>
      <c r="L621" s="17"/>
      <c r="M621" s="17"/>
      <c r="N621" s="18"/>
      <c r="O621" s="18"/>
    </row>
    <row r="622">
      <c r="A622" s="14"/>
      <c r="B622" s="21"/>
      <c r="C622" s="16"/>
      <c r="D622" s="16"/>
      <c r="E622" s="17"/>
      <c r="F622" s="17"/>
      <c r="G622" s="17"/>
      <c r="H622" s="17"/>
      <c r="I622" s="17"/>
      <c r="J622" s="17"/>
      <c r="K622" s="17"/>
      <c r="L622" s="17"/>
      <c r="M622" s="17"/>
      <c r="N622" s="18"/>
      <c r="O622" s="18"/>
    </row>
    <row r="623">
      <c r="A623" s="14"/>
      <c r="B623" s="21"/>
      <c r="C623" s="16"/>
      <c r="D623" s="16"/>
      <c r="E623" s="17"/>
      <c r="F623" s="17"/>
      <c r="G623" s="17"/>
      <c r="H623" s="17"/>
      <c r="I623" s="17"/>
      <c r="J623" s="17"/>
      <c r="K623" s="17"/>
      <c r="L623" s="17"/>
      <c r="M623" s="17"/>
      <c r="N623" s="18"/>
      <c r="O623" s="18"/>
    </row>
    <row r="624">
      <c r="A624" s="14"/>
      <c r="B624" s="21"/>
      <c r="C624" s="16"/>
      <c r="D624" s="16"/>
      <c r="E624" s="17"/>
      <c r="F624" s="17"/>
      <c r="G624" s="17"/>
      <c r="H624" s="17"/>
      <c r="I624" s="17"/>
      <c r="J624" s="17"/>
      <c r="K624" s="17"/>
      <c r="L624" s="17"/>
      <c r="M624" s="17"/>
      <c r="N624" s="18"/>
      <c r="O624" s="18"/>
    </row>
    <row r="625">
      <c r="A625" s="14"/>
      <c r="B625" s="21"/>
      <c r="C625" s="16"/>
      <c r="D625" s="16"/>
      <c r="E625" s="17"/>
      <c r="F625" s="17"/>
      <c r="G625" s="17"/>
      <c r="H625" s="17"/>
      <c r="I625" s="17"/>
      <c r="J625" s="17"/>
      <c r="K625" s="17"/>
      <c r="L625" s="17"/>
      <c r="M625" s="17"/>
      <c r="N625" s="18"/>
      <c r="O625" s="18"/>
    </row>
    <row r="626">
      <c r="A626" s="14"/>
      <c r="B626" s="21"/>
      <c r="C626" s="16"/>
      <c r="D626" s="16"/>
      <c r="E626" s="17"/>
      <c r="F626" s="17"/>
      <c r="G626" s="17"/>
      <c r="H626" s="17"/>
      <c r="I626" s="17"/>
      <c r="J626" s="17"/>
      <c r="K626" s="17"/>
      <c r="L626" s="17"/>
      <c r="M626" s="17"/>
      <c r="N626" s="18"/>
      <c r="O626" s="18"/>
    </row>
    <row r="627">
      <c r="A627" s="14"/>
      <c r="B627" s="21"/>
      <c r="C627" s="16"/>
      <c r="D627" s="16"/>
      <c r="E627" s="17"/>
      <c r="F627" s="17"/>
      <c r="G627" s="17"/>
      <c r="H627" s="17"/>
      <c r="I627" s="17"/>
      <c r="J627" s="17"/>
      <c r="K627" s="17"/>
      <c r="L627" s="17"/>
      <c r="M627" s="17"/>
      <c r="N627" s="18"/>
      <c r="O627" s="18"/>
    </row>
    <row r="628">
      <c r="A628" s="14"/>
      <c r="B628" s="21"/>
      <c r="C628" s="16"/>
      <c r="D628" s="16"/>
      <c r="E628" s="17"/>
      <c r="F628" s="17"/>
      <c r="G628" s="17"/>
      <c r="H628" s="17"/>
      <c r="I628" s="17"/>
      <c r="J628" s="17"/>
      <c r="K628" s="17"/>
      <c r="L628" s="17"/>
      <c r="M628" s="17"/>
      <c r="N628" s="18"/>
      <c r="O628" s="18"/>
    </row>
    <row r="629">
      <c r="A629" s="14"/>
      <c r="B629" s="21"/>
      <c r="C629" s="16"/>
      <c r="D629" s="16"/>
      <c r="E629" s="17"/>
      <c r="F629" s="17"/>
      <c r="G629" s="17"/>
      <c r="H629" s="17"/>
      <c r="I629" s="17"/>
      <c r="J629" s="17"/>
      <c r="K629" s="17"/>
      <c r="L629" s="17"/>
      <c r="M629" s="17"/>
      <c r="N629" s="18"/>
      <c r="O629" s="18"/>
    </row>
    <row r="630">
      <c r="A630" s="14"/>
      <c r="B630" s="21"/>
      <c r="C630" s="16"/>
      <c r="D630" s="16"/>
      <c r="E630" s="17"/>
      <c r="F630" s="17"/>
      <c r="G630" s="17"/>
      <c r="H630" s="17"/>
      <c r="I630" s="17"/>
      <c r="J630" s="17"/>
      <c r="K630" s="17"/>
      <c r="L630" s="17"/>
      <c r="M630" s="17"/>
      <c r="N630" s="18"/>
      <c r="O630" s="18"/>
    </row>
    <row r="631">
      <c r="A631" s="14"/>
      <c r="B631" s="21"/>
      <c r="C631" s="16"/>
      <c r="D631" s="16"/>
      <c r="E631" s="17"/>
      <c r="F631" s="17"/>
      <c r="G631" s="17"/>
      <c r="H631" s="17"/>
      <c r="I631" s="17"/>
      <c r="J631" s="17"/>
      <c r="K631" s="17"/>
      <c r="L631" s="17"/>
      <c r="M631" s="17"/>
      <c r="N631" s="18"/>
      <c r="O631" s="18"/>
    </row>
    <row r="632">
      <c r="A632" s="14"/>
      <c r="B632" s="21"/>
      <c r="C632" s="16"/>
      <c r="D632" s="16"/>
      <c r="E632" s="17"/>
      <c r="F632" s="17"/>
      <c r="G632" s="17"/>
      <c r="H632" s="17"/>
      <c r="I632" s="17"/>
      <c r="J632" s="17"/>
      <c r="K632" s="17"/>
      <c r="L632" s="17"/>
      <c r="M632" s="17"/>
      <c r="N632" s="18"/>
      <c r="O632" s="18"/>
    </row>
    <row r="633">
      <c r="A633" s="14"/>
      <c r="B633" s="21"/>
      <c r="C633" s="16"/>
      <c r="D633" s="16"/>
      <c r="E633" s="17"/>
      <c r="F633" s="17"/>
      <c r="G633" s="17"/>
      <c r="H633" s="17"/>
      <c r="I633" s="17"/>
      <c r="J633" s="17"/>
      <c r="K633" s="17"/>
      <c r="L633" s="17"/>
      <c r="M633" s="17"/>
      <c r="N633" s="18"/>
      <c r="O633" s="18"/>
    </row>
    <row r="634">
      <c r="A634" s="14"/>
      <c r="B634" s="21"/>
      <c r="C634" s="16"/>
      <c r="D634" s="16"/>
      <c r="E634" s="17"/>
      <c r="F634" s="17"/>
      <c r="G634" s="17"/>
      <c r="H634" s="17"/>
      <c r="I634" s="17"/>
      <c r="J634" s="17"/>
      <c r="K634" s="17"/>
      <c r="L634" s="17"/>
      <c r="M634" s="17"/>
      <c r="N634" s="18"/>
      <c r="O634" s="18"/>
    </row>
    <row r="635">
      <c r="A635" s="14"/>
      <c r="B635" s="21"/>
      <c r="C635" s="16"/>
      <c r="D635" s="16"/>
      <c r="E635" s="17"/>
      <c r="F635" s="17"/>
      <c r="G635" s="17"/>
      <c r="H635" s="17"/>
      <c r="I635" s="17"/>
      <c r="J635" s="17"/>
      <c r="K635" s="17"/>
      <c r="L635" s="17"/>
      <c r="M635" s="17"/>
      <c r="N635" s="18"/>
      <c r="O635" s="18"/>
    </row>
    <row r="636">
      <c r="A636" s="14"/>
      <c r="B636" s="21"/>
      <c r="C636" s="16"/>
      <c r="D636" s="16"/>
      <c r="E636" s="17"/>
      <c r="F636" s="17"/>
      <c r="G636" s="17"/>
      <c r="H636" s="17"/>
      <c r="I636" s="17"/>
      <c r="J636" s="17"/>
      <c r="K636" s="17"/>
      <c r="L636" s="17"/>
      <c r="M636" s="17"/>
      <c r="N636" s="18"/>
      <c r="O636" s="18"/>
    </row>
    <row r="637">
      <c r="A637" s="14"/>
      <c r="B637" s="21"/>
      <c r="C637" s="16"/>
      <c r="D637" s="16"/>
      <c r="E637" s="17"/>
      <c r="F637" s="17"/>
      <c r="G637" s="17"/>
      <c r="H637" s="17"/>
      <c r="I637" s="17"/>
      <c r="J637" s="17"/>
      <c r="K637" s="17"/>
      <c r="L637" s="17"/>
      <c r="M637" s="17"/>
      <c r="N637" s="18"/>
      <c r="O637" s="18"/>
    </row>
    <row r="638">
      <c r="A638" s="14"/>
      <c r="B638" s="21"/>
      <c r="C638" s="16"/>
      <c r="D638" s="16"/>
      <c r="E638" s="17"/>
      <c r="F638" s="17"/>
      <c r="G638" s="17"/>
      <c r="H638" s="17"/>
      <c r="I638" s="17"/>
      <c r="J638" s="17"/>
      <c r="K638" s="17"/>
      <c r="L638" s="17"/>
      <c r="M638" s="17"/>
      <c r="N638" s="18"/>
      <c r="O638" s="18"/>
    </row>
    <row r="639">
      <c r="A639" s="14"/>
      <c r="B639" s="21"/>
      <c r="C639" s="16"/>
      <c r="D639" s="16"/>
      <c r="E639" s="17"/>
      <c r="F639" s="17"/>
      <c r="G639" s="17"/>
      <c r="H639" s="17"/>
      <c r="I639" s="17"/>
      <c r="J639" s="17"/>
      <c r="K639" s="17"/>
      <c r="L639" s="17"/>
      <c r="M639" s="17"/>
      <c r="N639" s="18"/>
      <c r="O639" s="18"/>
    </row>
    <row r="640">
      <c r="A640" s="14"/>
      <c r="B640" s="21"/>
      <c r="C640" s="16"/>
      <c r="D640" s="16"/>
      <c r="E640" s="17"/>
      <c r="F640" s="17"/>
      <c r="G640" s="17"/>
      <c r="H640" s="17"/>
      <c r="I640" s="17"/>
      <c r="J640" s="17"/>
      <c r="K640" s="17"/>
      <c r="L640" s="17"/>
      <c r="M640" s="17"/>
      <c r="N640" s="18"/>
      <c r="O640" s="18"/>
    </row>
    <row r="641">
      <c r="A641" s="14"/>
      <c r="B641" s="21"/>
      <c r="C641" s="16"/>
      <c r="D641" s="16"/>
      <c r="E641" s="17"/>
      <c r="F641" s="17"/>
      <c r="G641" s="17"/>
      <c r="H641" s="17"/>
      <c r="I641" s="17"/>
      <c r="J641" s="17"/>
      <c r="K641" s="17"/>
      <c r="L641" s="17"/>
      <c r="M641" s="17"/>
      <c r="N641" s="18"/>
      <c r="O641" s="18"/>
    </row>
    <row r="642">
      <c r="A642" s="14"/>
      <c r="B642" s="21"/>
      <c r="C642" s="16"/>
      <c r="D642" s="16"/>
      <c r="E642" s="17"/>
      <c r="F642" s="17"/>
      <c r="G642" s="17"/>
      <c r="H642" s="17"/>
      <c r="I642" s="17"/>
      <c r="J642" s="17"/>
      <c r="K642" s="17"/>
      <c r="L642" s="17"/>
      <c r="M642" s="17"/>
      <c r="N642" s="18"/>
      <c r="O642" s="18"/>
    </row>
    <row r="643">
      <c r="A643" s="14"/>
      <c r="B643" s="21"/>
      <c r="C643" s="16"/>
      <c r="D643" s="16"/>
      <c r="E643" s="17"/>
      <c r="F643" s="17"/>
      <c r="G643" s="17"/>
      <c r="H643" s="17"/>
      <c r="I643" s="17"/>
      <c r="J643" s="17"/>
      <c r="K643" s="17"/>
      <c r="L643" s="17"/>
      <c r="M643" s="17"/>
      <c r="N643" s="18"/>
      <c r="O643" s="18"/>
    </row>
    <row r="644">
      <c r="A644" s="14"/>
      <c r="B644" s="21"/>
      <c r="C644" s="16"/>
      <c r="D644" s="16"/>
      <c r="E644" s="17"/>
      <c r="F644" s="17"/>
      <c r="G644" s="17"/>
      <c r="H644" s="17"/>
      <c r="I644" s="17"/>
      <c r="J644" s="17"/>
      <c r="K644" s="17"/>
      <c r="L644" s="17"/>
      <c r="M644" s="17"/>
      <c r="N644" s="18"/>
      <c r="O644" s="18"/>
    </row>
    <row r="645">
      <c r="A645" s="14"/>
      <c r="B645" s="21"/>
      <c r="C645" s="16"/>
      <c r="D645" s="16"/>
      <c r="E645" s="17"/>
      <c r="F645" s="17"/>
      <c r="G645" s="17"/>
      <c r="H645" s="17"/>
      <c r="I645" s="17"/>
      <c r="J645" s="17"/>
      <c r="K645" s="17"/>
      <c r="L645" s="17"/>
      <c r="M645" s="17"/>
      <c r="N645" s="18"/>
      <c r="O645" s="18"/>
    </row>
    <row r="646">
      <c r="A646" s="14"/>
      <c r="B646" s="21"/>
      <c r="C646" s="16"/>
      <c r="D646" s="16"/>
      <c r="E646" s="17"/>
      <c r="F646" s="17"/>
      <c r="G646" s="17"/>
      <c r="H646" s="17"/>
      <c r="I646" s="17"/>
      <c r="J646" s="17"/>
      <c r="K646" s="17"/>
      <c r="L646" s="17"/>
      <c r="M646" s="17"/>
      <c r="N646" s="18"/>
      <c r="O646" s="18"/>
    </row>
    <row r="647">
      <c r="A647" s="14"/>
      <c r="B647" s="21"/>
      <c r="C647" s="16"/>
      <c r="D647" s="16"/>
      <c r="E647" s="17"/>
      <c r="F647" s="17"/>
      <c r="G647" s="17"/>
      <c r="H647" s="17"/>
      <c r="I647" s="17"/>
      <c r="J647" s="17"/>
      <c r="K647" s="17"/>
      <c r="L647" s="17"/>
      <c r="M647" s="17"/>
      <c r="N647" s="18"/>
      <c r="O647" s="18"/>
    </row>
    <row r="648">
      <c r="A648" s="14"/>
      <c r="B648" s="21"/>
      <c r="C648" s="16"/>
      <c r="D648" s="16"/>
      <c r="E648" s="17"/>
      <c r="F648" s="17"/>
      <c r="G648" s="17"/>
      <c r="H648" s="17"/>
      <c r="I648" s="17"/>
      <c r="J648" s="17"/>
      <c r="K648" s="17"/>
      <c r="L648" s="17"/>
      <c r="M648" s="17"/>
      <c r="N648" s="18"/>
      <c r="O648" s="18"/>
    </row>
    <row r="649">
      <c r="A649" s="14"/>
      <c r="B649" s="21"/>
      <c r="C649" s="16"/>
      <c r="D649" s="16"/>
      <c r="E649" s="17"/>
      <c r="F649" s="17"/>
      <c r="G649" s="17"/>
      <c r="H649" s="17"/>
      <c r="I649" s="17"/>
      <c r="J649" s="17"/>
      <c r="K649" s="17"/>
      <c r="L649" s="17"/>
      <c r="M649" s="17"/>
      <c r="N649" s="18"/>
      <c r="O649" s="18"/>
    </row>
    <row r="650">
      <c r="A650" s="14"/>
      <c r="B650" s="21"/>
      <c r="C650" s="16"/>
      <c r="D650" s="16"/>
      <c r="E650" s="17"/>
      <c r="F650" s="17"/>
      <c r="G650" s="17"/>
      <c r="H650" s="17"/>
      <c r="I650" s="17"/>
      <c r="J650" s="17"/>
      <c r="K650" s="17"/>
      <c r="L650" s="17"/>
      <c r="M650" s="17"/>
      <c r="N650" s="18"/>
      <c r="O650" s="18"/>
    </row>
    <row r="651">
      <c r="A651" s="14"/>
      <c r="B651" s="21"/>
      <c r="C651" s="16"/>
      <c r="D651" s="16"/>
      <c r="E651" s="17"/>
      <c r="F651" s="17"/>
      <c r="G651" s="17"/>
      <c r="H651" s="17"/>
      <c r="I651" s="17"/>
      <c r="J651" s="17"/>
      <c r="K651" s="17"/>
      <c r="L651" s="17"/>
      <c r="M651" s="17"/>
      <c r="N651" s="18"/>
      <c r="O651" s="18"/>
    </row>
    <row r="652">
      <c r="A652" s="14"/>
      <c r="B652" s="21"/>
      <c r="C652" s="16"/>
      <c r="D652" s="16"/>
      <c r="E652" s="17"/>
      <c r="F652" s="17"/>
      <c r="G652" s="17"/>
      <c r="H652" s="17"/>
      <c r="I652" s="17"/>
      <c r="J652" s="17"/>
      <c r="K652" s="17"/>
      <c r="L652" s="17"/>
      <c r="M652" s="17"/>
      <c r="N652" s="18"/>
      <c r="O652" s="18"/>
    </row>
    <row r="653">
      <c r="A653" s="14"/>
      <c r="B653" s="21"/>
      <c r="C653" s="16"/>
      <c r="D653" s="16"/>
      <c r="E653" s="17"/>
      <c r="F653" s="17"/>
      <c r="G653" s="17"/>
      <c r="H653" s="17"/>
      <c r="I653" s="17"/>
      <c r="J653" s="17"/>
      <c r="K653" s="17"/>
      <c r="L653" s="17"/>
      <c r="M653" s="17"/>
      <c r="N653" s="18"/>
      <c r="O653" s="18"/>
    </row>
    <row r="654">
      <c r="A654" s="14"/>
      <c r="B654" s="21"/>
      <c r="C654" s="16"/>
      <c r="D654" s="16"/>
      <c r="E654" s="17"/>
      <c r="F654" s="17"/>
      <c r="G654" s="17"/>
      <c r="H654" s="17"/>
      <c r="I654" s="17"/>
      <c r="J654" s="17"/>
      <c r="K654" s="17"/>
      <c r="L654" s="17"/>
      <c r="M654" s="17"/>
      <c r="N654" s="18"/>
      <c r="O654" s="18"/>
    </row>
    <row r="655">
      <c r="A655" s="14"/>
      <c r="B655" s="21"/>
      <c r="C655" s="16"/>
      <c r="D655" s="16"/>
      <c r="E655" s="17"/>
      <c r="F655" s="17"/>
      <c r="G655" s="17"/>
      <c r="H655" s="17"/>
      <c r="I655" s="17"/>
      <c r="J655" s="17"/>
      <c r="K655" s="17"/>
      <c r="L655" s="17"/>
      <c r="M655" s="17"/>
      <c r="N655" s="18"/>
      <c r="O655" s="18"/>
    </row>
    <row r="656">
      <c r="A656" s="14"/>
      <c r="B656" s="21"/>
      <c r="C656" s="16"/>
      <c r="D656" s="16"/>
      <c r="E656" s="17"/>
      <c r="F656" s="17"/>
      <c r="G656" s="17"/>
      <c r="H656" s="17"/>
      <c r="I656" s="17"/>
      <c r="J656" s="17"/>
      <c r="K656" s="17"/>
      <c r="L656" s="17"/>
      <c r="M656" s="17"/>
      <c r="N656" s="18"/>
      <c r="O656" s="18"/>
    </row>
    <row r="657">
      <c r="A657" s="14"/>
      <c r="B657" s="21"/>
      <c r="C657" s="16"/>
      <c r="D657" s="16"/>
      <c r="E657" s="17"/>
      <c r="F657" s="17"/>
      <c r="G657" s="17"/>
      <c r="H657" s="17"/>
      <c r="I657" s="17"/>
      <c r="J657" s="17"/>
      <c r="K657" s="17"/>
      <c r="L657" s="17"/>
      <c r="M657" s="17"/>
      <c r="N657" s="18"/>
      <c r="O657" s="18"/>
    </row>
    <row r="658">
      <c r="A658" s="14"/>
      <c r="B658" s="21"/>
      <c r="C658" s="16"/>
      <c r="D658" s="16"/>
      <c r="E658" s="17"/>
      <c r="F658" s="17"/>
      <c r="G658" s="17"/>
      <c r="H658" s="17"/>
      <c r="I658" s="17"/>
      <c r="J658" s="17"/>
      <c r="K658" s="17"/>
      <c r="L658" s="17"/>
      <c r="M658" s="17"/>
      <c r="N658" s="18"/>
      <c r="O658" s="18"/>
    </row>
    <row r="659">
      <c r="A659" s="14"/>
      <c r="B659" s="21"/>
      <c r="C659" s="16"/>
      <c r="D659" s="16"/>
      <c r="E659" s="17"/>
      <c r="F659" s="17"/>
      <c r="G659" s="17"/>
      <c r="H659" s="17"/>
      <c r="I659" s="17"/>
      <c r="J659" s="17"/>
      <c r="K659" s="17"/>
      <c r="L659" s="17"/>
      <c r="M659" s="17"/>
      <c r="N659" s="18"/>
      <c r="O659" s="18"/>
    </row>
    <row r="660">
      <c r="A660" s="14"/>
      <c r="B660" s="21"/>
      <c r="C660" s="16"/>
      <c r="D660" s="16"/>
      <c r="E660" s="17"/>
      <c r="F660" s="17"/>
      <c r="G660" s="17"/>
      <c r="H660" s="17"/>
      <c r="I660" s="17"/>
      <c r="J660" s="17"/>
      <c r="K660" s="17"/>
      <c r="L660" s="17"/>
      <c r="M660" s="17"/>
      <c r="N660" s="18"/>
      <c r="O660" s="18"/>
    </row>
    <row r="661">
      <c r="A661" s="14"/>
      <c r="B661" s="21"/>
      <c r="C661" s="16"/>
      <c r="D661" s="16"/>
      <c r="E661" s="17"/>
      <c r="F661" s="17"/>
      <c r="G661" s="17"/>
      <c r="H661" s="17"/>
      <c r="I661" s="17"/>
      <c r="J661" s="17"/>
      <c r="K661" s="17"/>
      <c r="L661" s="17"/>
      <c r="M661" s="17"/>
      <c r="N661" s="18"/>
      <c r="O661" s="18"/>
    </row>
    <row r="662">
      <c r="A662" s="14"/>
      <c r="B662" s="21"/>
      <c r="C662" s="16"/>
      <c r="D662" s="16"/>
      <c r="E662" s="17"/>
      <c r="F662" s="17"/>
      <c r="G662" s="17"/>
      <c r="H662" s="17"/>
      <c r="I662" s="17"/>
      <c r="J662" s="17"/>
      <c r="K662" s="17"/>
      <c r="L662" s="17"/>
      <c r="M662" s="17"/>
      <c r="N662" s="18"/>
      <c r="O662" s="18"/>
    </row>
    <row r="663">
      <c r="A663" s="14"/>
      <c r="B663" s="21"/>
      <c r="C663" s="16"/>
      <c r="D663" s="16"/>
      <c r="E663" s="17"/>
      <c r="F663" s="17"/>
      <c r="G663" s="17"/>
      <c r="H663" s="17"/>
      <c r="I663" s="17"/>
      <c r="J663" s="17"/>
      <c r="K663" s="17"/>
      <c r="L663" s="17"/>
      <c r="M663" s="17"/>
      <c r="N663" s="18"/>
      <c r="O663" s="18"/>
    </row>
    <row r="664">
      <c r="A664" s="14"/>
      <c r="B664" s="21"/>
      <c r="C664" s="16"/>
      <c r="D664" s="16"/>
      <c r="E664" s="17"/>
      <c r="F664" s="17"/>
      <c r="G664" s="17"/>
      <c r="H664" s="17"/>
      <c r="I664" s="17"/>
      <c r="J664" s="17"/>
      <c r="K664" s="17"/>
      <c r="L664" s="17"/>
      <c r="M664" s="17"/>
      <c r="N664" s="18"/>
      <c r="O664" s="18"/>
    </row>
    <row r="665">
      <c r="A665" s="14"/>
      <c r="B665" s="21"/>
      <c r="C665" s="16"/>
      <c r="D665" s="16"/>
      <c r="E665" s="17"/>
      <c r="F665" s="17"/>
      <c r="G665" s="17"/>
      <c r="H665" s="17"/>
      <c r="I665" s="17"/>
      <c r="J665" s="17"/>
      <c r="K665" s="17"/>
      <c r="L665" s="17"/>
      <c r="M665" s="17"/>
      <c r="N665" s="18"/>
      <c r="O665" s="18"/>
    </row>
    <row r="666">
      <c r="A666" s="14"/>
      <c r="B666" s="21"/>
      <c r="C666" s="16"/>
      <c r="D666" s="16"/>
      <c r="E666" s="17"/>
      <c r="F666" s="17"/>
      <c r="G666" s="17"/>
      <c r="H666" s="17"/>
      <c r="I666" s="17"/>
      <c r="J666" s="17"/>
      <c r="K666" s="17"/>
      <c r="L666" s="17"/>
      <c r="M666" s="17"/>
      <c r="N666" s="18"/>
      <c r="O666" s="18"/>
    </row>
    <row r="667">
      <c r="A667" s="14"/>
      <c r="B667" s="21"/>
      <c r="C667" s="16"/>
      <c r="D667" s="16"/>
      <c r="E667" s="17"/>
      <c r="F667" s="17"/>
      <c r="G667" s="17"/>
      <c r="H667" s="17"/>
      <c r="I667" s="17"/>
      <c r="J667" s="17"/>
      <c r="K667" s="17"/>
      <c r="L667" s="17"/>
      <c r="M667" s="17"/>
      <c r="N667" s="18"/>
      <c r="O667" s="18"/>
    </row>
    <row r="668">
      <c r="A668" s="14"/>
      <c r="B668" s="21"/>
      <c r="C668" s="16"/>
      <c r="D668" s="16"/>
      <c r="E668" s="17"/>
      <c r="F668" s="17"/>
      <c r="G668" s="17"/>
      <c r="H668" s="17"/>
      <c r="I668" s="17"/>
      <c r="J668" s="17"/>
      <c r="K668" s="17"/>
      <c r="L668" s="17"/>
      <c r="M668" s="17"/>
      <c r="N668" s="18"/>
      <c r="O668" s="18"/>
    </row>
    <row r="669">
      <c r="A669" s="14"/>
      <c r="B669" s="21"/>
      <c r="C669" s="16"/>
      <c r="D669" s="16"/>
      <c r="E669" s="17"/>
      <c r="F669" s="17"/>
      <c r="G669" s="17"/>
      <c r="H669" s="17"/>
      <c r="I669" s="17"/>
      <c r="J669" s="17"/>
      <c r="K669" s="17"/>
      <c r="L669" s="17"/>
      <c r="M669" s="17"/>
      <c r="N669" s="18"/>
      <c r="O669" s="18"/>
    </row>
    <row r="670">
      <c r="A670" s="14"/>
      <c r="B670" s="21"/>
      <c r="C670" s="16"/>
      <c r="D670" s="16"/>
      <c r="E670" s="17"/>
      <c r="F670" s="17"/>
      <c r="G670" s="17"/>
      <c r="H670" s="17"/>
      <c r="I670" s="17"/>
      <c r="J670" s="17"/>
      <c r="K670" s="17"/>
      <c r="L670" s="17"/>
      <c r="M670" s="17"/>
      <c r="N670" s="18"/>
      <c r="O670" s="18"/>
    </row>
    <row r="671">
      <c r="A671" s="14"/>
      <c r="B671" s="21"/>
      <c r="C671" s="16"/>
      <c r="D671" s="16"/>
      <c r="E671" s="17"/>
      <c r="F671" s="17"/>
      <c r="G671" s="17"/>
      <c r="H671" s="17"/>
      <c r="I671" s="17"/>
      <c r="J671" s="17"/>
      <c r="K671" s="17"/>
      <c r="L671" s="17"/>
      <c r="M671" s="17"/>
      <c r="N671" s="18"/>
      <c r="O671" s="18"/>
    </row>
    <row r="672">
      <c r="A672" s="14"/>
      <c r="B672" s="21"/>
      <c r="C672" s="16"/>
      <c r="D672" s="16"/>
      <c r="E672" s="17"/>
      <c r="F672" s="17"/>
      <c r="G672" s="17"/>
      <c r="H672" s="17"/>
      <c r="I672" s="17"/>
      <c r="J672" s="17"/>
      <c r="K672" s="17"/>
      <c r="L672" s="17"/>
      <c r="M672" s="17"/>
      <c r="N672" s="18"/>
      <c r="O672" s="18"/>
    </row>
    <row r="673">
      <c r="A673" s="14"/>
      <c r="B673" s="21"/>
      <c r="C673" s="16"/>
      <c r="D673" s="16"/>
      <c r="E673" s="17"/>
      <c r="F673" s="17"/>
      <c r="G673" s="17"/>
      <c r="H673" s="17"/>
      <c r="I673" s="17"/>
      <c r="J673" s="17"/>
      <c r="K673" s="17"/>
      <c r="L673" s="17"/>
      <c r="M673" s="17"/>
      <c r="N673" s="18"/>
      <c r="O673" s="18"/>
    </row>
    <row r="674">
      <c r="A674" s="14"/>
      <c r="B674" s="21"/>
      <c r="C674" s="16"/>
      <c r="D674" s="16"/>
      <c r="E674" s="17"/>
      <c r="F674" s="17"/>
      <c r="G674" s="17"/>
      <c r="H674" s="17"/>
      <c r="I674" s="17"/>
      <c r="J674" s="17"/>
      <c r="K674" s="17"/>
      <c r="L674" s="17"/>
      <c r="M674" s="17"/>
      <c r="N674" s="18"/>
      <c r="O674" s="18"/>
    </row>
    <row r="675">
      <c r="A675" s="14"/>
      <c r="B675" s="21"/>
      <c r="C675" s="16"/>
      <c r="D675" s="16"/>
      <c r="E675" s="17"/>
      <c r="F675" s="17"/>
      <c r="G675" s="17"/>
      <c r="H675" s="17"/>
      <c r="I675" s="17"/>
      <c r="J675" s="17"/>
      <c r="K675" s="17"/>
      <c r="L675" s="17"/>
      <c r="M675" s="17"/>
      <c r="N675" s="18"/>
      <c r="O675" s="18"/>
    </row>
    <row r="676">
      <c r="A676" s="14"/>
      <c r="B676" s="21"/>
      <c r="C676" s="16"/>
      <c r="D676" s="16"/>
      <c r="E676" s="17"/>
      <c r="F676" s="17"/>
      <c r="G676" s="17"/>
      <c r="H676" s="17"/>
      <c r="I676" s="17"/>
      <c r="J676" s="17"/>
      <c r="K676" s="17"/>
      <c r="L676" s="17"/>
      <c r="M676" s="17"/>
      <c r="N676" s="18"/>
      <c r="O676" s="18"/>
    </row>
    <row r="677">
      <c r="A677" s="14"/>
      <c r="B677" s="21"/>
      <c r="C677" s="16"/>
      <c r="D677" s="16"/>
      <c r="E677" s="17"/>
      <c r="F677" s="17"/>
      <c r="G677" s="17"/>
      <c r="H677" s="17"/>
      <c r="I677" s="17"/>
      <c r="J677" s="17"/>
      <c r="K677" s="17"/>
      <c r="L677" s="17"/>
      <c r="M677" s="17"/>
      <c r="N677" s="18"/>
      <c r="O677" s="18"/>
    </row>
    <row r="678">
      <c r="A678" s="14"/>
      <c r="B678" s="21"/>
      <c r="C678" s="16"/>
      <c r="D678" s="16"/>
      <c r="E678" s="17"/>
      <c r="F678" s="17"/>
      <c r="G678" s="17"/>
      <c r="H678" s="17"/>
      <c r="I678" s="17"/>
      <c r="J678" s="17"/>
      <c r="K678" s="17"/>
      <c r="L678" s="17"/>
      <c r="M678" s="17"/>
      <c r="N678" s="18"/>
      <c r="O678" s="18"/>
    </row>
    <row r="679">
      <c r="A679" s="14"/>
      <c r="B679" s="21"/>
      <c r="C679" s="16"/>
      <c r="D679" s="16"/>
      <c r="E679" s="17"/>
      <c r="F679" s="17"/>
      <c r="G679" s="17"/>
      <c r="H679" s="17"/>
      <c r="I679" s="17"/>
      <c r="J679" s="17"/>
      <c r="K679" s="17"/>
      <c r="L679" s="17"/>
      <c r="M679" s="17"/>
      <c r="N679" s="18"/>
      <c r="O679" s="18"/>
    </row>
    <row r="680">
      <c r="A680" s="14"/>
      <c r="B680" s="21"/>
      <c r="C680" s="16"/>
      <c r="D680" s="16"/>
      <c r="E680" s="17"/>
      <c r="F680" s="17"/>
      <c r="G680" s="17"/>
      <c r="H680" s="17"/>
      <c r="I680" s="17"/>
      <c r="J680" s="17"/>
      <c r="K680" s="17"/>
      <c r="L680" s="17"/>
      <c r="M680" s="17"/>
      <c r="N680" s="18"/>
      <c r="O680" s="18"/>
    </row>
    <row r="681">
      <c r="A681" s="14"/>
      <c r="B681" s="21"/>
      <c r="C681" s="16"/>
      <c r="D681" s="16"/>
      <c r="E681" s="17"/>
      <c r="F681" s="17"/>
      <c r="G681" s="17"/>
      <c r="H681" s="17"/>
      <c r="I681" s="17"/>
      <c r="J681" s="17"/>
      <c r="K681" s="17"/>
      <c r="L681" s="17"/>
      <c r="M681" s="17"/>
      <c r="N681" s="18"/>
      <c r="O681" s="18"/>
    </row>
    <row r="682">
      <c r="A682" s="14"/>
      <c r="B682" s="21"/>
      <c r="C682" s="16"/>
      <c r="D682" s="16"/>
      <c r="E682" s="17"/>
      <c r="F682" s="17"/>
      <c r="G682" s="17"/>
      <c r="H682" s="17"/>
      <c r="I682" s="17"/>
      <c r="J682" s="17"/>
      <c r="K682" s="17"/>
      <c r="L682" s="17"/>
      <c r="M682" s="17"/>
      <c r="N682" s="18"/>
      <c r="O682" s="18"/>
    </row>
    <row r="683">
      <c r="A683" s="14"/>
      <c r="B683" s="21"/>
      <c r="C683" s="16"/>
      <c r="D683" s="16"/>
      <c r="E683" s="17"/>
      <c r="F683" s="17"/>
      <c r="G683" s="17"/>
      <c r="H683" s="17"/>
      <c r="I683" s="17"/>
      <c r="J683" s="17"/>
      <c r="K683" s="17"/>
      <c r="L683" s="17"/>
      <c r="M683" s="17"/>
      <c r="N683" s="18"/>
      <c r="O683" s="18"/>
    </row>
    <row r="684">
      <c r="A684" s="14"/>
      <c r="B684" s="21"/>
      <c r="C684" s="16"/>
      <c r="D684" s="16"/>
      <c r="E684" s="17"/>
      <c r="F684" s="17"/>
      <c r="G684" s="17"/>
      <c r="H684" s="17"/>
      <c r="I684" s="17"/>
      <c r="J684" s="17"/>
      <c r="K684" s="17"/>
      <c r="L684" s="17"/>
      <c r="M684" s="17"/>
      <c r="N684" s="18"/>
      <c r="O684" s="18"/>
    </row>
    <row r="685">
      <c r="A685" s="14"/>
      <c r="B685" s="21"/>
      <c r="C685" s="16"/>
      <c r="D685" s="16"/>
      <c r="E685" s="17"/>
      <c r="F685" s="17"/>
      <c r="G685" s="17"/>
      <c r="H685" s="17"/>
      <c r="I685" s="17"/>
      <c r="J685" s="17"/>
      <c r="K685" s="17"/>
      <c r="L685" s="17"/>
      <c r="M685" s="17"/>
      <c r="N685" s="18"/>
      <c r="O685" s="18"/>
    </row>
    <row r="686">
      <c r="A686" s="14"/>
      <c r="B686" s="21"/>
      <c r="C686" s="16"/>
      <c r="D686" s="16"/>
      <c r="E686" s="17"/>
      <c r="F686" s="17"/>
      <c r="G686" s="17"/>
      <c r="H686" s="17"/>
      <c r="I686" s="17"/>
      <c r="J686" s="17"/>
      <c r="K686" s="17"/>
      <c r="L686" s="17"/>
      <c r="M686" s="17"/>
      <c r="N686" s="18"/>
      <c r="O686" s="18"/>
    </row>
    <row r="687">
      <c r="A687" s="14"/>
      <c r="B687" s="21"/>
      <c r="C687" s="16"/>
      <c r="D687" s="16"/>
      <c r="E687" s="17"/>
      <c r="F687" s="17"/>
      <c r="G687" s="17"/>
      <c r="H687" s="17"/>
      <c r="I687" s="17"/>
      <c r="J687" s="17"/>
      <c r="K687" s="17"/>
      <c r="L687" s="17"/>
      <c r="M687" s="17"/>
      <c r="N687" s="18"/>
      <c r="O687" s="18"/>
    </row>
    <row r="688">
      <c r="A688" s="14"/>
      <c r="B688" s="21"/>
      <c r="C688" s="16"/>
      <c r="D688" s="16"/>
      <c r="E688" s="17"/>
      <c r="F688" s="17"/>
      <c r="G688" s="17"/>
      <c r="H688" s="17"/>
      <c r="I688" s="17"/>
      <c r="J688" s="17"/>
      <c r="K688" s="17"/>
      <c r="L688" s="17"/>
      <c r="M688" s="17"/>
      <c r="N688" s="18"/>
      <c r="O688" s="18"/>
    </row>
    <row r="689">
      <c r="A689" s="14"/>
      <c r="B689" s="21"/>
      <c r="C689" s="16"/>
      <c r="D689" s="16"/>
      <c r="E689" s="17"/>
      <c r="F689" s="17"/>
      <c r="G689" s="17"/>
      <c r="H689" s="17"/>
      <c r="I689" s="17"/>
      <c r="J689" s="17"/>
      <c r="K689" s="17"/>
      <c r="L689" s="17"/>
      <c r="M689" s="17"/>
      <c r="N689" s="18"/>
      <c r="O689" s="18"/>
    </row>
    <row r="690">
      <c r="A690" s="14"/>
      <c r="B690" s="21"/>
      <c r="C690" s="16"/>
      <c r="D690" s="16"/>
      <c r="E690" s="17"/>
      <c r="F690" s="17"/>
      <c r="G690" s="17"/>
      <c r="H690" s="17"/>
      <c r="I690" s="17"/>
      <c r="J690" s="17"/>
      <c r="K690" s="17"/>
      <c r="L690" s="17"/>
      <c r="M690" s="17"/>
      <c r="N690" s="18"/>
      <c r="O690" s="18"/>
    </row>
    <row r="691">
      <c r="A691" s="14"/>
      <c r="B691" s="21"/>
      <c r="C691" s="16"/>
      <c r="D691" s="16"/>
      <c r="E691" s="17"/>
      <c r="F691" s="17"/>
      <c r="G691" s="17"/>
      <c r="H691" s="17"/>
      <c r="I691" s="17"/>
      <c r="J691" s="17"/>
      <c r="K691" s="17"/>
      <c r="L691" s="17"/>
      <c r="M691" s="17"/>
      <c r="N691" s="18"/>
      <c r="O691" s="18"/>
    </row>
    <row r="692">
      <c r="A692" s="14"/>
      <c r="B692" s="21"/>
      <c r="C692" s="16"/>
      <c r="D692" s="16"/>
      <c r="E692" s="17"/>
      <c r="F692" s="17"/>
      <c r="G692" s="17"/>
      <c r="H692" s="17"/>
      <c r="I692" s="17"/>
      <c r="J692" s="17"/>
      <c r="K692" s="17"/>
      <c r="L692" s="17"/>
      <c r="M692" s="17"/>
      <c r="N692" s="18"/>
      <c r="O692" s="18"/>
    </row>
    <row r="693">
      <c r="A693" s="14"/>
      <c r="B693" s="21"/>
      <c r="C693" s="16"/>
      <c r="D693" s="16"/>
      <c r="E693" s="17"/>
      <c r="F693" s="17"/>
      <c r="G693" s="17"/>
      <c r="H693" s="17"/>
      <c r="I693" s="17"/>
      <c r="J693" s="17"/>
      <c r="K693" s="17"/>
      <c r="L693" s="17"/>
      <c r="M693" s="17"/>
      <c r="N693" s="18"/>
      <c r="O693" s="18"/>
    </row>
    <row r="694">
      <c r="A694" s="14"/>
      <c r="B694" s="21"/>
      <c r="C694" s="16"/>
      <c r="D694" s="16"/>
      <c r="E694" s="17"/>
      <c r="F694" s="17"/>
      <c r="G694" s="17"/>
      <c r="H694" s="17"/>
      <c r="I694" s="17"/>
      <c r="J694" s="17"/>
      <c r="K694" s="17"/>
      <c r="L694" s="17"/>
      <c r="M694" s="17"/>
      <c r="N694" s="18"/>
      <c r="O694" s="18"/>
    </row>
    <row r="695">
      <c r="A695" s="14"/>
      <c r="B695" s="21"/>
      <c r="C695" s="16"/>
      <c r="D695" s="16"/>
      <c r="E695" s="17"/>
      <c r="F695" s="17"/>
      <c r="G695" s="17"/>
      <c r="H695" s="17"/>
      <c r="I695" s="17"/>
      <c r="J695" s="17"/>
      <c r="K695" s="17"/>
      <c r="L695" s="17"/>
      <c r="M695" s="17"/>
      <c r="N695" s="18"/>
      <c r="O695" s="18"/>
    </row>
    <row r="696">
      <c r="A696" s="14"/>
      <c r="B696" s="21"/>
      <c r="C696" s="16"/>
      <c r="D696" s="16"/>
      <c r="E696" s="17"/>
      <c r="F696" s="17"/>
      <c r="G696" s="17"/>
      <c r="H696" s="17"/>
      <c r="I696" s="17"/>
      <c r="J696" s="17"/>
      <c r="K696" s="17"/>
      <c r="L696" s="17"/>
      <c r="M696" s="17"/>
      <c r="N696" s="18"/>
      <c r="O696" s="18"/>
    </row>
    <row r="697">
      <c r="A697" s="14"/>
      <c r="B697" s="21"/>
      <c r="C697" s="16"/>
      <c r="D697" s="16"/>
      <c r="E697" s="17"/>
      <c r="F697" s="17"/>
      <c r="G697" s="17"/>
      <c r="H697" s="17"/>
      <c r="I697" s="17"/>
      <c r="J697" s="17"/>
      <c r="K697" s="17"/>
      <c r="L697" s="17"/>
      <c r="M697" s="17"/>
      <c r="N697" s="18"/>
      <c r="O697" s="18"/>
    </row>
    <row r="698">
      <c r="A698" s="14"/>
      <c r="B698" s="21"/>
      <c r="C698" s="16"/>
      <c r="D698" s="16"/>
      <c r="E698" s="17"/>
      <c r="F698" s="17"/>
      <c r="G698" s="17"/>
      <c r="H698" s="17"/>
      <c r="I698" s="17"/>
      <c r="J698" s="17"/>
      <c r="K698" s="17"/>
      <c r="L698" s="17"/>
      <c r="M698" s="17"/>
      <c r="N698" s="18"/>
      <c r="O698" s="18"/>
    </row>
    <row r="699">
      <c r="A699" s="14"/>
      <c r="B699" s="21"/>
      <c r="C699" s="16"/>
      <c r="D699" s="16"/>
      <c r="E699" s="17"/>
      <c r="F699" s="17"/>
      <c r="G699" s="17"/>
      <c r="H699" s="17"/>
      <c r="I699" s="17"/>
      <c r="J699" s="17"/>
      <c r="K699" s="17"/>
      <c r="L699" s="17"/>
      <c r="M699" s="17"/>
      <c r="N699" s="18"/>
      <c r="O699" s="18"/>
    </row>
    <row r="700">
      <c r="A700" s="14"/>
      <c r="B700" s="21"/>
      <c r="C700" s="16"/>
      <c r="D700" s="16"/>
      <c r="E700" s="17"/>
      <c r="F700" s="17"/>
      <c r="G700" s="17"/>
      <c r="H700" s="17"/>
      <c r="I700" s="17"/>
      <c r="J700" s="17"/>
      <c r="K700" s="17"/>
      <c r="L700" s="17"/>
      <c r="M700" s="17"/>
      <c r="N700" s="18"/>
      <c r="O700" s="18"/>
    </row>
    <row r="701">
      <c r="A701" s="14"/>
      <c r="B701" s="21"/>
      <c r="C701" s="16"/>
      <c r="D701" s="16"/>
      <c r="E701" s="17"/>
      <c r="F701" s="17"/>
      <c r="G701" s="17"/>
      <c r="H701" s="17"/>
      <c r="I701" s="17"/>
      <c r="J701" s="17"/>
      <c r="K701" s="17"/>
      <c r="L701" s="17"/>
      <c r="M701" s="17"/>
      <c r="N701" s="18"/>
      <c r="O701" s="18"/>
    </row>
    <row r="702">
      <c r="A702" s="14"/>
      <c r="B702" s="21"/>
      <c r="C702" s="16"/>
      <c r="D702" s="16"/>
      <c r="E702" s="17"/>
      <c r="F702" s="17"/>
      <c r="G702" s="17"/>
      <c r="H702" s="17"/>
      <c r="I702" s="17"/>
      <c r="J702" s="17"/>
      <c r="K702" s="17"/>
      <c r="L702" s="17"/>
      <c r="M702" s="17"/>
      <c r="N702" s="18"/>
      <c r="O702" s="18"/>
    </row>
    <row r="703">
      <c r="A703" s="14"/>
      <c r="B703" s="21"/>
      <c r="C703" s="16"/>
      <c r="D703" s="16"/>
      <c r="E703" s="17"/>
      <c r="F703" s="17"/>
      <c r="G703" s="17"/>
      <c r="H703" s="17"/>
      <c r="I703" s="17"/>
      <c r="J703" s="17"/>
      <c r="K703" s="17"/>
      <c r="L703" s="17"/>
      <c r="M703" s="17"/>
      <c r="N703" s="18"/>
      <c r="O703" s="18"/>
    </row>
    <row r="704">
      <c r="A704" s="14"/>
      <c r="B704" s="21"/>
      <c r="C704" s="16"/>
      <c r="D704" s="16"/>
      <c r="E704" s="17"/>
      <c r="F704" s="17"/>
      <c r="G704" s="17"/>
      <c r="H704" s="17"/>
      <c r="I704" s="17"/>
      <c r="J704" s="17"/>
      <c r="K704" s="17"/>
      <c r="L704" s="17"/>
      <c r="M704" s="17"/>
      <c r="N704" s="18"/>
      <c r="O704" s="18"/>
    </row>
    <row r="705">
      <c r="A705" s="14"/>
      <c r="B705" s="21"/>
      <c r="C705" s="16"/>
      <c r="D705" s="16"/>
      <c r="E705" s="17"/>
      <c r="F705" s="17"/>
      <c r="G705" s="17"/>
      <c r="H705" s="17"/>
      <c r="I705" s="17"/>
      <c r="J705" s="17"/>
      <c r="K705" s="17"/>
      <c r="L705" s="17"/>
      <c r="M705" s="17"/>
      <c r="N705" s="18"/>
      <c r="O705" s="18"/>
    </row>
    <row r="706">
      <c r="A706" s="14"/>
      <c r="B706" s="21"/>
      <c r="C706" s="16"/>
      <c r="D706" s="16"/>
      <c r="E706" s="17"/>
      <c r="F706" s="17"/>
      <c r="G706" s="17"/>
      <c r="H706" s="17"/>
      <c r="I706" s="17"/>
      <c r="J706" s="17"/>
      <c r="K706" s="17"/>
      <c r="L706" s="17"/>
      <c r="M706" s="17"/>
      <c r="N706" s="18"/>
      <c r="O706" s="18"/>
    </row>
    <row r="707">
      <c r="A707" s="14"/>
      <c r="B707" s="21"/>
      <c r="C707" s="16"/>
      <c r="D707" s="16"/>
      <c r="E707" s="17"/>
      <c r="F707" s="17"/>
      <c r="G707" s="17"/>
      <c r="H707" s="17"/>
      <c r="I707" s="17"/>
      <c r="J707" s="17"/>
      <c r="K707" s="17"/>
      <c r="L707" s="17"/>
      <c r="M707" s="17"/>
      <c r="N707" s="18"/>
      <c r="O707" s="18"/>
    </row>
    <row r="708">
      <c r="A708" s="14"/>
      <c r="B708" s="21"/>
      <c r="C708" s="16"/>
      <c r="D708" s="16"/>
      <c r="E708" s="17"/>
      <c r="F708" s="17"/>
      <c r="G708" s="17"/>
      <c r="H708" s="17"/>
      <c r="I708" s="17"/>
      <c r="J708" s="17"/>
      <c r="K708" s="17"/>
      <c r="L708" s="17"/>
      <c r="M708" s="17"/>
      <c r="N708" s="18"/>
      <c r="O708" s="18"/>
    </row>
    <row r="709">
      <c r="A709" s="14"/>
      <c r="B709" s="21"/>
      <c r="C709" s="16"/>
      <c r="D709" s="16"/>
      <c r="E709" s="17"/>
      <c r="F709" s="17"/>
      <c r="G709" s="17"/>
      <c r="H709" s="17"/>
      <c r="I709" s="17"/>
      <c r="J709" s="17"/>
      <c r="K709" s="17"/>
      <c r="L709" s="17"/>
      <c r="M709" s="17"/>
      <c r="N709" s="18"/>
      <c r="O709" s="18"/>
    </row>
    <row r="710">
      <c r="A710" s="14"/>
      <c r="B710" s="21"/>
      <c r="C710" s="16"/>
      <c r="D710" s="16"/>
      <c r="E710" s="17"/>
      <c r="F710" s="17"/>
      <c r="G710" s="17"/>
      <c r="H710" s="17"/>
      <c r="I710" s="17"/>
      <c r="J710" s="17"/>
      <c r="K710" s="17"/>
      <c r="L710" s="17"/>
      <c r="M710" s="17"/>
      <c r="N710" s="18"/>
      <c r="O710" s="18"/>
    </row>
    <row r="711">
      <c r="A711" s="14"/>
      <c r="B711" s="21"/>
      <c r="C711" s="16"/>
      <c r="D711" s="16"/>
      <c r="E711" s="17"/>
      <c r="F711" s="17"/>
      <c r="G711" s="17"/>
      <c r="H711" s="17"/>
      <c r="I711" s="17"/>
      <c r="J711" s="17"/>
      <c r="K711" s="17"/>
      <c r="L711" s="17"/>
      <c r="M711" s="17"/>
      <c r="N711" s="18"/>
      <c r="O711" s="18"/>
    </row>
    <row r="712">
      <c r="A712" s="14"/>
      <c r="B712" s="21"/>
      <c r="C712" s="16"/>
      <c r="D712" s="16"/>
      <c r="E712" s="17"/>
      <c r="F712" s="17"/>
      <c r="G712" s="17"/>
      <c r="H712" s="17"/>
      <c r="I712" s="17"/>
      <c r="J712" s="17"/>
      <c r="K712" s="17"/>
      <c r="L712" s="17"/>
      <c r="M712" s="17"/>
      <c r="N712" s="18"/>
      <c r="O712" s="18"/>
    </row>
    <row r="713">
      <c r="A713" s="14"/>
      <c r="B713" s="21"/>
      <c r="C713" s="16"/>
      <c r="D713" s="16"/>
      <c r="E713" s="17"/>
      <c r="F713" s="17"/>
      <c r="G713" s="17"/>
      <c r="H713" s="17"/>
      <c r="I713" s="17"/>
      <c r="J713" s="17"/>
      <c r="K713" s="17"/>
      <c r="L713" s="17"/>
      <c r="M713" s="17"/>
      <c r="N713" s="18"/>
      <c r="O713" s="18"/>
    </row>
    <row r="714">
      <c r="A714" s="14"/>
      <c r="B714" s="21"/>
      <c r="C714" s="16"/>
      <c r="D714" s="16"/>
      <c r="E714" s="17"/>
      <c r="F714" s="17"/>
      <c r="G714" s="17"/>
      <c r="H714" s="17"/>
      <c r="I714" s="17"/>
      <c r="J714" s="17"/>
      <c r="K714" s="17"/>
      <c r="L714" s="17"/>
      <c r="M714" s="17"/>
      <c r="N714" s="18"/>
      <c r="O714" s="18"/>
    </row>
    <row r="715">
      <c r="A715" s="14"/>
      <c r="B715" s="21"/>
      <c r="C715" s="16"/>
      <c r="D715" s="16"/>
      <c r="E715" s="17"/>
      <c r="F715" s="17"/>
      <c r="G715" s="17"/>
      <c r="H715" s="17"/>
      <c r="I715" s="17"/>
      <c r="J715" s="17"/>
      <c r="K715" s="17"/>
      <c r="L715" s="17"/>
      <c r="M715" s="17"/>
      <c r="N715" s="18"/>
      <c r="O715" s="18"/>
    </row>
    <row r="716">
      <c r="A716" s="14"/>
      <c r="B716" s="21"/>
      <c r="C716" s="16"/>
      <c r="D716" s="16"/>
      <c r="E716" s="17"/>
      <c r="F716" s="17"/>
      <c r="G716" s="17"/>
      <c r="H716" s="17"/>
      <c r="I716" s="17"/>
      <c r="J716" s="17"/>
      <c r="K716" s="17"/>
      <c r="L716" s="17"/>
      <c r="M716" s="17"/>
      <c r="N716" s="18"/>
      <c r="O716" s="18"/>
    </row>
    <row r="717">
      <c r="A717" s="14"/>
      <c r="B717" s="21"/>
      <c r="C717" s="16"/>
      <c r="D717" s="16"/>
      <c r="E717" s="17"/>
      <c r="F717" s="17"/>
      <c r="G717" s="17"/>
      <c r="H717" s="17"/>
      <c r="I717" s="17"/>
      <c r="J717" s="17"/>
      <c r="K717" s="17"/>
      <c r="L717" s="17"/>
      <c r="M717" s="17"/>
      <c r="N717" s="18"/>
      <c r="O717" s="18"/>
    </row>
    <row r="718">
      <c r="A718" s="14"/>
      <c r="B718" s="21"/>
      <c r="C718" s="16"/>
      <c r="D718" s="16"/>
      <c r="E718" s="17"/>
      <c r="F718" s="17"/>
      <c r="G718" s="17"/>
      <c r="H718" s="17"/>
      <c r="I718" s="17"/>
      <c r="J718" s="17"/>
      <c r="K718" s="17"/>
      <c r="L718" s="17"/>
      <c r="M718" s="17"/>
      <c r="N718" s="18"/>
      <c r="O718" s="18"/>
    </row>
    <row r="719">
      <c r="A719" s="14"/>
      <c r="B719" s="21"/>
      <c r="C719" s="16"/>
      <c r="D719" s="16"/>
      <c r="E719" s="17"/>
      <c r="F719" s="17"/>
      <c r="G719" s="17"/>
      <c r="H719" s="17"/>
      <c r="I719" s="17"/>
      <c r="J719" s="17"/>
      <c r="K719" s="17"/>
      <c r="L719" s="17"/>
      <c r="M719" s="17"/>
      <c r="N719" s="18"/>
      <c r="O719" s="18"/>
    </row>
    <row r="720">
      <c r="A720" s="14"/>
      <c r="B720" s="21"/>
      <c r="C720" s="16"/>
      <c r="D720" s="16"/>
      <c r="E720" s="17"/>
      <c r="F720" s="17"/>
      <c r="G720" s="17"/>
      <c r="H720" s="17"/>
      <c r="I720" s="17"/>
      <c r="J720" s="17"/>
      <c r="K720" s="17"/>
      <c r="L720" s="17"/>
      <c r="M720" s="17"/>
      <c r="N720" s="18"/>
      <c r="O720" s="18"/>
    </row>
    <row r="721">
      <c r="A721" s="14"/>
      <c r="B721" s="21"/>
      <c r="C721" s="16"/>
      <c r="D721" s="16"/>
      <c r="E721" s="17"/>
      <c r="F721" s="17"/>
      <c r="G721" s="17"/>
      <c r="H721" s="17"/>
      <c r="I721" s="17"/>
      <c r="J721" s="17"/>
      <c r="K721" s="17"/>
      <c r="L721" s="17"/>
      <c r="M721" s="17"/>
      <c r="N721" s="18"/>
      <c r="O721" s="18"/>
    </row>
    <row r="722">
      <c r="A722" s="14"/>
      <c r="B722" s="21"/>
      <c r="C722" s="16"/>
      <c r="D722" s="16"/>
      <c r="E722" s="17"/>
      <c r="F722" s="17"/>
      <c r="G722" s="17"/>
      <c r="H722" s="17"/>
      <c r="I722" s="17"/>
      <c r="J722" s="17"/>
      <c r="K722" s="17"/>
      <c r="L722" s="17"/>
      <c r="M722" s="17"/>
      <c r="N722" s="18"/>
      <c r="O722" s="18"/>
    </row>
    <row r="723">
      <c r="A723" s="14"/>
      <c r="B723" s="21"/>
      <c r="C723" s="16"/>
      <c r="D723" s="16"/>
      <c r="E723" s="17"/>
      <c r="F723" s="17"/>
      <c r="G723" s="17"/>
      <c r="H723" s="17"/>
      <c r="I723" s="17"/>
      <c r="J723" s="17"/>
      <c r="K723" s="17"/>
      <c r="L723" s="17"/>
      <c r="M723" s="17"/>
      <c r="N723" s="18"/>
      <c r="O723" s="18"/>
    </row>
    <row r="724">
      <c r="A724" s="14"/>
      <c r="B724" s="21"/>
      <c r="C724" s="16"/>
      <c r="D724" s="16"/>
      <c r="E724" s="17"/>
      <c r="F724" s="17"/>
      <c r="G724" s="17"/>
      <c r="H724" s="17"/>
      <c r="I724" s="17"/>
      <c r="J724" s="17"/>
      <c r="K724" s="17"/>
      <c r="L724" s="17"/>
      <c r="M724" s="17"/>
      <c r="N724" s="18"/>
      <c r="O724" s="18"/>
    </row>
    <row r="725">
      <c r="A725" s="14"/>
      <c r="B725" s="21"/>
      <c r="C725" s="16"/>
      <c r="D725" s="16"/>
      <c r="E725" s="17"/>
      <c r="F725" s="17"/>
      <c r="G725" s="17"/>
      <c r="H725" s="17"/>
      <c r="I725" s="17"/>
      <c r="J725" s="17"/>
      <c r="K725" s="17"/>
      <c r="L725" s="17"/>
      <c r="M725" s="17"/>
      <c r="N725" s="18"/>
      <c r="O725" s="18"/>
    </row>
    <row r="726">
      <c r="A726" s="14"/>
      <c r="B726" s="21"/>
      <c r="C726" s="16"/>
      <c r="D726" s="16"/>
      <c r="E726" s="17"/>
      <c r="F726" s="17"/>
      <c r="G726" s="17"/>
      <c r="H726" s="17"/>
      <c r="I726" s="17"/>
      <c r="J726" s="17"/>
      <c r="K726" s="17"/>
      <c r="L726" s="17"/>
      <c r="M726" s="17"/>
      <c r="N726" s="18"/>
      <c r="O726" s="18"/>
    </row>
    <row r="727">
      <c r="A727" s="14"/>
      <c r="B727" s="21"/>
      <c r="C727" s="16"/>
      <c r="D727" s="16"/>
      <c r="E727" s="17"/>
      <c r="F727" s="17"/>
      <c r="G727" s="17"/>
      <c r="H727" s="17"/>
      <c r="I727" s="17"/>
      <c r="J727" s="17"/>
      <c r="K727" s="17"/>
      <c r="L727" s="17"/>
      <c r="M727" s="17"/>
      <c r="N727" s="18"/>
      <c r="O727" s="18"/>
    </row>
    <row r="728">
      <c r="A728" s="14"/>
      <c r="B728" s="21"/>
      <c r="C728" s="16"/>
      <c r="D728" s="16"/>
      <c r="E728" s="17"/>
      <c r="F728" s="17"/>
      <c r="G728" s="17"/>
      <c r="H728" s="17"/>
      <c r="I728" s="17"/>
      <c r="J728" s="17"/>
      <c r="K728" s="17"/>
      <c r="L728" s="17"/>
      <c r="M728" s="17"/>
      <c r="N728" s="18"/>
      <c r="O728" s="18"/>
    </row>
    <row r="729">
      <c r="A729" s="14"/>
      <c r="B729" s="21"/>
      <c r="C729" s="16"/>
      <c r="D729" s="16"/>
      <c r="E729" s="17"/>
      <c r="F729" s="17"/>
      <c r="G729" s="17"/>
      <c r="H729" s="17"/>
      <c r="I729" s="17"/>
      <c r="J729" s="17"/>
      <c r="K729" s="17"/>
      <c r="L729" s="17"/>
      <c r="M729" s="17"/>
      <c r="N729" s="18"/>
      <c r="O729" s="18"/>
    </row>
    <row r="730">
      <c r="A730" s="14"/>
      <c r="B730" s="21"/>
      <c r="C730" s="16"/>
      <c r="D730" s="16"/>
      <c r="E730" s="17"/>
      <c r="F730" s="17"/>
      <c r="G730" s="17"/>
      <c r="H730" s="17"/>
      <c r="I730" s="17"/>
      <c r="J730" s="17"/>
      <c r="K730" s="17"/>
      <c r="L730" s="17"/>
      <c r="M730" s="17"/>
      <c r="N730" s="18"/>
      <c r="O730" s="18"/>
    </row>
    <row r="731">
      <c r="A731" s="14"/>
      <c r="B731" s="21"/>
      <c r="C731" s="16"/>
      <c r="D731" s="16"/>
      <c r="E731" s="17"/>
      <c r="F731" s="17"/>
      <c r="G731" s="17"/>
      <c r="H731" s="17"/>
      <c r="I731" s="17"/>
      <c r="J731" s="17"/>
      <c r="K731" s="17"/>
      <c r="L731" s="17"/>
      <c r="M731" s="17"/>
      <c r="N731" s="18"/>
      <c r="O731" s="18"/>
    </row>
    <row r="732">
      <c r="A732" s="14"/>
      <c r="B732" s="21"/>
      <c r="C732" s="16"/>
      <c r="D732" s="16"/>
      <c r="E732" s="17"/>
      <c r="F732" s="17"/>
      <c r="G732" s="17"/>
      <c r="H732" s="17"/>
      <c r="I732" s="17"/>
      <c r="J732" s="17"/>
      <c r="K732" s="17"/>
      <c r="L732" s="17"/>
      <c r="M732" s="17"/>
      <c r="N732" s="18"/>
      <c r="O732" s="18"/>
    </row>
    <row r="733">
      <c r="A733" s="14"/>
      <c r="B733" s="21"/>
      <c r="C733" s="16"/>
      <c r="D733" s="16"/>
      <c r="E733" s="17"/>
      <c r="F733" s="17"/>
      <c r="G733" s="17"/>
      <c r="H733" s="17"/>
      <c r="I733" s="17"/>
      <c r="J733" s="17"/>
      <c r="K733" s="17"/>
      <c r="L733" s="17"/>
      <c r="M733" s="17"/>
      <c r="N733" s="18"/>
      <c r="O733" s="18"/>
    </row>
    <row r="734">
      <c r="A734" s="14"/>
      <c r="B734" s="21"/>
      <c r="C734" s="16"/>
      <c r="D734" s="16"/>
      <c r="E734" s="17"/>
      <c r="F734" s="17"/>
      <c r="G734" s="17"/>
      <c r="H734" s="17"/>
      <c r="I734" s="17"/>
      <c r="J734" s="17"/>
      <c r="K734" s="17"/>
      <c r="L734" s="17"/>
      <c r="M734" s="17"/>
      <c r="N734" s="18"/>
      <c r="O734" s="18"/>
    </row>
    <row r="735">
      <c r="A735" s="14"/>
      <c r="B735" s="21"/>
      <c r="C735" s="16"/>
      <c r="D735" s="16"/>
      <c r="E735" s="17"/>
      <c r="F735" s="17"/>
      <c r="G735" s="17"/>
      <c r="H735" s="17"/>
      <c r="I735" s="17"/>
      <c r="J735" s="17"/>
      <c r="K735" s="17"/>
      <c r="L735" s="17"/>
      <c r="M735" s="17"/>
      <c r="N735" s="18"/>
      <c r="O735" s="18"/>
    </row>
    <row r="736">
      <c r="A736" s="14"/>
      <c r="B736" s="21"/>
      <c r="C736" s="16"/>
      <c r="D736" s="16"/>
      <c r="E736" s="17"/>
      <c r="F736" s="17"/>
      <c r="G736" s="17"/>
      <c r="H736" s="17"/>
      <c r="I736" s="17"/>
      <c r="J736" s="17"/>
      <c r="K736" s="17"/>
      <c r="L736" s="17"/>
      <c r="M736" s="17"/>
      <c r="N736" s="18"/>
      <c r="O736" s="18"/>
    </row>
    <row r="737">
      <c r="A737" s="14"/>
      <c r="B737" s="21"/>
      <c r="C737" s="16"/>
      <c r="D737" s="16"/>
      <c r="E737" s="17"/>
      <c r="F737" s="17"/>
      <c r="G737" s="17"/>
      <c r="H737" s="17"/>
      <c r="I737" s="17"/>
      <c r="J737" s="17"/>
      <c r="K737" s="17"/>
      <c r="L737" s="17"/>
      <c r="M737" s="17"/>
      <c r="N737" s="18"/>
      <c r="O737" s="18"/>
    </row>
    <row r="738">
      <c r="A738" s="14"/>
      <c r="B738" s="21"/>
      <c r="C738" s="16"/>
      <c r="D738" s="16"/>
      <c r="E738" s="17"/>
      <c r="F738" s="17"/>
      <c r="G738" s="17"/>
      <c r="H738" s="17"/>
      <c r="I738" s="17"/>
      <c r="J738" s="17"/>
      <c r="K738" s="17"/>
      <c r="L738" s="17"/>
      <c r="M738" s="17"/>
      <c r="N738" s="18"/>
      <c r="O738" s="18"/>
    </row>
    <row r="739">
      <c r="A739" s="14"/>
      <c r="B739" s="21"/>
      <c r="C739" s="16"/>
      <c r="D739" s="16"/>
      <c r="E739" s="17"/>
      <c r="F739" s="17"/>
      <c r="G739" s="17"/>
      <c r="H739" s="17"/>
      <c r="I739" s="17"/>
      <c r="J739" s="17"/>
      <c r="K739" s="17"/>
      <c r="L739" s="17"/>
      <c r="M739" s="17"/>
      <c r="N739" s="18"/>
      <c r="O739" s="18"/>
    </row>
    <row r="740">
      <c r="A740" s="14"/>
      <c r="B740" s="21"/>
      <c r="C740" s="16"/>
      <c r="D740" s="16"/>
      <c r="E740" s="17"/>
      <c r="F740" s="17"/>
      <c r="G740" s="17"/>
      <c r="H740" s="17"/>
      <c r="I740" s="17"/>
      <c r="J740" s="17"/>
      <c r="K740" s="17"/>
      <c r="L740" s="17"/>
      <c r="M740" s="17"/>
      <c r="N740" s="18"/>
      <c r="O740" s="18"/>
    </row>
    <row r="741">
      <c r="A741" s="14"/>
      <c r="B741" s="21"/>
      <c r="C741" s="16"/>
      <c r="D741" s="16"/>
      <c r="E741" s="17"/>
      <c r="F741" s="17"/>
      <c r="G741" s="17"/>
      <c r="H741" s="17"/>
      <c r="I741" s="17"/>
      <c r="J741" s="17"/>
      <c r="K741" s="17"/>
      <c r="L741" s="17"/>
      <c r="M741" s="17"/>
      <c r="N741" s="18"/>
      <c r="O741" s="18"/>
    </row>
    <row r="742">
      <c r="A742" s="14"/>
      <c r="B742" s="21"/>
      <c r="C742" s="16"/>
      <c r="D742" s="16"/>
      <c r="E742" s="17"/>
      <c r="F742" s="17"/>
      <c r="G742" s="17"/>
      <c r="H742" s="17"/>
      <c r="I742" s="17"/>
      <c r="J742" s="17"/>
      <c r="K742" s="17"/>
      <c r="L742" s="17"/>
      <c r="M742" s="17"/>
      <c r="N742" s="18"/>
      <c r="O742" s="18"/>
    </row>
    <row r="743">
      <c r="A743" s="14"/>
      <c r="B743" s="21"/>
      <c r="C743" s="16"/>
      <c r="D743" s="16"/>
      <c r="E743" s="17"/>
      <c r="F743" s="17"/>
      <c r="G743" s="17"/>
      <c r="H743" s="17"/>
      <c r="I743" s="17"/>
      <c r="J743" s="17"/>
      <c r="K743" s="17"/>
      <c r="L743" s="17"/>
      <c r="M743" s="17"/>
      <c r="N743" s="18"/>
      <c r="O743" s="18"/>
    </row>
    <row r="744">
      <c r="A744" s="14"/>
      <c r="B744" s="21"/>
      <c r="C744" s="16"/>
      <c r="D744" s="16"/>
      <c r="E744" s="17"/>
      <c r="F744" s="17"/>
      <c r="G744" s="17"/>
      <c r="H744" s="17"/>
      <c r="I744" s="17"/>
      <c r="J744" s="17"/>
      <c r="K744" s="17"/>
      <c r="L744" s="17"/>
      <c r="M744" s="17"/>
      <c r="N744" s="18"/>
      <c r="O744" s="18"/>
    </row>
    <row r="745">
      <c r="A745" s="14"/>
      <c r="B745" s="21"/>
      <c r="C745" s="16"/>
      <c r="D745" s="16"/>
      <c r="E745" s="17"/>
      <c r="F745" s="17"/>
      <c r="G745" s="17"/>
      <c r="H745" s="17"/>
      <c r="I745" s="17"/>
      <c r="J745" s="17"/>
      <c r="K745" s="17"/>
      <c r="L745" s="17"/>
      <c r="M745" s="17"/>
      <c r="N745" s="18"/>
      <c r="O745" s="18"/>
    </row>
    <row r="746">
      <c r="A746" s="14"/>
      <c r="B746" s="21"/>
      <c r="C746" s="16"/>
      <c r="D746" s="16"/>
      <c r="E746" s="17"/>
      <c r="F746" s="17"/>
      <c r="G746" s="17"/>
      <c r="H746" s="17"/>
      <c r="I746" s="17"/>
      <c r="J746" s="17"/>
      <c r="K746" s="17"/>
      <c r="L746" s="17"/>
      <c r="M746" s="17"/>
      <c r="N746" s="18"/>
      <c r="O746" s="18"/>
    </row>
    <row r="747">
      <c r="A747" s="14"/>
      <c r="B747" s="21"/>
      <c r="C747" s="16"/>
      <c r="D747" s="16"/>
      <c r="E747" s="17"/>
      <c r="F747" s="17"/>
      <c r="G747" s="17"/>
      <c r="H747" s="17"/>
      <c r="I747" s="17"/>
      <c r="J747" s="17"/>
      <c r="K747" s="17"/>
      <c r="L747" s="17"/>
      <c r="M747" s="17"/>
      <c r="N747" s="18"/>
      <c r="O747" s="18"/>
    </row>
    <row r="748">
      <c r="A748" s="14"/>
      <c r="B748" s="21"/>
      <c r="C748" s="16"/>
      <c r="D748" s="16"/>
      <c r="E748" s="17"/>
      <c r="F748" s="17"/>
      <c r="G748" s="17"/>
      <c r="H748" s="17"/>
      <c r="I748" s="17"/>
      <c r="J748" s="17"/>
      <c r="K748" s="17"/>
      <c r="L748" s="17"/>
      <c r="M748" s="17"/>
      <c r="N748" s="18"/>
      <c r="O748" s="18"/>
    </row>
    <row r="749">
      <c r="A749" s="14"/>
      <c r="B749" s="21"/>
      <c r="C749" s="16"/>
      <c r="D749" s="16"/>
      <c r="E749" s="17"/>
      <c r="F749" s="17"/>
      <c r="G749" s="17"/>
      <c r="H749" s="17"/>
      <c r="I749" s="17"/>
      <c r="J749" s="17"/>
      <c r="K749" s="17"/>
      <c r="L749" s="17"/>
      <c r="M749" s="17"/>
      <c r="N749" s="18"/>
      <c r="O749" s="18"/>
    </row>
    <row r="750">
      <c r="A750" s="14"/>
      <c r="B750" s="21"/>
      <c r="C750" s="16"/>
      <c r="D750" s="16"/>
      <c r="E750" s="17"/>
      <c r="F750" s="17"/>
      <c r="G750" s="17"/>
      <c r="H750" s="17"/>
      <c r="I750" s="17"/>
      <c r="J750" s="17"/>
      <c r="K750" s="17"/>
      <c r="L750" s="17"/>
      <c r="M750" s="17"/>
      <c r="N750" s="18"/>
      <c r="O750" s="18"/>
    </row>
    <row r="751">
      <c r="A751" s="14"/>
      <c r="B751" s="21"/>
      <c r="C751" s="16"/>
      <c r="D751" s="16"/>
      <c r="E751" s="17"/>
      <c r="F751" s="17"/>
      <c r="G751" s="17"/>
      <c r="H751" s="17"/>
      <c r="I751" s="17"/>
      <c r="J751" s="17"/>
      <c r="K751" s="17"/>
      <c r="L751" s="17"/>
      <c r="M751" s="17"/>
      <c r="N751" s="18"/>
      <c r="O751" s="18"/>
    </row>
    <row r="752">
      <c r="A752" s="14"/>
      <c r="B752" s="21"/>
      <c r="C752" s="16"/>
      <c r="D752" s="16"/>
      <c r="E752" s="17"/>
      <c r="F752" s="17"/>
      <c r="G752" s="17"/>
      <c r="H752" s="17"/>
      <c r="I752" s="17"/>
      <c r="J752" s="17"/>
      <c r="K752" s="17"/>
      <c r="L752" s="17"/>
      <c r="M752" s="17"/>
      <c r="N752" s="18"/>
      <c r="O752" s="18"/>
    </row>
    <row r="753">
      <c r="A753" s="14"/>
      <c r="B753" s="21"/>
      <c r="C753" s="16"/>
      <c r="D753" s="16"/>
      <c r="E753" s="17"/>
      <c r="F753" s="17"/>
      <c r="G753" s="17"/>
      <c r="H753" s="17"/>
      <c r="I753" s="17"/>
      <c r="J753" s="17"/>
      <c r="K753" s="17"/>
      <c r="L753" s="17"/>
      <c r="M753" s="17"/>
      <c r="N753" s="18"/>
      <c r="O753" s="18"/>
    </row>
    <row r="754">
      <c r="A754" s="14"/>
      <c r="B754" s="21"/>
      <c r="C754" s="16"/>
      <c r="D754" s="16"/>
      <c r="E754" s="17"/>
      <c r="F754" s="17"/>
      <c r="G754" s="17"/>
      <c r="H754" s="17"/>
      <c r="I754" s="17"/>
      <c r="J754" s="17"/>
      <c r="K754" s="17"/>
      <c r="L754" s="17"/>
      <c r="M754" s="17"/>
      <c r="N754" s="18"/>
      <c r="O754" s="18"/>
    </row>
    <row r="755">
      <c r="A755" s="14"/>
      <c r="B755" s="21"/>
      <c r="C755" s="16"/>
      <c r="D755" s="16"/>
      <c r="E755" s="17"/>
      <c r="F755" s="17"/>
      <c r="G755" s="17"/>
      <c r="H755" s="17"/>
      <c r="I755" s="17"/>
      <c r="J755" s="17"/>
      <c r="K755" s="17"/>
      <c r="L755" s="17"/>
      <c r="M755" s="17"/>
      <c r="N755" s="18"/>
      <c r="O755" s="18"/>
    </row>
    <row r="756">
      <c r="A756" s="14"/>
      <c r="B756" s="21"/>
      <c r="C756" s="16"/>
      <c r="D756" s="16"/>
      <c r="E756" s="17"/>
      <c r="F756" s="17"/>
      <c r="G756" s="17"/>
      <c r="H756" s="17"/>
      <c r="I756" s="17"/>
      <c r="J756" s="17"/>
      <c r="K756" s="17"/>
      <c r="L756" s="17"/>
      <c r="M756" s="17"/>
      <c r="N756" s="18"/>
      <c r="O756" s="18"/>
    </row>
    <row r="757">
      <c r="A757" s="14"/>
      <c r="B757" s="21"/>
      <c r="C757" s="16"/>
      <c r="D757" s="16"/>
      <c r="E757" s="17"/>
      <c r="F757" s="17"/>
      <c r="G757" s="17"/>
      <c r="H757" s="17"/>
      <c r="I757" s="17"/>
      <c r="J757" s="17"/>
      <c r="K757" s="17"/>
      <c r="L757" s="17"/>
      <c r="M757" s="17"/>
      <c r="N757" s="18"/>
      <c r="O757" s="18"/>
    </row>
    <row r="758">
      <c r="A758" s="14"/>
      <c r="B758" s="21"/>
      <c r="C758" s="16"/>
      <c r="D758" s="16"/>
      <c r="E758" s="17"/>
      <c r="F758" s="17"/>
      <c r="G758" s="17"/>
      <c r="H758" s="17"/>
      <c r="I758" s="17"/>
      <c r="J758" s="17"/>
      <c r="K758" s="17"/>
      <c r="L758" s="17"/>
      <c r="M758" s="17"/>
      <c r="N758" s="18"/>
      <c r="O758" s="18"/>
    </row>
    <row r="759">
      <c r="A759" s="14"/>
      <c r="B759" s="21"/>
      <c r="C759" s="16"/>
      <c r="D759" s="16"/>
      <c r="E759" s="17"/>
      <c r="F759" s="17"/>
      <c r="G759" s="17"/>
      <c r="H759" s="17"/>
      <c r="I759" s="17"/>
      <c r="J759" s="17"/>
      <c r="K759" s="17"/>
      <c r="L759" s="17"/>
      <c r="M759" s="17"/>
      <c r="N759" s="18"/>
      <c r="O759" s="18"/>
    </row>
    <row r="760">
      <c r="A760" s="14"/>
      <c r="B760" s="21"/>
      <c r="C760" s="16"/>
      <c r="D760" s="16"/>
      <c r="E760" s="17"/>
      <c r="F760" s="17"/>
      <c r="G760" s="17"/>
      <c r="H760" s="17"/>
      <c r="I760" s="17"/>
      <c r="J760" s="17"/>
      <c r="K760" s="17"/>
      <c r="L760" s="17"/>
      <c r="M760" s="17"/>
      <c r="N760" s="18"/>
      <c r="O760" s="18"/>
    </row>
    <row r="761">
      <c r="A761" s="14"/>
      <c r="B761" s="21"/>
      <c r="C761" s="16"/>
      <c r="D761" s="16"/>
      <c r="E761" s="17"/>
      <c r="F761" s="17"/>
      <c r="G761" s="17"/>
      <c r="H761" s="17"/>
      <c r="I761" s="17"/>
      <c r="J761" s="17"/>
      <c r="K761" s="17"/>
      <c r="L761" s="17"/>
      <c r="M761" s="17"/>
      <c r="N761" s="18"/>
      <c r="O761" s="18"/>
    </row>
    <row r="762">
      <c r="A762" s="14"/>
      <c r="B762" s="21"/>
      <c r="C762" s="16"/>
      <c r="D762" s="16"/>
      <c r="E762" s="17"/>
      <c r="F762" s="17"/>
      <c r="G762" s="17"/>
      <c r="H762" s="17"/>
      <c r="I762" s="17"/>
      <c r="J762" s="17"/>
      <c r="K762" s="17"/>
      <c r="L762" s="17"/>
      <c r="M762" s="17"/>
      <c r="N762" s="18"/>
      <c r="O762" s="18"/>
    </row>
    <row r="763">
      <c r="A763" s="14"/>
      <c r="B763" s="21"/>
      <c r="C763" s="16"/>
      <c r="D763" s="16"/>
      <c r="E763" s="17"/>
      <c r="F763" s="17"/>
      <c r="G763" s="17"/>
      <c r="H763" s="17"/>
      <c r="I763" s="17"/>
      <c r="J763" s="17"/>
      <c r="K763" s="17"/>
      <c r="L763" s="17"/>
      <c r="M763" s="17"/>
      <c r="N763" s="18"/>
      <c r="O763" s="18"/>
    </row>
    <row r="764">
      <c r="A764" s="14"/>
      <c r="B764" s="21"/>
      <c r="C764" s="16"/>
      <c r="D764" s="16"/>
      <c r="E764" s="17"/>
      <c r="F764" s="17"/>
      <c r="G764" s="17"/>
      <c r="H764" s="17"/>
      <c r="I764" s="17"/>
      <c r="J764" s="17"/>
      <c r="K764" s="17"/>
      <c r="L764" s="17"/>
      <c r="M764" s="17"/>
      <c r="N764" s="18"/>
      <c r="O764" s="18"/>
    </row>
    <row r="765">
      <c r="A765" s="14"/>
      <c r="B765" s="21"/>
      <c r="C765" s="16"/>
      <c r="D765" s="16"/>
      <c r="E765" s="17"/>
      <c r="F765" s="17"/>
      <c r="G765" s="17"/>
      <c r="H765" s="17"/>
      <c r="I765" s="17"/>
      <c r="J765" s="17"/>
      <c r="K765" s="17"/>
      <c r="L765" s="17"/>
      <c r="M765" s="17"/>
      <c r="N765" s="18"/>
      <c r="O765" s="18"/>
    </row>
    <row r="766">
      <c r="A766" s="14"/>
      <c r="B766" s="21"/>
      <c r="C766" s="16"/>
      <c r="D766" s="16"/>
      <c r="E766" s="17"/>
      <c r="F766" s="17"/>
      <c r="G766" s="17"/>
      <c r="H766" s="17"/>
      <c r="I766" s="17"/>
      <c r="J766" s="17"/>
      <c r="K766" s="17"/>
      <c r="L766" s="17"/>
      <c r="M766" s="17"/>
      <c r="N766" s="18"/>
      <c r="O766" s="18"/>
    </row>
    <row r="767">
      <c r="A767" s="14"/>
      <c r="B767" s="21"/>
      <c r="C767" s="16"/>
      <c r="D767" s="16"/>
      <c r="E767" s="17"/>
      <c r="F767" s="17"/>
      <c r="G767" s="17"/>
      <c r="H767" s="17"/>
      <c r="I767" s="17"/>
      <c r="J767" s="17"/>
      <c r="K767" s="17"/>
      <c r="L767" s="17"/>
      <c r="M767" s="17"/>
      <c r="N767" s="18"/>
      <c r="O767" s="18"/>
    </row>
    <row r="768">
      <c r="A768" s="14"/>
      <c r="B768" s="21"/>
      <c r="C768" s="16"/>
      <c r="D768" s="16"/>
      <c r="E768" s="17"/>
      <c r="F768" s="17"/>
      <c r="G768" s="17"/>
      <c r="H768" s="17"/>
      <c r="I768" s="17"/>
      <c r="J768" s="17"/>
      <c r="K768" s="17"/>
      <c r="L768" s="17"/>
      <c r="M768" s="17"/>
      <c r="N768" s="18"/>
      <c r="O768" s="18"/>
    </row>
    <row r="769">
      <c r="A769" s="14"/>
      <c r="B769" s="21"/>
      <c r="C769" s="16"/>
      <c r="D769" s="16"/>
      <c r="E769" s="17"/>
      <c r="F769" s="17"/>
      <c r="G769" s="17"/>
      <c r="H769" s="17"/>
      <c r="I769" s="17"/>
      <c r="J769" s="17"/>
      <c r="K769" s="17"/>
      <c r="L769" s="17"/>
      <c r="M769" s="17"/>
      <c r="N769" s="18"/>
      <c r="O769" s="18"/>
    </row>
    <row r="770">
      <c r="A770" s="14"/>
      <c r="B770" s="21"/>
      <c r="C770" s="16"/>
      <c r="D770" s="16"/>
      <c r="E770" s="17"/>
      <c r="F770" s="17"/>
      <c r="G770" s="17"/>
      <c r="H770" s="17"/>
      <c r="I770" s="17"/>
      <c r="J770" s="17"/>
      <c r="K770" s="17"/>
      <c r="L770" s="17"/>
      <c r="M770" s="17"/>
      <c r="N770" s="18"/>
      <c r="O770" s="18"/>
    </row>
    <row r="771">
      <c r="A771" s="14"/>
      <c r="B771" s="21"/>
      <c r="C771" s="16"/>
      <c r="D771" s="16"/>
      <c r="E771" s="17"/>
      <c r="F771" s="17"/>
      <c r="G771" s="17"/>
      <c r="H771" s="17"/>
      <c r="I771" s="17"/>
      <c r="J771" s="17"/>
      <c r="K771" s="17"/>
      <c r="L771" s="17"/>
      <c r="M771" s="17"/>
      <c r="N771" s="18"/>
      <c r="O771" s="18"/>
    </row>
    <row r="772">
      <c r="A772" s="14"/>
      <c r="B772" s="21"/>
      <c r="C772" s="16"/>
      <c r="D772" s="16"/>
      <c r="E772" s="17"/>
      <c r="F772" s="17"/>
      <c r="G772" s="17"/>
      <c r="H772" s="17"/>
      <c r="I772" s="17"/>
      <c r="J772" s="17"/>
      <c r="K772" s="17"/>
      <c r="L772" s="17"/>
      <c r="M772" s="17"/>
      <c r="N772" s="18"/>
      <c r="O772" s="18"/>
    </row>
    <row r="773">
      <c r="A773" s="14"/>
      <c r="B773" s="21"/>
      <c r="C773" s="16"/>
      <c r="D773" s="16"/>
      <c r="E773" s="17"/>
      <c r="F773" s="17"/>
      <c r="G773" s="17"/>
      <c r="H773" s="17"/>
      <c r="I773" s="17"/>
      <c r="J773" s="17"/>
      <c r="K773" s="17"/>
      <c r="L773" s="17"/>
      <c r="M773" s="17"/>
      <c r="N773" s="18"/>
      <c r="O773" s="18"/>
    </row>
    <row r="774">
      <c r="A774" s="14"/>
      <c r="B774" s="21"/>
      <c r="C774" s="16"/>
      <c r="D774" s="16"/>
      <c r="E774" s="17"/>
      <c r="F774" s="17"/>
      <c r="G774" s="17"/>
      <c r="H774" s="17"/>
      <c r="I774" s="17"/>
      <c r="J774" s="17"/>
      <c r="K774" s="17"/>
      <c r="L774" s="17"/>
      <c r="M774" s="17"/>
      <c r="N774" s="18"/>
      <c r="O774" s="18"/>
    </row>
    <row r="775">
      <c r="A775" s="14"/>
      <c r="B775" s="21"/>
      <c r="C775" s="16"/>
      <c r="D775" s="16"/>
      <c r="E775" s="17"/>
      <c r="F775" s="17"/>
      <c r="G775" s="17"/>
      <c r="H775" s="17"/>
      <c r="I775" s="17"/>
      <c r="J775" s="17"/>
      <c r="K775" s="17"/>
      <c r="L775" s="17"/>
      <c r="M775" s="17"/>
      <c r="N775" s="18"/>
      <c r="O775" s="18"/>
    </row>
    <row r="776">
      <c r="A776" s="14"/>
      <c r="B776" s="21"/>
      <c r="C776" s="16"/>
      <c r="D776" s="16"/>
      <c r="E776" s="17"/>
      <c r="F776" s="17"/>
      <c r="G776" s="17"/>
      <c r="H776" s="17"/>
      <c r="I776" s="17"/>
      <c r="J776" s="17"/>
      <c r="K776" s="17"/>
      <c r="L776" s="17"/>
      <c r="M776" s="17"/>
      <c r="N776" s="18"/>
      <c r="O776" s="18"/>
    </row>
    <row r="777">
      <c r="A777" s="14"/>
      <c r="B777" s="21"/>
      <c r="C777" s="16"/>
      <c r="D777" s="16"/>
      <c r="E777" s="17"/>
      <c r="F777" s="17"/>
      <c r="G777" s="17"/>
      <c r="H777" s="17"/>
      <c r="I777" s="17"/>
      <c r="J777" s="17"/>
      <c r="K777" s="17"/>
      <c r="L777" s="17"/>
      <c r="M777" s="17"/>
      <c r="N777" s="18"/>
      <c r="O777" s="18"/>
    </row>
    <row r="778">
      <c r="A778" s="14"/>
      <c r="B778" s="21"/>
      <c r="C778" s="16"/>
      <c r="D778" s="16"/>
      <c r="E778" s="17"/>
      <c r="F778" s="17"/>
      <c r="G778" s="17"/>
      <c r="H778" s="17"/>
      <c r="I778" s="17"/>
      <c r="J778" s="17"/>
      <c r="K778" s="17"/>
      <c r="L778" s="17"/>
      <c r="M778" s="17"/>
      <c r="N778" s="18"/>
      <c r="O778" s="18"/>
    </row>
    <row r="779">
      <c r="A779" s="14"/>
      <c r="B779" s="21"/>
      <c r="C779" s="16"/>
      <c r="D779" s="16"/>
      <c r="E779" s="17"/>
      <c r="F779" s="17"/>
      <c r="G779" s="17"/>
      <c r="H779" s="17"/>
      <c r="I779" s="17"/>
      <c r="J779" s="17"/>
      <c r="K779" s="17"/>
      <c r="L779" s="17"/>
      <c r="M779" s="17"/>
      <c r="N779" s="18"/>
      <c r="O779" s="18"/>
    </row>
    <row r="780">
      <c r="A780" s="14"/>
      <c r="B780" s="21"/>
      <c r="C780" s="16"/>
      <c r="D780" s="16"/>
      <c r="E780" s="17"/>
      <c r="F780" s="17"/>
      <c r="G780" s="17"/>
      <c r="H780" s="17"/>
      <c r="I780" s="17"/>
      <c r="J780" s="17"/>
      <c r="K780" s="17"/>
      <c r="L780" s="17"/>
      <c r="M780" s="17"/>
      <c r="N780" s="18"/>
      <c r="O780" s="18"/>
    </row>
    <row r="781">
      <c r="A781" s="14"/>
      <c r="B781" s="21"/>
      <c r="C781" s="16"/>
      <c r="D781" s="16"/>
      <c r="E781" s="17"/>
      <c r="F781" s="17"/>
      <c r="G781" s="17"/>
      <c r="H781" s="17"/>
      <c r="I781" s="17"/>
      <c r="J781" s="17"/>
      <c r="K781" s="17"/>
      <c r="L781" s="17"/>
      <c r="M781" s="17"/>
      <c r="N781" s="18"/>
      <c r="O781" s="18"/>
    </row>
    <row r="782">
      <c r="A782" s="14"/>
      <c r="B782" s="21"/>
      <c r="C782" s="16"/>
      <c r="D782" s="16"/>
      <c r="E782" s="17"/>
      <c r="F782" s="17"/>
      <c r="G782" s="17"/>
      <c r="H782" s="17"/>
      <c r="I782" s="17"/>
      <c r="J782" s="17"/>
      <c r="K782" s="17"/>
      <c r="L782" s="17"/>
      <c r="M782" s="17"/>
      <c r="N782" s="18"/>
      <c r="O782" s="18"/>
    </row>
    <row r="783">
      <c r="A783" s="14"/>
      <c r="B783" s="21"/>
      <c r="C783" s="16"/>
      <c r="D783" s="16"/>
      <c r="E783" s="17"/>
      <c r="F783" s="17"/>
      <c r="G783" s="17"/>
      <c r="H783" s="17"/>
      <c r="I783" s="17"/>
      <c r="J783" s="17"/>
      <c r="K783" s="17"/>
      <c r="L783" s="17"/>
      <c r="M783" s="17"/>
      <c r="N783" s="18"/>
      <c r="O783" s="18"/>
    </row>
    <row r="784">
      <c r="A784" s="14"/>
      <c r="B784" s="21"/>
      <c r="C784" s="16"/>
      <c r="D784" s="16"/>
      <c r="E784" s="17"/>
      <c r="F784" s="17"/>
      <c r="G784" s="17"/>
      <c r="H784" s="17"/>
      <c r="I784" s="17"/>
      <c r="J784" s="17"/>
      <c r="K784" s="17"/>
      <c r="L784" s="17"/>
      <c r="M784" s="17"/>
      <c r="N784" s="18"/>
      <c r="O784" s="18"/>
    </row>
    <row r="785">
      <c r="A785" s="14"/>
      <c r="B785" s="21"/>
      <c r="C785" s="16"/>
      <c r="D785" s="16"/>
      <c r="E785" s="17"/>
      <c r="F785" s="17"/>
      <c r="G785" s="17"/>
      <c r="H785" s="17"/>
      <c r="I785" s="17"/>
      <c r="J785" s="17"/>
      <c r="K785" s="17"/>
      <c r="L785" s="17"/>
      <c r="M785" s="17"/>
      <c r="N785" s="18"/>
      <c r="O785" s="18"/>
    </row>
    <row r="786">
      <c r="A786" s="14"/>
      <c r="B786" s="21"/>
      <c r="C786" s="16"/>
      <c r="D786" s="16"/>
      <c r="E786" s="17"/>
      <c r="F786" s="17"/>
      <c r="G786" s="17"/>
      <c r="H786" s="17"/>
      <c r="I786" s="17"/>
      <c r="J786" s="17"/>
      <c r="K786" s="17"/>
      <c r="L786" s="17"/>
      <c r="M786" s="17"/>
      <c r="N786" s="18"/>
      <c r="O786" s="18"/>
    </row>
    <row r="787">
      <c r="A787" s="14"/>
      <c r="B787" s="21"/>
      <c r="C787" s="16"/>
      <c r="D787" s="16"/>
      <c r="E787" s="17"/>
      <c r="F787" s="17"/>
      <c r="G787" s="17"/>
      <c r="H787" s="17"/>
      <c r="I787" s="17"/>
      <c r="J787" s="17"/>
      <c r="K787" s="17"/>
      <c r="L787" s="17"/>
      <c r="M787" s="17"/>
      <c r="N787" s="18"/>
      <c r="O787" s="18"/>
    </row>
    <row r="788">
      <c r="A788" s="14"/>
      <c r="B788" s="21"/>
      <c r="C788" s="16"/>
      <c r="D788" s="16"/>
      <c r="E788" s="17"/>
      <c r="F788" s="17"/>
      <c r="G788" s="17"/>
      <c r="H788" s="17"/>
      <c r="I788" s="17"/>
      <c r="J788" s="17"/>
      <c r="K788" s="17"/>
      <c r="L788" s="17"/>
      <c r="M788" s="17"/>
      <c r="N788" s="18"/>
      <c r="O788" s="18"/>
    </row>
    <row r="789">
      <c r="A789" s="14"/>
      <c r="B789" s="21"/>
      <c r="C789" s="16"/>
      <c r="D789" s="16"/>
      <c r="E789" s="17"/>
      <c r="F789" s="17"/>
      <c r="G789" s="17"/>
      <c r="H789" s="17"/>
      <c r="I789" s="17"/>
      <c r="J789" s="17"/>
      <c r="K789" s="17"/>
      <c r="L789" s="17"/>
      <c r="M789" s="17"/>
      <c r="N789" s="18"/>
      <c r="O789" s="18"/>
    </row>
    <row r="790">
      <c r="A790" s="14"/>
      <c r="B790" s="21"/>
      <c r="C790" s="16"/>
      <c r="D790" s="16"/>
      <c r="E790" s="17"/>
      <c r="F790" s="17"/>
      <c r="G790" s="17"/>
      <c r="H790" s="17"/>
      <c r="I790" s="17"/>
      <c r="J790" s="17"/>
      <c r="K790" s="17"/>
      <c r="L790" s="17"/>
      <c r="M790" s="17"/>
      <c r="N790" s="18"/>
      <c r="O790" s="18"/>
    </row>
    <row r="791">
      <c r="A791" s="14"/>
      <c r="B791" s="21"/>
      <c r="C791" s="16"/>
      <c r="D791" s="16"/>
      <c r="E791" s="17"/>
      <c r="F791" s="17"/>
      <c r="G791" s="17"/>
      <c r="H791" s="17"/>
      <c r="I791" s="17"/>
      <c r="J791" s="17"/>
      <c r="K791" s="17"/>
      <c r="L791" s="17"/>
      <c r="M791" s="17"/>
      <c r="N791" s="18"/>
      <c r="O791" s="18"/>
    </row>
    <row r="792">
      <c r="A792" s="14"/>
      <c r="B792" s="21"/>
      <c r="C792" s="16"/>
      <c r="D792" s="16"/>
      <c r="E792" s="17"/>
      <c r="F792" s="17"/>
      <c r="G792" s="17"/>
      <c r="H792" s="17"/>
      <c r="I792" s="17"/>
      <c r="J792" s="17"/>
      <c r="K792" s="17"/>
      <c r="L792" s="17"/>
      <c r="M792" s="17"/>
      <c r="N792" s="18"/>
      <c r="O792" s="18"/>
    </row>
    <row r="793">
      <c r="A793" s="14"/>
      <c r="B793" s="21"/>
      <c r="C793" s="16"/>
      <c r="D793" s="16"/>
      <c r="E793" s="17"/>
      <c r="F793" s="17"/>
      <c r="G793" s="17"/>
      <c r="H793" s="17"/>
      <c r="I793" s="17"/>
      <c r="J793" s="17"/>
      <c r="K793" s="17"/>
      <c r="L793" s="17"/>
      <c r="M793" s="17"/>
      <c r="N793" s="18"/>
      <c r="O793" s="18"/>
    </row>
    <row r="794">
      <c r="A794" s="14"/>
      <c r="B794" s="21"/>
      <c r="C794" s="16"/>
      <c r="D794" s="16"/>
      <c r="E794" s="17"/>
      <c r="F794" s="17"/>
      <c r="G794" s="17"/>
      <c r="H794" s="17"/>
      <c r="I794" s="17"/>
      <c r="J794" s="17"/>
      <c r="K794" s="17"/>
      <c r="L794" s="17"/>
      <c r="M794" s="17"/>
      <c r="N794" s="18"/>
      <c r="O794" s="18"/>
    </row>
    <row r="795">
      <c r="A795" s="14"/>
      <c r="B795" s="21"/>
      <c r="C795" s="16"/>
      <c r="D795" s="16"/>
      <c r="E795" s="17"/>
      <c r="F795" s="17"/>
      <c r="G795" s="17"/>
      <c r="H795" s="17"/>
      <c r="I795" s="17"/>
      <c r="J795" s="17"/>
      <c r="K795" s="17"/>
      <c r="L795" s="17"/>
      <c r="M795" s="17"/>
      <c r="N795" s="18"/>
      <c r="O795" s="18"/>
    </row>
    <row r="796">
      <c r="A796" s="14"/>
      <c r="B796" s="21"/>
      <c r="C796" s="16"/>
      <c r="D796" s="16"/>
      <c r="E796" s="17"/>
      <c r="F796" s="17"/>
      <c r="G796" s="17"/>
      <c r="H796" s="17"/>
      <c r="I796" s="17"/>
      <c r="J796" s="17"/>
      <c r="K796" s="17"/>
      <c r="L796" s="17"/>
      <c r="M796" s="17"/>
      <c r="N796" s="18"/>
      <c r="O796" s="18"/>
    </row>
    <row r="797">
      <c r="A797" s="14"/>
      <c r="B797" s="21"/>
      <c r="C797" s="16"/>
      <c r="D797" s="16"/>
      <c r="E797" s="17"/>
      <c r="F797" s="17"/>
      <c r="G797" s="17"/>
      <c r="H797" s="17"/>
      <c r="I797" s="17"/>
      <c r="J797" s="17"/>
      <c r="K797" s="17"/>
      <c r="L797" s="17"/>
      <c r="M797" s="17"/>
      <c r="N797" s="18"/>
      <c r="O797" s="18"/>
    </row>
    <row r="798">
      <c r="A798" s="14"/>
      <c r="B798" s="21"/>
      <c r="C798" s="16"/>
      <c r="D798" s="16"/>
      <c r="E798" s="17"/>
      <c r="F798" s="17"/>
      <c r="G798" s="17"/>
      <c r="H798" s="17"/>
      <c r="I798" s="17"/>
      <c r="J798" s="17"/>
      <c r="K798" s="17"/>
      <c r="L798" s="17"/>
      <c r="M798" s="17"/>
      <c r="N798" s="18"/>
      <c r="O798" s="18"/>
    </row>
    <row r="799">
      <c r="A799" s="14"/>
      <c r="B799" s="21"/>
      <c r="C799" s="16"/>
      <c r="D799" s="16"/>
      <c r="E799" s="17"/>
      <c r="F799" s="17"/>
      <c r="G799" s="17"/>
      <c r="H799" s="17"/>
      <c r="I799" s="17"/>
      <c r="J799" s="17"/>
      <c r="K799" s="17"/>
      <c r="L799" s="17"/>
      <c r="M799" s="17"/>
      <c r="N799" s="18"/>
      <c r="O799" s="18"/>
    </row>
    <row r="800">
      <c r="A800" s="14"/>
      <c r="B800" s="21"/>
      <c r="C800" s="16"/>
      <c r="D800" s="16"/>
      <c r="E800" s="17"/>
      <c r="F800" s="17"/>
      <c r="G800" s="17"/>
      <c r="H800" s="17"/>
      <c r="I800" s="17"/>
      <c r="J800" s="17"/>
      <c r="K800" s="17"/>
      <c r="L800" s="17"/>
      <c r="M800" s="17"/>
      <c r="N800" s="18"/>
      <c r="O800" s="18"/>
    </row>
    <row r="801">
      <c r="A801" s="14"/>
      <c r="B801" s="21"/>
      <c r="C801" s="16"/>
      <c r="D801" s="16"/>
      <c r="E801" s="17"/>
      <c r="F801" s="17"/>
      <c r="G801" s="17"/>
      <c r="H801" s="17"/>
      <c r="I801" s="17"/>
      <c r="J801" s="17"/>
      <c r="K801" s="17"/>
      <c r="L801" s="17"/>
      <c r="M801" s="17"/>
      <c r="N801" s="18"/>
      <c r="O801" s="18"/>
    </row>
    <row r="802">
      <c r="A802" s="14"/>
      <c r="B802" s="21"/>
      <c r="C802" s="16"/>
      <c r="D802" s="16"/>
      <c r="E802" s="17"/>
      <c r="F802" s="17"/>
      <c r="G802" s="17"/>
      <c r="H802" s="17"/>
      <c r="I802" s="17"/>
      <c r="J802" s="17"/>
      <c r="K802" s="17"/>
      <c r="L802" s="17"/>
      <c r="M802" s="17"/>
      <c r="N802" s="18"/>
      <c r="O802" s="18"/>
    </row>
    <row r="803">
      <c r="A803" s="14"/>
      <c r="B803" s="21"/>
      <c r="C803" s="16"/>
      <c r="D803" s="16"/>
      <c r="E803" s="17"/>
      <c r="F803" s="17"/>
      <c r="G803" s="17"/>
      <c r="H803" s="17"/>
      <c r="I803" s="17"/>
      <c r="J803" s="17"/>
      <c r="K803" s="17"/>
      <c r="L803" s="17"/>
      <c r="M803" s="17"/>
      <c r="N803" s="18"/>
      <c r="O803" s="18"/>
    </row>
    <row r="804">
      <c r="A804" s="14"/>
      <c r="B804" s="21"/>
      <c r="C804" s="16"/>
      <c r="D804" s="16"/>
      <c r="E804" s="17"/>
      <c r="F804" s="17"/>
      <c r="G804" s="17"/>
      <c r="H804" s="17"/>
      <c r="I804" s="17"/>
      <c r="J804" s="17"/>
      <c r="K804" s="17"/>
      <c r="L804" s="17"/>
      <c r="M804" s="17"/>
      <c r="N804" s="18"/>
      <c r="O804" s="18"/>
    </row>
    <row r="805">
      <c r="A805" s="14"/>
      <c r="B805" s="21"/>
      <c r="C805" s="16"/>
      <c r="D805" s="16"/>
      <c r="E805" s="17"/>
      <c r="F805" s="17"/>
      <c r="G805" s="17"/>
      <c r="H805" s="17"/>
      <c r="I805" s="17"/>
      <c r="J805" s="17"/>
      <c r="K805" s="17"/>
      <c r="L805" s="17"/>
      <c r="M805" s="17"/>
      <c r="N805" s="18"/>
      <c r="O805" s="18"/>
    </row>
    <row r="806">
      <c r="A806" s="14"/>
      <c r="B806" s="21"/>
      <c r="C806" s="16"/>
      <c r="D806" s="16"/>
      <c r="E806" s="17"/>
      <c r="F806" s="17"/>
      <c r="G806" s="17"/>
      <c r="H806" s="17"/>
      <c r="I806" s="17"/>
      <c r="J806" s="17"/>
      <c r="K806" s="17"/>
      <c r="L806" s="17"/>
      <c r="M806" s="17"/>
      <c r="N806" s="18"/>
      <c r="O806" s="18"/>
    </row>
    <row r="807">
      <c r="A807" s="14"/>
      <c r="B807" s="21"/>
      <c r="C807" s="16"/>
      <c r="D807" s="16"/>
      <c r="E807" s="17"/>
      <c r="F807" s="17"/>
      <c r="G807" s="17"/>
      <c r="H807" s="17"/>
      <c r="I807" s="17"/>
      <c r="J807" s="17"/>
      <c r="K807" s="17"/>
      <c r="L807" s="17"/>
      <c r="M807" s="17"/>
      <c r="N807" s="18"/>
      <c r="O807" s="18"/>
    </row>
    <row r="808">
      <c r="A808" s="14"/>
      <c r="B808" s="21"/>
      <c r="C808" s="16"/>
      <c r="D808" s="16"/>
      <c r="E808" s="17"/>
      <c r="F808" s="17"/>
      <c r="G808" s="17"/>
      <c r="H808" s="17"/>
      <c r="I808" s="17"/>
      <c r="J808" s="17"/>
      <c r="K808" s="17"/>
      <c r="L808" s="17"/>
      <c r="M808" s="17"/>
      <c r="N808" s="18"/>
      <c r="O808" s="18"/>
    </row>
    <row r="809">
      <c r="A809" s="14"/>
      <c r="B809" s="21"/>
      <c r="C809" s="16"/>
      <c r="D809" s="16"/>
      <c r="E809" s="17"/>
      <c r="F809" s="17"/>
      <c r="G809" s="17"/>
      <c r="H809" s="17"/>
      <c r="I809" s="17"/>
      <c r="J809" s="17"/>
      <c r="K809" s="17"/>
      <c r="L809" s="17"/>
      <c r="M809" s="17"/>
      <c r="N809" s="18"/>
      <c r="O809" s="18"/>
    </row>
    <row r="810">
      <c r="A810" s="14"/>
      <c r="B810" s="21"/>
      <c r="C810" s="16"/>
      <c r="D810" s="16"/>
      <c r="E810" s="17"/>
      <c r="F810" s="17"/>
      <c r="G810" s="17"/>
      <c r="H810" s="17"/>
      <c r="I810" s="17"/>
      <c r="J810" s="17"/>
      <c r="K810" s="17"/>
      <c r="L810" s="17"/>
      <c r="M810" s="17"/>
      <c r="N810" s="18"/>
      <c r="O810" s="18"/>
    </row>
    <row r="811">
      <c r="A811" s="14"/>
      <c r="B811" s="21"/>
      <c r="C811" s="16"/>
      <c r="D811" s="16"/>
      <c r="E811" s="17"/>
      <c r="F811" s="17"/>
      <c r="G811" s="17"/>
      <c r="H811" s="17"/>
      <c r="I811" s="17"/>
      <c r="J811" s="17"/>
      <c r="K811" s="17"/>
      <c r="L811" s="17"/>
      <c r="M811" s="17"/>
      <c r="N811" s="18"/>
      <c r="O811" s="18"/>
    </row>
    <row r="812">
      <c r="A812" s="14"/>
      <c r="B812" s="21"/>
      <c r="C812" s="16"/>
      <c r="D812" s="16"/>
      <c r="E812" s="17"/>
      <c r="F812" s="17"/>
      <c r="G812" s="17"/>
      <c r="H812" s="17"/>
      <c r="I812" s="17"/>
      <c r="J812" s="17"/>
      <c r="K812" s="17"/>
      <c r="L812" s="17"/>
      <c r="M812" s="17"/>
      <c r="N812" s="18"/>
      <c r="O812" s="18"/>
    </row>
    <row r="813">
      <c r="A813" s="14"/>
      <c r="B813" s="21"/>
      <c r="C813" s="16"/>
      <c r="D813" s="16"/>
      <c r="E813" s="17"/>
      <c r="F813" s="17"/>
      <c r="G813" s="17"/>
      <c r="H813" s="17"/>
      <c r="I813" s="17"/>
      <c r="J813" s="17"/>
      <c r="K813" s="17"/>
      <c r="L813" s="17"/>
      <c r="M813" s="17"/>
      <c r="N813" s="18"/>
      <c r="O813" s="18"/>
    </row>
    <row r="814">
      <c r="A814" s="14"/>
      <c r="B814" s="21"/>
      <c r="C814" s="16"/>
      <c r="D814" s="16"/>
      <c r="E814" s="17"/>
      <c r="F814" s="17"/>
      <c r="G814" s="17"/>
      <c r="H814" s="17"/>
      <c r="I814" s="17"/>
      <c r="J814" s="17"/>
      <c r="K814" s="17"/>
      <c r="L814" s="17"/>
      <c r="M814" s="17"/>
      <c r="N814" s="18"/>
      <c r="O814" s="18"/>
    </row>
    <row r="815">
      <c r="A815" s="14"/>
      <c r="B815" s="21"/>
      <c r="C815" s="16"/>
      <c r="D815" s="16"/>
      <c r="E815" s="17"/>
      <c r="F815" s="17"/>
      <c r="G815" s="17"/>
      <c r="H815" s="17"/>
      <c r="I815" s="17"/>
      <c r="J815" s="17"/>
      <c r="K815" s="17"/>
      <c r="L815" s="17"/>
      <c r="M815" s="17"/>
      <c r="N815" s="18"/>
      <c r="O815" s="18"/>
    </row>
    <row r="816">
      <c r="A816" s="14"/>
      <c r="B816" s="21"/>
      <c r="C816" s="16"/>
      <c r="D816" s="16"/>
      <c r="E816" s="17"/>
      <c r="F816" s="17"/>
      <c r="G816" s="17"/>
      <c r="H816" s="17"/>
      <c r="I816" s="17"/>
      <c r="J816" s="17"/>
      <c r="K816" s="17"/>
      <c r="L816" s="17"/>
      <c r="M816" s="17"/>
      <c r="N816" s="18"/>
      <c r="O816" s="18"/>
    </row>
    <row r="817">
      <c r="A817" s="14"/>
      <c r="B817" s="21"/>
      <c r="C817" s="16"/>
      <c r="D817" s="16"/>
      <c r="E817" s="17"/>
      <c r="F817" s="17"/>
      <c r="G817" s="17"/>
      <c r="H817" s="17"/>
      <c r="I817" s="17"/>
      <c r="J817" s="17"/>
      <c r="K817" s="17"/>
      <c r="L817" s="17"/>
      <c r="M817" s="17"/>
      <c r="N817" s="18"/>
      <c r="O817" s="18"/>
    </row>
    <row r="818">
      <c r="A818" s="14"/>
      <c r="B818" s="21"/>
      <c r="C818" s="16"/>
      <c r="D818" s="16"/>
      <c r="E818" s="17"/>
      <c r="F818" s="17"/>
      <c r="G818" s="17"/>
      <c r="H818" s="17"/>
      <c r="I818" s="17"/>
      <c r="J818" s="17"/>
      <c r="K818" s="17"/>
      <c r="L818" s="17"/>
      <c r="M818" s="17"/>
      <c r="N818" s="18"/>
      <c r="O818" s="18"/>
    </row>
    <row r="819">
      <c r="A819" s="14"/>
      <c r="B819" s="21"/>
      <c r="C819" s="16"/>
      <c r="D819" s="16"/>
      <c r="E819" s="17"/>
      <c r="F819" s="17"/>
      <c r="G819" s="17"/>
      <c r="H819" s="17"/>
      <c r="I819" s="17"/>
      <c r="J819" s="17"/>
      <c r="K819" s="17"/>
      <c r="L819" s="17"/>
      <c r="M819" s="17"/>
      <c r="N819" s="18"/>
      <c r="O819" s="18"/>
    </row>
    <row r="820">
      <c r="A820" s="14"/>
      <c r="B820" s="21"/>
      <c r="C820" s="16"/>
      <c r="D820" s="16"/>
      <c r="E820" s="17"/>
      <c r="F820" s="17"/>
      <c r="G820" s="17"/>
      <c r="H820" s="17"/>
      <c r="I820" s="17"/>
      <c r="J820" s="17"/>
      <c r="K820" s="17"/>
      <c r="L820" s="17"/>
      <c r="M820" s="17"/>
      <c r="N820" s="18"/>
      <c r="O820" s="18"/>
    </row>
    <row r="821">
      <c r="A821" s="14"/>
      <c r="B821" s="21"/>
      <c r="C821" s="16"/>
      <c r="D821" s="16"/>
      <c r="E821" s="17"/>
      <c r="F821" s="17"/>
      <c r="G821" s="17"/>
      <c r="H821" s="17"/>
      <c r="I821" s="17"/>
      <c r="J821" s="17"/>
      <c r="K821" s="17"/>
      <c r="L821" s="17"/>
      <c r="M821" s="17"/>
      <c r="N821" s="18"/>
      <c r="O821" s="18"/>
    </row>
    <row r="822">
      <c r="A822" s="14"/>
      <c r="B822" s="21"/>
      <c r="C822" s="16"/>
      <c r="D822" s="16"/>
      <c r="E822" s="17"/>
      <c r="F822" s="17"/>
      <c r="G822" s="17"/>
      <c r="H822" s="17"/>
      <c r="I822" s="17"/>
      <c r="J822" s="17"/>
      <c r="K822" s="17"/>
      <c r="L822" s="17"/>
      <c r="M822" s="17"/>
      <c r="N822" s="18"/>
      <c r="O822" s="18"/>
    </row>
    <row r="823">
      <c r="A823" s="14"/>
      <c r="B823" s="21"/>
      <c r="C823" s="16"/>
      <c r="D823" s="16"/>
      <c r="E823" s="17"/>
      <c r="F823" s="17"/>
      <c r="G823" s="17"/>
      <c r="H823" s="17"/>
      <c r="I823" s="17"/>
      <c r="J823" s="17"/>
      <c r="K823" s="17"/>
      <c r="L823" s="17"/>
      <c r="M823" s="17"/>
      <c r="N823" s="18"/>
      <c r="O823" s="18"/>
    </row>
    <row r="824">
      <c r="A824" s="14"/>
      <c r="B824" s="21"/>
      <c r="C824" s="16"/>
      <c r="D824" s="16"/>
      <c r="E824" s="17"/>
      <c r="F824" s="17"/>
      <c r="G824" s="17"/>
      <c r="H824" s="17"/>
      <c r="I824" s="17"/>
      <c r="J824" s="17"/>
      <c r="K824" s="17"/>
      <c r="L824" s="17"/>
      <c r="M824" s="17"/>
      <c r="N824" s="18"/>
      <c r="O824" s="18"/>
    </row>
    <row r="825">
      <c r="A825" s="14"/>
      <c r="B825" s="21"/>
      <c r="C825" s="16"/>
      <c r="D825" s="16"/>
      <c r="E825" s="17"/>
      <c r="F825" s="17"/>
      <c r="G825" s="17"/>
      <c r="H825" s="17"/>
      <c r="I825" s="17"/>
      <c r="J825" s="17"/>
      <c r="K825" s="17"/>
      <c r="L825" s="17"/>
      <c r="M825" s="17"/>
      <c r="N825" s="18"/>
      <c r="O825" s="18"/>
    </row>
    <row r="826">
      <c r="A826" s="14"/>
      <c r="B826" s="21"/>
      <c r="C826" s="16"/>
      <c r="D826" s="16"/>
      <c r="E826" s="17"/>
      <c r="F826" s="17"/>
      <c r="G826" s="17"/>
      <c r="H826" s="17"/>
      <c r="I826" s="17"/>
      <c r="J826" s="17"/>
      <c r="K826" s="17"/>
      <c r="L826" s="17"/>
      <c r="M826" s="17"/>
      <c r="N826" s="18"/>
      <c r="O826" s="18"/>
    </row>
    <row r="827">
      <c r="A827" s="14"/>
      <c r="B827" s="21"/>
      <c r="C827" s="16"/>
      <c r="D827" s="16"/>
      <c r="E827" s="17"/>
      <c r="F827" s="17"/>
      <c r="G827" s="17"/>
      <c r="H827" s="17"/>
      <c r="I827" s="17"/>
      <c r="J827" s="17"/>
      <c r="K827" s="17"/>
      <c r="L827" s="17"/>
      <c r="M827" s="17"/>
      <c r="N827" s="18"/>
      <c r="O827" s="18"/>
    </row>
    <row r="828">
      <c r="A828" s="14"/>
      <c r="B828" s="21"/>
      <c r="C828" s="16"/>
      <c r="D828" s="16"/>
      <c r="E828" s="17"/>
      <c r="F828" s="17"/>
      <c r="G828" s="17"/>
      <c r="H828" s="17"/>
      <c r="I828" s="17"/>
      <c r="J828" s="17"/>
      <c r="K828" s="17"/>
      <c r="L828" s="17"/>
      <c r="M828" s="17"/>
      <c r="N828" s="18"/>
      <c r="O828" s="18"/>
    </row>
    <row r="829">
      <c r="A829" s="14"/>
      <c r="B829" s="21"/>
      <c r="C829" s="16"/>
      <c r="D829" s="16"/>
      <c r="E829" s="17"/>
      <c r="F829" s="17"/>
      <c r="G829" s="17"/>
      <c r="H829" s="17"/>
      <c r="I829" s="17"/>
      <c r="J829" s="17"/>
      <c r="K829" s="17"/>
      <c r="L829" s="17"/>
      <c r="M829" s="17"/>
      <c r="N829" s="18"/>
      <c r="O829" s="18"/>
    </row>
    <row r="830">
      <c r="A830" s="14"/>
      <c r="B830" s="21"/>
      <c r="C830" s="16"/>
      <c r="D830" s="16"/>
      <c r="E830" s="17"/>
      <c r="F830" s="17"/>
      <c r="G830" s="17"/>
      <c r="H830" s="17"/>
      <c r="I830" s="17"/>
      <c r="J830" s="17"/>
      <c r="K830" s="17"/>
      <c r="L830" s="17"/>
      <c r="M830" s="17"/>
      <c r="N830" s="18"/>
      <c r="O830" s="18"/>
    </row>
    <row r="831">
      <c r="A831" s="14"/>
      <c r="B831" s="21"/>
      <c r="C831" s="16"/>
      <c r="D831" s="16"/>
      <c r="E831" s="17"/>
      <c r="F831" s="17"/>
      <c r="G831" s="17"/>
      <c r="H831" s="17"/>
      <c r="I831" s="17"/>
      <c r="J831" s="17"/>
      <c r="K831" s="17"/>
      <c r="L831" s="17"/>
      <c r="M831" s="17"/>
      <c r="N831" s="18"/>
      <c r="O831" s="18"/>
    </row>
    <row r="832">
      <c r="A832" s="14"/>
      <c r="B832" s="21"/>
      <c r="C832" s="16"/>
      <c r="D832" s="16"/>
      <c r="E832" s="17"/>
      <c r="F832" s="17"/>
      <c r="G832" s="17"/>
      <c r="H832" s="17"/>
      <c r="I832" s="17"/>
      <c r="J832" s="17"/>
      <c r="K832" s="17"/>
      <c r="L832" s="17"/>
      <c r="M832" s="17"/>
      <c r="N832" s="18"/>
      <c r="O832" s="18"/>
    </row>
    <row r="833">
      <c r="A833" s="14"/>
      <c r="B833" s="21"/>
      <c r="C833" s="16"/>
      <c r="D833" s="16"/>
      <c r="E833" s="17"/>
      <c r="F833" s="17"/>
      <c r="G833" s="17"/>
      <c r="H833" s="17"/>
      <c r="I833" s="17"/>
      <c r="J833" s="17"/>
      <c r="K833" s="17"/>
      <c r="L833" s="17"/>
      <c r="M833" s="17"/>
      <c r="N833" s="18"/>
      <c r="O833" s="18"/>
    </row>
    <row r="834">
      <c r="A834" s="14"/>
      <c r="B834" s="21"/>
      <c r="C834" s="16"/>
      <c r="D834" s="16"/>
      <c r="E834" s="17"/>
      <c r="F834" s="17"/>
      <c r="G834" s="17"/>
      <c r="H834" s="17"/>
      <c r="I834" s="17"/>
      <c r="J834" s="17"/>
      <c r="K834" s="17"/>
      <c r="L834" s="17"/>
      <c r="M834" s="17"/>
      <c r="N834" s="18"/>
      <c r="O834" s="18"/>
    </row>
    <row r="835">
      <c r="A835" s="14"/>
      <c r="B835" s="21"/>
      <c r="C835" s="16"/>
      <c r="D835" s="16"/>
      <c r="E835" s="17"/>
      <c r="F835" s="17"/>
      <c r="G835" s="17"/>
      <c r="H835" s="17"/>
      <c r="I835" s="17"/>
      <c r="J835" s="17"/>
      <c r="K835" s="17"/>
      <c r="L835" s="17"/>
      <c r="M835" s="17"/>
      <c r="N835" s="18"/>
      <c r="O835" s="18"/>
    </row>
    <row r="836">
      <c r="A836" s="14"/>
      <c r="B836" s="21"/>
      <c r="C836" s="16"/>
      <c r="D836" s="16"/>
      <c r="E836" s="17"/>
      <c r="F836" s="17"/>
      <c r="G836" s="17"/>
      <c r="H836" s="17"/>
      <c r="I836" s="17"/>
      <c r="J836" s="17"/>
      <c r="K836" s="17"/>
      <c r="L836" s="17"/>
      <c r="M836" s="17"/>
      <c r="N836" s="18"/>
      <c r="O836" s="18"/>
    </row>
    <row r="837">
      <c r="A837" s="14"/>
      <c r="B837" s="21"/>
      <c r="C837" s="16"/>
      <c r="D837" s="16"/>
      <c r="E837" s="17"/>
      <c r="F837" s="17"/>
      <c r="G837" s="17"/>
      <c r="H837" s="17"/>
      <c r="I837" s="17"/>
      <c r="J837" s="17"/>
      <c r="K837" s="17"/>
      <c r="L837" s="17"/>
      <c r="M837" s="17"/>
      <c r="N837" s="18"/>
      <c r="O837" s="18"/>
    </row>
    <row r="838">
      <c r="A838" s="14"/>
      <c r="B838" s="21"/>
      <c r="C838" s="16"/>
      <c r="D838" s="16"/>
      <c r="E838" s="17"/>
      <c r="F838" s="17"/>
      <c r="G838" s="17"/>
      <c r="H838" s="17"/>
      <c r="I838" s="17"/>
      <c r="J838" s="17"/>
      <c r="K838" s="17"/>
      <c r="L838" s="17"/>
      <c r="M838" s="17"/>
      <c r="N838" s="18"/>
      <c r="O838" s="18"/>
    </row>
    <row r="839">
      <c r="A839" s="14"/>
      <c r="B839" s="21"/>
      <c r="C839" s="16"/>
      <c r="D839" s="16"/>
      <c r="E839" s="17"/>
      <c r="F839" s="17"/>
      <c r="G839" s="17"/>
      <c r="H839" s="17"/>
      <c r="I839" s="17"/>
      <c r="J839" s="17"/>
      <c r="K839" s="17"/>
      <c r="L839" s="17"/>
      <c r="M839" s="17"/>
      <c r="N839" s="18"/>
      <c r="O839" s="18"/>
    </row>
    <row r="840">
      <c r="A840" s="14"/>
      <c r="B840" s="21"/>
      <c r="C840" s="16"/>
      <c r="D840" s="16"/>
      <c r="E840" s="17"/>
      <c r="F840" s="17"/>
      <c r="G840" s="17"/>
      <c r="H840" s="17"/>
      <c r="I840" s="17"/>
      <c r="J840" s="17"/>
      <c r="K840" s="17"/>
      <c r="L840" s="17"/>
      <c r="M840" s="17"/>
      <c r="N840" s="18"/>
      <c r="O840" s="18"/>
    </row>
    <row r="841">
      <c r="A841" s="14"/>
      <c r="B841" s="21"/>
      <c r="C841" s="16"/>
      <c r="D841" s="16"/>
      <c r="E841" s="17"/>
      <c r="F841" s="17"/>
      <c r="G841" s="17"/>
      <c r="H841" s="17"/>
      <c r="I841" s="17"/>
      <c r="J841" s="17"/>
      <c r="K841" s="17"/>
      <c r="L841" s="17"/>
      <c r="M841" s="17"/>
      <c r="N841" s="18"/>
      <c r="O841" s="18"/>
    </row>
    <row r="842">
      <c r="A842" s="14"/>
      <c r="B842" s="21"/>
      <c r="C842" s="16"/>
      <c r="D842" s="16"/>
      <c r="E842" s="17"/>
      <c r="F842" s="17"/>
      <c r="G842" s="17"/>
      <c r="H842" s="17"/>
      <c r="I842" s="17"/>
      <c r="J842" s="17"/>
      <c r="K842" s="17"/>
      <c r="L842" s="17"/>
      <c r="M842" s="17"/>
      <c r="N842" s="18"/>
      <c r="O842" s="18"/>
    </row>
    <row r="843">
      <c r="A843" s="14"/>
      <c r="B843" s="21"/>
      <c r="C843" s="16"/>
      <c r="D843" s="16"/>
      <c r="E843" s="17"/>
      <c r="F843" s="17"/>
      <c r="G843" s="17"/>
      <c r="H843" s="17"/>
      <c r="I843" s="17"/>
      <c r="J843" s="17"/>
      <c r="K843" s="17"/>
      <c r="L843" s="17"/>
      <c r="M843" s="17"/>
      <c r="N843" s="18"/>
      <c r="O843" s="18"/>
    </row>
    <row r="844">
      <c r="A844" s="14"/>
      <c r="B844" s="21"/>
      <c r="C844" s="16"/>
      <c r="D844" s="16"/>
      <c r="E844" s="17"/>
      <c r="F844" s="17"/>
      <c r="G844" s="17"/>
      <c r="H844" s="17"/>
      <c r="I844" s="17"/>
      <c r="J844" s="17"/>
      <c r="K844" s="17"/>
      <c r="L844" s="17"/>
      <c r="M844" s="17"/>
      <c r="N844" s="18"/>
      <c r="O844" s="18"/>
    </row>
    <row r="845">
      <c r="A845" s="14"/>
      <c r="B845" s="21"/>
      <c r="C845" s="16"/>
      <c r="D845" s="16"/>
      <c r="E845" s="17"/>
      <c r="F845" s="17"/>
      <c r="G845" s="17"/>
      <c r="H845" s="17"/>
      <c r="I845" s="17"/>
      <c r="J845" s="17"/>
      <c r="K845" s="17"/>
      <c r="L845" s="17"/>
      <c r="M845" s="17"/>
      <c r="N845" s="18"/>
      <c r="O845" s="18"/>
    </row>
    <row r="846">
      <c r="A846" s="14"/>
      <c r="B846" s="21"/>
      <c r="C846" s="16"/>
      <c r="D846" s="16"/>
      <c r="E846" s="17"/>
      <c r="F846" s="17"/>
      <c r="G846" s="17"/>
      <c r="H846" s="17"/>
      <c r="I846" s="17"/>
      <c r="J846" s="17"/>
      <c r="K846" s="17"/>
      <c r="L846" s="17"/>
      <c r="M846" s="17"/>
      <c r="N846" s="18"/>
      <c r="O846" s="18"/>
    </row>
    <row r="847">
      <c r="A847" s="14"/>
      <c r="B847" s="21"/>
      <c r="C847" s="16"/>
      <c r="D847" s="16"/>
      <c r="E847" s="17"/>
      <c r="F847" s="17"/>
      <c r="G847" s="17"/>
      <c r="H847" s="17"/>
      <c r="I847" s="17"/>
      <c r="J847" s="17"/>
      <c r="K847" s="17"/>
      <c r="L847" s="17"/>
      <c r="M847" s="17"/>
      <c r="N847" s="18"/>
      <c r="O847" s="18"/>
    </row>
    <row r="848">
      <c r="A848" s="14"/>
      <c r="B848" s="21"/>
      <c r="C848" s="16"/>
      <c r="D848" s="16"/>
      <c r="E848" s="17"/>
      <c r="F848" s="17"/>
      <c r="G848" s="17"/>
      <c r="H848" s="17"/>
      <c r="I848" s="17"/>
      <c r="J848" s="17"/>
      <c r="K848" s="17"/>
      <c r="L848" s="17"/>
      <c r="M848" s="17"/>
      <c r="N848" s="18"/>
      <c r="O848" s="18"/>
    </row>
    <row r="849">
      <c r="A849" s="14"/>
      <c r="B849" s="21"/>
      <c r="C849" s="16"/>
      <c r="D849" s="16"/>
      <c r="E849" s="17"/>
      <c r="F849" s="17"/>
      <c r="G849" s="17"/>
      <c r="H849" s="17"/>
      <c r="I849" s="17"/>
      <c r="J849" s="17"/>
      <c r="K849" s="17"/>
      <c r="L849" s="17"/>
      <c r="M849" s="17"/>
      <c r="N849" s="18"/>
      <c r="O849" s="18"/>
    </row>
    <row r="850">
      <c r="A850" s="14"/>
      <c r="B850" s="21"/>
      <c r="C850" s="16"/>
      <c r="D850" s="16"/>
      <c r="E850" s="17"/>
      <c r="F850" s="17"/>
      <c r="G850" s="17"/>
      <c r="H850" s="17"/>
      <c r="I850" s="17"/>
      <c r="J850" s="17"/>
      <c r="K850" s="17"/>
      <c r="L850" s="17"/>
      <c r="M850" s="17"/>
      <c r="N850" s="18"/>
      <c r="O850" s="18"/>
    </row>
    <row r="851">
      <c r="A851" s="14"/>
      <c r="B851" s="21"/>
      <c r="C851" s="16"/>
      <c r="D851" s="16"/>
      <c r="E851" s="17"/>
      <c r="F851" s="17"/>
      <c r="G851" s="17"/>
      <c r="H851" s="17"/>
      <c r="I851" s="17"/>
      <c r="J851" s="17"/>
      <c r="K851" s="17"/>
      <c r="L851" s="17"/>
      <c r="M851" s="17"/>
      <c r="N851" s="18"/>
      <c r="O851" s="18"/>
    </row>
    <row r="852">
      <c r="A852" s="14"/>
      <c r="B852" s="21"/>
      <c r="C852" s="16"/>
      <c r="D852" s="16"/>
      <c r="E852" s="17"/>
      <c r="F852" s="17"/>
      <c r="G852" s="17"/>
      <c r="H852" s="17"/>
      <c r="I852" s="17"/>
      <c r="J852" s="17"/>
      <c r="K852" s="17"/>
      <c r="L852" s="17"/>
      <c r="M852" s="17"/>
      <c r="N852" s="18"/>
      <c r="O852" s="18"/>
    </row>
    <row r="853">
      <c r="A853" s="14"/>
      <c r="B853" s="21"/>
      <c r="C853" s="16"/>
      <c r="D853" s="16"/>
      <c r="E853" s="17"/>
      <c r="F853" s="17"/>
      <c r="G853" s="17"/>
      <c r="H853" s="17"/>
      <c r="I853" s="17"/>
      <c r="J853" s="17"/>
      <c r="K853" s="17"/>
      <c r="L853" s="17"/>
      <c r="M853" s="17"/>
      <c r="N853" s="18"/>
      <c r="O853" s="18"/>
    </row>
    <row r="854">
      <c r="A854" s="14"/>
      <c r="B854" s="21"/>
      <c r="C854" s="16"/>
      <c r="D854" s="16"/>
      <c r="E854" s="17"/>
      <c r="F854" s="17"/>
      <c r="G854" s="17"/>
      <c r="H854" s="17"/>
      <c r="I854" s="17"/>
      <c r="J854" s="17"/>
      <c r="K854" s="17"/>
      <c r="L854" s="17"/>
      <c r="M854" s="17"/>
      <c r="N854" s="18"/>
      <c r="O854" s="18"/>
    </row>
    <row r="855">
      <c r="A855" s="14"/>
      <c r="B855" s="21"/>
      <c r="C855" s="16"/>
      <c r="D855" s="16"/>
      <c r="E855" s="17"/>
      <c r="F855" s="17"/>
      <c r="G855" s="17"/>
      <c r="H855" s="17"/>
      <c r="I855" s="17"/>
      <c r="J855" s="17"/>
      <c r="K855" s="17"/>
      <c r="L855" s="17"/>
      <c r="M855" s="17"/>
      <c r="N855" s="18"/>
      <c r="O855" s="18"/>
    </row>
    <row r="856">
      <c r="A856" s="14"/>
      <c r="B856" s="21"/>
      <c r="C856" s="16"/>
      <c r="D856" s="16"/>
      <c r="E856" s="17"/>
      <c r="F856" s="17"/>
      <c r="G856" s="17"/>
      <c r="H856" s="17"/>
      <c r="I856" s="17"/>
      <c r="J856" s="17"/>
      <c r="K856" s="17"/>
      <c r="L856" s="17"/>
      <c r="M856" s="17"/>
      <c r="N856" s="18"/>
      <c r="O856" s="18"/>
    </row>
    <row r="857">
      <c r="A857" s="14"/>
      <c r="B857" s="21"/>
      <c r="C857" s="16"/>
      <c r="D857" s="16"/>
      <c r="E857" s="17"/>
      <c r="F857" s="17"/>
      <c r="G857" s="17"/>
      <c r="H857" s="17"/>
      <c r="I857" s="17"/>
      <c r="J857" s="17"/>
      <c r="K857" s="17"/>
      <c r="L857" s="17"/>
      <c r="M857" s="17"/>
      <c r="N857" s="18"/>
      <c r="O857" s="18"/>
    </row>
    <row r="858">
      <c r="A858" s="14"/>
      <c r="B858" s="21"/>
      <c r="C858" s="16"/>
      <c r="D858" s="16"/>
      <c r="E858" s="17"/>
      <c r="F858" s="17"/>
      <c r="G858" s="17"/>
      <c r="H858" s="17"/>
      <c r="I858" s="17"/>
      <c r="J858" s="17"/>
      <c r="K858" s="17"/>
      <c r="L858" s="17"/>
      <c r="M858" s="17"/>
      <c r="N858" s="18"/>
      <c r="O858" s="18"/>
    </row>
    <row r="859">
      <c r="A859" s="14"/>
      <c r="B859" s="21"/>
      <c r="C859" s="16"/>
      <c r="D859" s="16"/>
      <c r="E859" s="17"/>
      <c r="F859" s="17"/>
      <c r="G859" s="17"/>
      <c r="H859" s="17"/>
      <c r="I859" s="17"/>
      <c r="J859" s="17"/>
      <c r="K859" s="17"/>
      <c r="L859" s="17"/>
      <c r="M859" s="17"/>
      <c r="N859" s="18"/>
      <c r="O859" s="18"/>
    </row>
    <row r="860">
      <c r="A860" s="14"/>
      <c r="B860" s="21"/>
      <c r="C860" s="16"/>
      <c r="D860" s="16"/>
      <c r="E860" s="17"/>
      <c r="F860" s="17"/>
      <c r="G860" s="17"/>
      <c r="H860" s="17"/>
      <c r="I860" s="17"/>
      <c r="J860" s="17"/>
      <c r="K860" s="17"/>
      <c r="L860" s="17"/>
      <c r="M860" s="17"/>
      <c r="N860" s="18"/>
      <c r="O860" s="18"/>
    </row>
    <row r="861">
      <c r="A861" s="14"/>
      <c r="B861" s="21"/>
      <c r="C861" s="16"/>
      <c r="D861" s="16"/>
      <c r="E861" s="17"/>
      <c r="F861" s="17"/>
      <c r="G861" s="17"/>
      <c r="H861" s="17"/>
      <c r="I861" s="17"/>
      <c r="J861" s="17"/>
      <c r="K861" s="17"/>
      <c r="L861" s="17"/>
      <c r="M861" s="17"/>
      <c r="N861" s="18"/>
      <c r="O861" s="18"/>
    </row>
    <row r="862">
      <c r="A862" s="14"/>
      <c r="B862" s="21"/>
      <c r="C862" s="16"/>
      <c r="D862" s="16"/>
      <c r="E862" s="17"/>
      <c r="F862" s="17"/>
      <c r="G862" s="17"/>
      <c r="H862" s="17"/>
      <c r="I862" s="17"/>
      <c r="J862" s="17"/>
      <c r="K862" s="17"/>
      <c r="L862" s="17"/>
      <c r="M862" s="17"/>
      <c r="N862" s="18"/>
      <c r="O862" s="18"/>
    </row>
    <row r="863">
      <c r="A863" s="14"/>
      <c r="B863" s="21"/>
      <c r="C863" s="16"/>
      <c r="D863" s="16"/>
      <c r="E863" s="17"/>
      <c r="F863" s="17"/>
      <c r="G863" s="17"/>
      <c r="H863" s="17"/>
      <c r="I863" s="17"/>
      <c r="J863" s="17"/>
      <c r="K863" s="17"/>
      <c r="L863" s="17"/>
      <c r="M863" s="17"/>
      <c r="N863" s="18"/>
      <c r="O863" s="18"/>
    </row>
    <row r="864">
      <c r="A864" s="14"/>
      <c r="B864" s="21"/>
      <c r="C864" s="16"/>
      <c r="D864" s="16"/>
      <c r="E864" s="17"/>
      <c r="F864" s="17"/>
      <c r="G864" s="17"/>
      <c r="H864" s="17"/>
      <c r="I864" s="17"/>
      <c r="J864" s="17"/>
      <c r="K864" s="17"/>
      <c r="L864" s="17"/>
      <c r="M864" s="17"/>
      <c r="N864" s="18"/>
      <c r="O864" s="18"/>
    </row>
    <row r="865">
      <c r="A865" s="14"/>
      <c r="B865" s="21"/>
      <c r="C865" s="16"/>
      <c r="D865" s="16"/>
      <c r="E865" s="17"/>
      <c r="F865" s="17"/>
      <c r="G865" s="17"/>
      <c r="H865" s="17"/>
      <c r="I865" s="17"/>
      <c r="J865" s="17"/>
      <c r="K865" s="17"/>
      <c r="L865" s="17"/>
      <c r="M865" s="17"/>
      <c r="N865" s="18"/>
      <c r="O865" s="18"/>
    </row>
    <row r="866">
      <c r="A866" s="14"/>
      <c r="B866" s="21"/>
      <c r="C866" s="16"/>
      <c r="D866" s="16"/>
      <c r="E866" s="17"/>
      <c r="F866" s="17"/>
      <c r="G866" s="17"/>
      <c r="H866" s="17"/>
      <c r="I866" s="17"/>
      <c r="J866" s="17"/>
      <c r="K866" s="17"/>
      <c r="L866" s="17"/>
      <c r="M866" s="17"/>
      <c r="N866" s="18"/>
      <c r="O866" s="18"/>
    </row>
    <row r="867">
      <c r="A867" s="14"/>
      <c r="B867" s="21"/>
      <c r="C867" s="16"/>
      <c r="D867" s="16"/>
      <c r="E867" s="17"/>
      <c r="F867" s="17"/>
      <c r="G867" s="17"/>
      <c r="H867" s="17"/>
      <c r="I867" s="17"/>
      <c r="J867" s="17"/>
      <c r="K867" s="17"/>
      <c r="L867" s="17"/>
      <c r="M867" s="17"/>
      <c r="N867" s="18"/>
      <c r="O867" s="18"/>
    </row>
    <row r="868">
      <c r="A868" s="14"/>
      <c r="B868" s="21"/>
      <c r="C868" s="16"/>
      <c r="D868" s="16"/>
      <c r="E868" s="17"/>
      <c r="F868" s="17"/>
      <c r="G868" s="17"/>
      <c r="H868" s="17"/>
      <c r="I868" s="17"/>
      <c r="J868" s="17"/>
      <c r="K868" s="17"/>
      <c r="L868" s="17"/>
      <c r="M868" s="17"/>
      <c r="N868" s="18"/>
      <c r="O868" s="18"/>
    </row>
    <row r="869">
      <c r="A869" s="14"/>
      <c r="B869" s="21"/>
      <c r="C869" s="16"/>
      <c r="D869" s="16"/>
      <c r="E869" s="17"/>
      <c r="F869" s="17"/>
      <c r="G869" s="17"/>
      <c r="H869" s="17"/>
      <c r="I869" s="17"/>
      <c r="J869" s="17"/>
      <c r="K869" s="17"/>
      <c r="L869" s="17"/>
      <c r="M869" s="17"/>
      <c r="N869" s="18"/>
      <c r="O869" s="18"/>
    </row>
    <row r="870">
      <c r="A870" s="14"/>
      <c r="B870" s="21"/>
      <c r="C870" s="16"/>
      <c r="D870" s="16"/>
      <c r="E870" s="17"/>
      <c r="F870" s="17"/>
      <c r="G870" s="17"/>
      <c r="H870" s="17"/>
      <c r="I870" s="17"/>
      <c r="J870" s="17"/>
      <c r="K870" s="17"/>
      <c r="L870" s="17"/>
      <c r="M870" s="17"/>
      <c r="N870" s="18"/>
      <c r="O870" s="18"/>
    </row>
    <row r="871">
      <c r="A871" s="14"/>
      <c r="B871" s="21"/>
      <c r="C871" s="16"/>
      <c r="D871" s="16"/>
      <c r="E871" s="17"/>
      <c r="F871" s="17"/>
      <c r="G871" s="17"/>
      <c r="H871" s="17"/>
      <c r="I871" s="17"/>
      <c r="J871" s="17"/>
      <c r="K871" s="17"/>
      <c r="L871" s="17"/>
      <c r="M871" s="17"/>
      <c r="N871" s="18"/>
      <c r="O871" s="18"/>
    </row>
    <row r="872">
      <c r="A872" s="14"/>
      <c r="B872" s="21"/>
      <c r="C872" s="16"/>
      <c r="D872" s="16"/>
      <c r="E872" s="17"/>
      <c r="F872" s="17"/>
      <c r="G872" s="17"/>
      <c r="H872" s="17"/>
      <c r="I872" s="17"/>
      <c r="J872" s="17"/>
      <c r="K872" s="17"/>
      <c r="L872" s="17"/>
      <c r="M872" s="17"/>
      <c r="N872" s="18"/>
      <c r="O872" s="18"/>
    </row>
    <row r="873">
      <c r="A873" s="14"/>
      <c r="B873" s="21"/>
      <c r="C873" s="16"/>
      <c r="D873" s="16"/>
      <c r="E873" s="17"/>
      <c r="F873" s="17"/>
      <c r="G873" s="17"/>
      <c r="H873" s="17"/>
      <c r="I873" s="17"/>
      <c r="J873" s="17"/>
      <c r="K873" s="17"/>
      <c r="L873" s="17"/>
      <c r="M873" s="17"/>
      <c r="N873" s="18"/>
      <c r="O873" s="18"/>
    </row>
    <row r="874">
      <c r="A874" s="14"/>
      <c r="B874" s="21"/>
      <c r="C874" s="16"/>
      <c r="D874" s="16"/>
      <c r="E874" s="17"/>
      <c r="F874" s="17"/>
      <c r="G874" s="17"/>
      <c r="H874" s="17"/>
      <c r="I874" s="17"/>
      <c r="J874" s="17"/>
      <c r="K874" s="17"/>
      <c r="L874" s="17"/>
      <c r="M874" s="17"/>
      <c r="N874" s="18"/>
      <c r="O874" s="18"/>
    </row>
    <row r="875">
      <c r="A875" s="14"/>
      <c r="B875" s="21"/>
      <c r="C875" s="16"/>
      <c r="D875" s="16"/>
      <c r="E875" s="17"/>
      <c r="F875" s="17"/>
      <c r="G875" s="17"/>
      <c r="H875" s="17"/>
      <c r="I875" s="17"/>
      <c r="J875" s="17"/>
      <c r="K875" s="17"/>
      <c r="L875" s="17"/>
      <c r="M875" s="17"/>
      <c r="N875" s="18"/>
      <c r="O875" s="18"/>
    </row>
    <row r="876">
      <c r="A876" s="14"/>
      <c r="B876" s="21"/>
      <c r="C876" s="16"/>
      <c r="D876" s="16"/>
      <c r="E876" s="17"/>
      <c r="F876" s="17"/>
      <c r="G876" s="17"/>
      <c r="H876" s="17"/>
      <c r="I876" s="17"/>
      <c r="J876" s="17"/>
      <c r="K876" s="17"/>
      <c r="L876" s="17"/>
      <c r="M876" s="17"/>
      <c r="N876" s="18"/>
      <c r="O876" s="18"/>
    </row>
    <row r="877">
      <c r="A877" s="14"/>
      <c r="B877" s="21"/>
      <c r="C877" s="16"/>
      <c r="D877" s="16"/>
      <c r="E877" s="17"/>
      <c r="F877" s="17"/>
      <c r="G877" s="17"/>
      <c r="H877" s="17"/>
      <c r="I877" s="17"/>
      <c r="J877" s="17"/>
      <c r="K877" s="17"/>
      <c r="L877" s="17"/>
      <c r="M877" s="17"/>
      <c r="N877" s="18"/>
      <c r="O877" s="18"/>
    </row>
    <row r="878">
      <c r="A878" s="14"/>
      <c r="B878" s="21"/>
      <c r="C878" s="16"/>
      <c r="D878" s="16"/>
      <c r="E878" s="17"/>
      <c r="F878" s="17"/>
      <c r="G878" s="17"/>
      <c r="H878" s="17"/>
      <c r="I878" s="17"/>
      <c r="J878" s="17"/>
      <c r="K878" s="17"/>
      <c r="L878" s="17"/>
      <c r="M878" s="17"/>
      <c r="N878" s="18"/>
      <c r="O878" s="18"/>
    </row>
    <row r="879">
      <c r="A879" s="14"/>
      <c r="B879" s="21"/>
      <c r="C879" s="16"/>
      <c r="D879" s="16"/>
      <c r="E879" s="17"/>
      <c r="F879" s="17"/>
      <c r="G879" s="17"/>
      <c r="H879" s="17"/>
      <c r="I879" s="17"/>
      <c r="J879" s="17"/>
      <c r="K879" s="17"/>
      <c r="L879" s="17"/>
      <c r="M879" s="17"/>
      <c r="N879" s="18"/>
      <c r="O879" s="18"/>
    </row>
    <row r="880">
      <c r="A880" s="14"/>
      <c r="B880" s="21"/>
      <c r="C880" s="16"/>
      <c r="D880" s="16"/>
      <c r="E880" s="17"/>
      <c r="F880" s="17"/>
      <c r="G880" s="17"/>
      <c r="H880" s="17"/>
      <c r="I880" s="17"/>
      <c r="J880" s="17"/>
      <c r="K880" s="17"/>
      <c r="L880" s="17"/>
      <c r="M880" s="17"/>
      <c r="N880" s="18"/>
      <c r="O880" s="18"/>
    </row>
    <row r="881">
      <c r="A881" s="14"/>
      <c r="B881" s="21"/>
      <c r="C881" s="16"/>
      <c r="D881" s="16"/>
      <c r="E881" s="17"/>
      <c r="F881" s="17"/>
      <c r="G881" s="17"/>
      <c r="H881" s="17"/>
      <c r="I881" s="17"/>
      <c r="J881" s="17"/>
      <c r="K881" s="17"/>
      <c r="L881" s="17"/>
      <c r="M881" s="17"/>
      <c r="N881" s="18"/>
      <c r="O881" s="18"/>
    </row>
    <row r="882">
      <c r="A882" s="14"/>
      <c r="B882" s="21"/>
      <c r="C882" s="16"/>
      <c r="D882" s="16"/>
      <c r="E882" s="17"/>
      <c r="F882" s="17"/>
      <c r="G882" s="17"/>
      <c r="H882" s="17"/>
      <c r="I882" s="17"/>
      <c r="J882" s="17"/>
      <c r="K882" s="17"/>
      <c r="L882" s="17"/>
      <c r="M882" s="17"/>
      <c r="N882" s="18"/>
      <c r="O882" s="18"/>
    </row>
    <row r="883">
      <c r="A883" s="14"/>
      <c r="B883" s="21"/>
      <c r="C883" s="16"/>
      <c r="D883" s="16"/>
      <c r="E883" s="17"/>
      <c r="F883" s="17"/>
      <c r="G883" s="17"/>
      <c r="H883" s="17"/>
      <c r="I883" s="17"/>
      <c r="J883" s="17"/>
      <c r="K883" s="17"/>
      <c r="L883" s="17"/>
      <c r="M883" s="17"/>
      <c r="N883" s="18"/>
      <c r="O883" s="18"/>
    </row>
    <row r="884">
      <c r="A884" s="14"/>
      <c r="B884" s="21"/>
      <c r="C884" s="16"/>
      <c r="D884" s="16"/>
      <c r="E884" s="17"/>
      <c r="F884" s="17"/>
      <c r="G884" s="17"/>
      <c r="H884" s="17"/>
      <c r="I884" s="17"/>
      <c r="J884" s="17"/>
      <c r="K884" s="17"/>
      <c r="L884" s="17"/>
      <c r="M884" s="17"/>
      <c r="N884" s="18"/>
      <c r="O884" s="18"/>
    </row>
    <row r="885">
      <c r="A885" s="14"/>
      <c r="B885" s="21"/>
      <c r="C885" s="16"/>
      <c r="D885" s="16"/>
      <c r="E885" s="17"/>
      <c r="F885" s="17"/>
      <c r="G885" s="17"/>
      <c r="H885" s="17"/>
      <c r="I885" s="17"/>
      <c r="J885" s="17"/>
      <c r="K885" s="17"/>
      <c r="L885" s="17"/>
      <c r="M885" s="17"/>
      <c r="N885" s="18"/>
      <c r="O885" s="18"/>
    </row>
    <row r="886">
      <c r="A886" s="14"/>
      <c r="B886" s="21"/>
      <c r="C886" s="16"/>
      <c r="D886" s="16"/>
      <c r="E886" s="17"/>
      <c r="F886" s="17"/>
      <c r="G886" s="17"/>
      <c r="H886" s="17"/>
      <c r="I886" s="17"/>
      <c r="J886" s="17"/>
      <c r="K886" s="17"/>
      <c r="L886" s="17"/>
      <c r="M886" s="17"/>
      <c r="N886" s="18"/>
      <c r="O886" s="18"/>
    </row>
    <row r="887">
      <c r="A887" s="14"/>
      <c r="B887" s="21"/>
      <c r="C887" s="16"/>
      <c r="D887" s="16"/>
      <c r="E887" s="17"/>
      <c r="F887" s="17"/>
      <c r="G887" s="17"/>
      <c r="H887" s="17"/>
      <c r="I887" s="17"/>
      <c r="J887" s="17"/>
      <c r="K887" s="17"/>
      <c r="L887" s="17"/>
      <c r="M887" s="17"/>
      <c r="N887" s="18"/>
      <c r="O887" s="18"/>
    </row>
    <row r="888">
      <c r="A888" s="14"/>
      <c r="B888" s="21"/>
      <c r="C888" s="16"/>
      <c r="D888" s="16"/>
      <c r="E888" s="17"/>
      <c r="F888" s="17"/>
      <c r="G888" s="17"/>
      <c r="H888" s="17"/>
      <c r="I888" s="17"/>
      <c r="J888" s="17"/>
      <c r="K888" s="17"/>
      <c r="L888" s="17"/>
      <c r="M888" s="17"/>
      <c r="N888" s="18"/>
      <c r="O888" s="18"/>
    </row>
    <row r="889">
      <c r="A889" s="14"/>
      <c r="B889" s="21"/>
      <c r="C889" s="16"/>
      <c r="D889" s="16"/>
      <c r="E889" s="17"/>
      <c r="F889" s="17"/>
      <c r="G889" s="17"/>
      <c r="H889" s="17"/>
      <c r="I889" s="17"/>
      <c r="J889" s="17"/>
      <c r="K889" s="17"/>
      <c r="L889" s="17"/>
      <c r="M889" s="17"/>
      <c r="N889" s="18"/>
      <c r="O889" s="18"/>
    </row>
    <row r="890">
      <c r="A890" s="14"/>
      <c r="B890" s="21"/>
      <c r="C890" s="16"/>
      <c r="D890" s="16"/>
      <c r="E890" s="17"/>
      <c r="F890" s="17"/>
      <c r="G890" s="17"/>
      <c r="H890" s="17"/>
      <c r="I890" s="17"/>
      <c r="J890" s="17"/>
      <c r="K890" s="17"/>
      <c r="L890" s="17"/>
      <c r="M890" s="17"/>
      <c r="N890" s="18"/>
      <c r="O890" s="18"/>
    </row>
    <row r="891">
      <c r="A891" s="14"/>
      <c r="B891" s="21"/>
      <c r="C891" s="16"/>
      <c r="D891" s="16"/>
      <c r="E891" s="17"/>
      <c r="F891" s="17"/>
      <c r="G891" s="17"/>
      <c r="H891" s="17"/>
      <c r="I891" s="17"/>
      <c r="J891" s="17"/>
      <c r="K891" s="17"/>
      <c r="L891" s="17"/>
      <c r="M891" s="17"/>
      <c r="N891" s="18"/>
      <c r="O891" s="18"/>
    </row>
    <row r="892">
      <c r="A892" s="14"/>
      <c r="B892" s="21"/>
      <c r="C892" s="16"/>
      <c r="D892" s="16"/>
      <c r="E892" s="17"/>
      <c r="F892" s="17"/>
      <c r="G892" s="17"/>
      <c r="H892" s="17"/>
      <c r="I892" s="17"/>
      <c r="J892" s="17"/>
      <c r="K892" s="17"/>
      <c r="L892" s="17"/>
      <c r="M892" s="17"/>
      <c r="N892" s="18"/>
      <c r="O892" s="18"/>
    </row>
    <row r="893">
      <c r="A893" s="14"/>
      <c r="B893" s="21"/>
      <c r="C893" s="16"/>
      <c r="D893" s="16"/>
      <c r="E893" s="17"/>
      <c r="F893" s="17"/>
      <c r="G893" s="17"/>
      <c r="H893" s="17"/>
      <c r="I893" s="17"/>
      <c r="J893" s="17"/>
      <c r="K893" s="17"/>
      <c r="L893" s="17"/>
      <c r="M893" s="17"/>
      <c r="N893" s="18"/>
      <c r="O893" s="18"/>
    </row>
    <row r="894">
      <c r="A894" s="14"/>
      <c r="B894" s="21"/>
      <c r="C894" s="16"/>
      <c r="D894" s="16"/>
      <c r="E894" s="17"/>
      <c r="F894" s="17"/>
      <c r="G894" s="17"/>
      <c r="H894" s="17"/>
      <c r="I894" s="17"/>
      <c r="J894" s="17"/>
      <c r="K894" s="17"/>
      <c r="L894" s="17"/>
      <c r="M894" s="17"/>
      <c r="N894" s="18"/>
      <c r="O894" s="18"/>
    </row>
    <row r="895">
      <c r="A895" s="14"/>
      <c r="B895" s="21"/>
      <c r="C895" s="16"/>
      <c r="D895" s="16"/>
      <c r="E895" s="17"/>
      <c r="F895" s="17"/>
      <c r="G895" s="17"/>
      <c r="H895" s="17"/>
      <c r="I895" s="17"/>
      <c r="J895" s="17"/>
      <c r="K895" s="17"/>
      <c r="L895" s="17"/>
      <c r="M895" s="17"/>
      <c r="N895" s="18"/>
      <c r="O895" s="18"/>
    </row>
    <row r="896">
      <c r="A896" s="14"/>
      <c r="B896" s="21"/>
      <c r="C896" s="16"/>
      <c r="D896" s="16"/>
      <c r="E896" s="17"/>
      <c r="F896" s="17"/>
      <c r="G896" s="17"/>
      <c r="H896" s="17"/>
      <c r="I896" s="17"/>
      <c r="J896" s="17"/>
      <c r="K896" s="17"/>
      <c r="L896" s="17"/>
      <c r="M896" s="17"/>
      <c r="N896" s="18"/>
      <c r="O896" s="18"/>
    </row>
    <row r="897">
      <c r="A897" s="14"/>
      <c r="B897" s="21"/>
      <c r="C897" s="16"/>
      <c r="D897" s="16"/>
      <c r="E897" s="17"/>
      <c r="F897" s="17"/>
      <c r="G897" s="17"/>
      <c r="H897" s="17"/>
      <c r="I897" s="17"/>
      <c r="J897" s="17"/>
      <c r="K897" s="17"/>
      <c r="L897" s="17"/>
      <c r="M897" s="17"/>
      <c r="N897" s="18"/>
      <c r="O897" s="18"/>
    </row>
    <row r="898">
      <c r="A898" s="14"/>
      <c r="B898" s="21"/>
      <c r="C898" s="16"/>
      <c r="D898" s="16"/>
      <c r="E898" s="17"/>
      <c r="F898" s="17"/>
      <c r="G898" s="17"/>
      <c r="H898" s="17"/>
      <c r="I898" s="17"/>
      <c r="J898" s="17"/>
      <c r="K898" s="17"/>
      <c r="L898" s="17"/>
      <c r="M898" s="17"/>
      <c r="N898" s="18"/>
      <c r="O898" s="18"/>
    </row>
    <row r="899">
      <c r="A899" s="14"/>
      <c r="B899" s="21"/>
      <c r="C899" s="16"/>
      <c r="D899" s="16"/>
      <c r="E899" s="17"/>
      <c r="F899" s="17"/>
      <c r="G899" s="17"/>
      <c r="H899" s="17"/>
      <c r="I899" s="17"/>
      <c r="J899" s="17"/>
      <c r="K899" s="17"/>
      <c r="L899" s="17"/>
      <c r="M899" s="17"/>
      <c r="N899" s="18"/>
      <c r="O899" s="18"/>
    </row>
    <row r="900">
      <c r="A900" s="14"/>
      <c r="B900" s="21"/>
      <c r="C900" s="16"/>
      <c r="D900" s="16"/>
      <c r="E900" s="17"/>
      <c r="F900" s="17"/>
      <c r="G900" s="17"/>
      <c r="H900" s="17"/>
      <c r="I900" s="17"/>
      <c r="J900" s="17"/>
      <c r="K900" s="17"/>
      <c r="L900" s="17"/>
      <c r="M900" s="17"/>
      <c r="N900" s="18"/>
      <c r="O900" s="18"/>
    </row>
    <row r="901">
      <c r="A901" s="14"/>
      <c r="B901" s="21"/>
      <c r="C901" s="16"/>
      <c r="D901" s="16"/>
      <c r="E901" s="17"/>
      <c r="F901" s="17"/>
      <c r="G901" s="17"/>
      <c r="H901" s="17"/>
      <c r="I901" s="17"/>
      <c r="J901" s="17"/>
      <c r="K901" s="17"/>
      <c r="L901" s="17"/>
      <c r="M901" s="17"/>
      <c r="N901" s="18"/>
      <c r="O901" s="18"/>
    </row>
    <row r="902">
      <c r="A902" s="14"/>
      <c r="B902" s="21"/>
      <c r="C902" s="16"/>
      <c r="D902" s="16"/>
      <c r="E902" s="17"/>
      <c r="F902" s="17"/>
      <c r="G902" s="17"/>
      <c r="H902" s="17"/>
      <c r="I902" s="17"/>
      <c r="J902" s="17"/>
      <c r="K902" s="17"/>
      <c r="L902" s="17"/>
      <c r="M902" s="17"/>
      <c r="N902" s="18"/>
      <c r="O902" s="18"/>
    </row>
    <row r="903">
      <c r="A903" s="14"/>
      <c r="B903" s="21"/>
      <c r="C903" s="16"/>
      <c r="D903" s="16"/>
      <c r="E903" s="17"/>
      <c r="F903" s="17"/>
      <c r="G903" s="17"/>
      <c r="H903" s="17"/>
      <c r="I903" s="17"/>
      <c r="J903" s="17"/>
      <c r="K903" s="17"/>
      <c r="L903" s="17"/>
      <c r="M903" s="17"/>
      <c r="N903" s="18"/>
      <c r="O903" s="18"/>
    </row>
    <row r="904">
      <c r="A904" s="14"/>
      <c r="B904" s="21"/>
      <c r="C904" s="16"/>
      <c r="D904" s="16"/>
      <c r="E904" s="17"/>
      <c r="F904" s="17"/>
      <c r="G904" s="17"/>
      <c r="H904" s="17"/>
      <c r="I904" s="17"/>
      <c r="J904" s="17"/>
      <c r="K904" s="17"/>
      <c r="L904" s="17"/>
      <c r="M904" s="17"/>
      <c r="N904" s="18"/>
      <c r="O904" s="18"/>
    </row>
    <row r="905">
      <c r="A905" s="14"/>
      <c r="B905" s="21"/>
      <c r="C905" s="16"/>
      <c r="D905" s="16"/>
      <c r="E905" s="17"/>
      <c r="F905" s="17"/>
      <c r="G905" s="17"/>
      <c r="H905" s="17"/>
      <c r="I905" s="17"/>
      <c r="J905" s="17"/>
      <c r="K905" s="17"/>
      <c r="L905" s="17"/>
      <c r="M905" s="17"/>
      <c r="N905" s="18"/>
      <c r="O905" s="18"/>
    </row>
    <row r="906">
      <c r="A906" s="14"/>
      <c r="B906" s="21"/>
      <c r="C906" s="16"/>
      <c r="D906" s="16"/>
      <c r="E906" s="17"/>
      <c r="F906" s="17"/>
      <c r="G906" s="17"/>
      <c r="H906" s="17"/>
      <c r="I906" s="17"/>
      <c r="J906" s="17"/>
      <c r="K906" s="17"/>
      <c r="L906" s="17"/>
      <c r="M906" s="17"/>
      <c r="N906" s="18"/>
      <c r="O906" s="18"/>
    </row>
    <row r="907">
      <c r="A907" s="14"/>
      <c r="B907" s="21"/>
      <c r="C907" s="16"/>
      <c r="D907" s="16"/>
      <c r="E907" s="17"/>
      <c r="F907" s="17"/>
      <c r="G907" s="17"/>
      <c r="H907" s="17"/>
      <c r="I907" s="17"/>
      <c r="J907" s="17"/>
      <c r="K907" s="17"/>
      <c r="L907" s="17"/>
      <c r="M907" s="17"/>
      <c r="N907" s="18"/>
      <c r="O907" s="18"/>
    </row>
    <row r="908">
      <c r="A908" s="14"/>
      <c r="B908" s="21"/>
      <c r="C908" s="16"/>
      <c r="D908" s="16"/>
      <c r="E908" s="17"/>
      <c r="F908" s="17"/>
      <c r="G908" s="17"/>
      <c r="H908" s="17"/>
      <c r="I908" s="17"/>
      <c r="J908" s="17"/>
      <c r="K908" s="17"/>
      <c r="L908" s="17"/>
      <c r="M908" s="17"/>
      <c r="N908" s="18"/>
      <c r="O908" s="18"/>
    </row>
    <row r="909">
      <c r="A909" s="14"/>
      <c r="B909" s="21"/>
      <c r="C909" s="16"/>
      <c r="D909" s="16"/>
      <c r="E909" s="17"/>
      <c r="F909" s="17"/>
      <c r="G909" s="17"/>
      <c r="H909" s="17"/>
      <c r="I909" s="17"/>
      <c r="J909" s="17"/>
      <c r="K909" s="17"/>
      <c r="L909" s="17"/>
      <c r="M909" s="17"/>
      <c r="N909" s="18"/>
      <c r="O909" s="18"/>
    </row>
    <row r="910">
      <c r="A910" s="14"/>
      <c r="B910" s="21"/>
      <c r="C910" s="16"/>
      <c r="D910" s="16"/>
      <c r="E910" s="17"/>
      <c r="F910" s="17"/>
      <c r="G910" s="17"/>
      <c r="H910" s="17"/>
      <c r="I910" s="17"/>
      <c r="J910" s="17"/>
      <c r="K910" s="17"/>
      <c r="L910" s="17"/>
      <c r="M910" s="17"/>
      <c r="N910" s="18"/>
      <c r="O910" s="18"/>
    </row>
    <row r="911">
      <c r="A911" s="14"/>
      <c r="B911" s="21"/>
      <c r="C911" s="16"/>
      <c r="D911" s="16"/>
      <c r="E911" s="17"/>
      <c r="F911" s="17"/>
      <c r="G911" s="17"/>
      <c r="H911" s="17"/>
      <c r="I911" s="17"/>
      <c r="J911" s="17"/>
      <c r="K911" s="17"/>
      <c r="L911" s="17"/>
      <c r="M911" s="17"/>
      <c r="N911" s="18"/>
      <c r="O911" s="18"/>
    </row>
    <row r="912">
      <c r="A912" s="14"/>
      <c r="B912" s="21"/>
      <c r="C912" s="16"/>
      <c r="D912" s="16"/>
      <c r="E912" s="17"/>
      <c r="F912" s="17"/>
      <c r="G912" s="17"/>
      <c r="H912" s="17"/>
      <c r="I912" s="17"/>
      <c r="J912" s="17"/>
      <c r="K912" s="17"/>
      <c r="L912" s="17"/>
      <c r="M912" s="17"/>
      <c r="N912" s="18"/>
      <c r="O912" s="18"/>
    </row>
    <row r="913">
      <c r="A913" s="14"/>
      <c r="B913" s="21"/>
      <c r="C913" s="16"/>
      <c r="D913" s="16"/>
      <c r="E913" s="17"/>
      <c r="F913" s="17"/>
      <c r="G913" s="17"/>
      <c r="H913" s="17"/>
      <c r="I913" s="17"/>
      <c r="J913" s="17"/>
      <c r="K913" s="17"/>
      <c r="L913" s="17"/>
      <c r="M913" s="17"/>
      <c r="N913" s="18"/>
      <c r="O913" s="18"/>
    </row>
    <row r="914">
      <c r="A914" s="14"/>
      <c r="B914" s="21"/>
      <c r="C914" s="16"/>
      <c r="D914" s="16"/>
      <c r="E914" s="17"/>
      <c r="F914" s="17"/>
      <c r="G914" s="17"/>
      <c r="H914" s="17"/>
      <c r="I914" s="17"/>
      <c r="J914" s="17"/>
      <c r="K914" s="17"/>
      <c r="L914" s="17"/>
      <c r="M914" s="17"/>
      <c r="N914" s="18"/>
      <c r="O914" s="18"/>
    </row>
    <row r="915">
      <c r="A915" s="14"/>
      <c r="B915" s="21"/>
      <c r="C915" s="16"/>
      <c r="D915" s="16"/>
      <c r="E915" s="17"/>
      <c r="F915" s="17"/>
      <c r="G915" s="17"/>
      <c r="H915" s="17"/>
      <c r="I915" s="17"/>
      <c r="J915" s="17"/>
      <c r="K915" s="17"/>
      <c r="L915" s="17"/>
      <c r="M915" s="17"/>
      <c r="N915" s="18"/>
      <c r="O915" s="18"/>
    </row>
    <row r="916">
      <c r="A916" s="14"/>
      <c r="B916" s="21"/>
      <c r="C916" s="16"/>
      <c r="D916" s="16"/>
      <c r="E916" s="17"/>
      <c r="F916" s="17"/>
      <c r="G916" s="17"/>
      <c r="H916" s="17"/>
      <c r="I916" s="17"/>
      <c r="J916" s="17"/>
      <c r="K916" s="17"/>
      <c r="L916" s="17"/>
      <c r="M916" s="17"/>
      <c r="N916" s="18"/>
      <c r="O916" s="18"/>
    </row>
    <row r="917">
      <c r="A917" s="14"/>
      <c r="B917" s="21"/>
      <c r="C917" s="16"/>
      <c r="D917" s="16"/>
      <c r="E917" s="17"/>
      <c r="F917" s="17"/>
      <c r="G917" s="17"/>
      <c r="H917" s="17"/>
      <c r="I917" s="17"/>
      <c r="J917" s="17"/>
      <c r="K917" s="17"/>
      <c r="L917" s="17"/>
      <c r="M917" s="17"/>
      <c r="N917" s="18"/>
      <c r="O917" s="18"/>
    </row>
    <row r="918">
      <c r="A918" s="14"/>
      <c r="B918" s="21"/>
      <c r="C918" s="16"/>
      <c r="D918" s="16"/>
      <c r="E918" s="17"/>
      <c r="F918" s="17"/>
      <c r="G918" s="17"/>
      <c r="H918" s="17"/>
      <c r="I918" s="17"/>
      <c r="J918" s="17"/>
      <c r="K918" s="17"/>
      <c r="L918" s="17"/>
      <c r="M918" s="17"/>
      <c r="N918" s="18"/>
      <c r="O918" s="18"/>
    </row>
    <row r="919">
      <c r="A919" s="14"/>
      <c r="B919" s="21"/>
      <c r="C919" s="16"/>
      <c r="D919" s="16"/>
      <c r="E919" s="17"/>
      <c r="F919" s="17"/>
      <c r="G919" s="17"/>
      <c r="H919" s="17"/>
      <c r="I919" s="17"/>
      <c r="J919" s="17"/>
      <c r="K919" s="17"/>
      <c r="L919" s="17"/>
      <c r="M919" s="17"/>
      <c r="N919" s="18"/>
      <c r="O919" s="18"/>
    </row>
    <row r="920">
      <c r="A920" s="14"/>
      <c r="B920" s="21"/>
      <c r="C920" s="16"/>
      <c r="D920" s="16"/>
      <c r="E920" s="17"/>
      <c r="F920" s="17"/>
      <c r="G920" s="17"/>
      <c r="H920" s="17"/>
      <c r="I920" s="17"/>
      <c r="J920" s="17"/>
      <c r="K920" s="17"/>
      <c r="L920" s="17"/>
      <c r="M920" s="17"/>
      <c r="N920" s="18"/>
      <c r="O920" s="18"/>
    </row>
    <row r="921">
      <c r="A921" s="14"/>
      <c r="B921" s="21"/>
      <c r="C921" s="16"/>
      <c r="D921" s="16"/>
      <c r="E921" s="17"/>
      <c r="F921" s="17"/>
      <c r="G921" s="17"/>
      <c r="H921" s="17"/>
      <c r="I921" s="17"/>
      <c r="J921" s="17"/>
      <c r="K921" s="17"/>
      <c r="L921" s="17"/>
      <c r="M921" s="17"/>
      <c r="N921" s="18"/>
      <c r="O921" s="18"/>
    </row>
    <row r="922">
      <c r="A922" s="14"/>
      <c r="B922" s="21"/>
      <c r="C922" s="16"/>
      <c r="D922" s="16"/>
      <c r="E922" s="17"/>
      <c r="F922" s="17"/>
      <c r="G922" s="17"/>
      <c r="H922" s="17"/>
      <c r="I922" s="17"/>
      <c r="J922" s="17"/>
      <c r="K922" s="17"/>
      <c r="L922" s="17"/>
      <c r="M922" s="17"/>
      <c r="N922" s="18"/>
      <c r="O922" s="18"/>
    </row>
    <row r="923">
      <c r="A923" s="14"/>
      <c r="B923" s="21"/>
      <c r="C923" s="16"/>
      <c r="D923" s="16"/>
      <c r="E923" s="17"/>
      <c r="F923" s="17"/>
      <c r="G923" s="17"/>
      <c r="H923" s="17"/>
      <c r="I923" s="17"/>
      <c r="J923" s="17"/>
      <c r="K923" s="17"/>
      <c r="L923" s="17"/>
      <c r="M923" s="17"/>
      <c r="N923" s="18"/>
      <c r="O923" s="18"/>
    </row>
    <row r="924">
      <c r="A924" s="14"/>
      <c r="B924" s="21"/>
      <c r="C924" s="16"/>
      <c r="D924" s="16"/>
      <c r="E924" s="17"/>
      <c r="F924" s="17"/>
      <c r="G924" s="17"/>
      <c r="H924" s="17"/>
      <c r="I924" s="17"/>
      <c r="J924" s="17"/>
      <c r="K924" s="17"/>
      <c r="L924" s="17"/>
      <c r="M924" s="17"/>
      <c r="N924" s="18"/>
      <c r="O924" s="18"/>
    </row>
    <row r="925">
      <c r="A925" s="14"/>
      <c r="B925" s="21"/>
      <c r="C925" s="16"/>
      <c r="D925" s="16"/>
      <c r="E925" s="17"/>
      <c r="F925" s="17"/>
      <c r="G925" s="17"/>
      <c r="H925" s="17"/>
      <c r="I925" s="17"/>
      <c r="J925" s="17"/>
      <c r="K925" s="17"/>
      <c r="L925" s="17"/>
      <c r="M925" s="17"/>
      <c r="N925" s="18"/>
      <c r="O925" s="18"/>
    </row>
    <row r="926">
      <c r="A926" s="14"/>
      <c r="B926" s="21"/>
      <c r="C926" s="16"/>
      <c r="D926" s="16"/>
      <c r="E926" s="17"/>
      <c r="F926" s="17"/>
      <c r="G926" s="17"/>
      <c r="H926" s="17"/>
      <c r="I926" s="17"/>
      <c r="J926" s="17"/>
      <c r="K926" s="17"/>
      <c r="L926" s="17"/>
      <c r="M926" s="17"/>
      <c r="N926" s="18"/>
      <c r="O926" s="18"/>
    </row>
    <row r="927">
      <c r="A927" s="14"/>
      <c r="B927" s="21"/>
      <c r="C927" s="16"/>
      <c r="D927" s="16"/>
      <c r="E927" s="17"/>
      <c r="F927" s="17"/>
      <c r="G927" s="17"/>
      <c r="H927" s="17"/>
      <c r="I927" s="17"/>
      <c r="J927" s="17"/>
      <c r="K927" s="17"/>
      <c r="L927" s="17"/>
      <c r="M927" s="17"/>
      <c r="N927" s="18"/>
      <c r="O927" s="18"/>
    </row>
    <row r="928">
      <c r="A928" s="14"/>
      <c r="B928" s="21"/>
      <c r="C928" s="16"/>
      <c r="D928" s="16"/>
      <c r="E928" s="17"/>
      <c r="F928" s="17"/>
      <c r="G928" s="17"/>
      <c r="H928" s="17"/>
      <c r="I928" s="17"/>
      <c r="J928" s="17"/>
      <c r="K928" s="17"/>
      <c r="L928" s="17"/>
      <c r="M928" s="17"/>
      <c r="N928" s="18"/>
      <c r="O928" s="18"/>
    </row>
    <row r="929">
      <c r="A929" s="14"/>
      <c r="B929" s="21"/>
      <c r="C929" s="16"/>
      <c r="D929" s="16"/>
      <c r="E929" s="17"/>
      <c r="F929" s="17"/>
      <c r="G929" s="17"/>
      <c r="H929" s="17"/>
      <c r="I929" s="17"/>
      <c r="J929" s="17"/>
      <c r="K929" s="17"/>
      <c r="L929" s="17"/>
      <c r="M929" s="17"/>
      <c r="N929" s="18"/>
      <c r="O929" s="18"/>
    </row>
    <row r="930">
      <c r="A930" s="14"/>
      <c r="B930" s="21"/>
      <c r="C930" s="16"/>
      <c r="D930" s="16"/>
      <c r="E930" s="17"/>
      <c r="F930" s="17"/>
      <c r="G930" s="17"/>
      <c r="H930" s="17"/>
      <c r="I930" s="17"/>
      <c r="J930" s="17"/>
      <c r="K930" s="17"/>
      <c r="L930" s="17"/>
      <c r="M930" s="17"/>
      <c r="N930" s="18"/>
      <c r="O930" s="18"/>
    </row>
    <row r="931">
      <c r="A931" s="14"/>
      <c r="B931" s="21"/>
      <c r="C931" s="16"/>
      <c r="D931" s="16"/>
      <c r="E931" s="17"/>
      <c r="F931" s="17"/>
      <c r="G931" s="17"/>
      <c r="H931" s="17"/>
      <c r="I931" s="17"/>
      <c r="J931" s="17"/>
      <c r="K931" s="17"/>
      <c r="L931" s="17"/>
      <c r="M931" s="17"/>
      <c r="N931" s="18"/>
      <c r="O931" s="18"/>
    </row>
    <row r="932">
      <c r="A932" s="14"/>
      <c r="B932" s="21"/>
      <c r="C932" s="16"/>
      <c r="D932" s="16"/>
      <c r="E932" s="17"/>
      <c r="F932" s="17"/>
      <c r="G932" s="17"/>
      <c r="H932" s="17"/>
      <c r="I932" s="17"/>
      <c r="J932" s="17"/>
      <c r="K932" s="17"/>
      <c r="L932" s="17"/>
      <c r="M932" s="17"/>
      <c r="N932" s="18"/>
      <c r="O932" s="18"/>
    </row>
    <row r="933">
      <c r="A933" s="14"/>
      <c r="B933" s="21"/>
      <c r="C933" s="16"/>
      <c r="D933" s="16"/>
      <c r="E933" s="17"/>
      <c r="F933" s="17"/>
      <c r="G933" s="17"/>
      <c r="H933" s="17"/>
      <c r="I933" s="17"/>
      <c r="J933" s="17"/>
      <c r="K933" s="17"/>
      <c r="L933" s="17"/>
      <c r="M933" s="17"/>
      <c r="N933" s="18"/>
      <c r="O933" s="18"/>
    </row>
    <row r="934">
      <c r="A934" s="14"/>
      <c r="B934" s="21"/>
      <c r="C934" s="16"/>
      <c r="D934" s="16"/>
      <c r="E934" s="17"/>
      <c r="F934" s="17"/>
      <c r="G934" s="17"/>
      <c r="H934" s="17"/>
      <c r="I934" s="17"/>
      <c r="J934" s="17"/>
      <c r="K934" s="17"/>
      <c r="L934" s="17"/>
      <c r="M934" s="17"/>
      <c r="N934" s="18"/>
      <c r="O934" s="18"/>
    </row>
    <row r="935">
      <c r="A935" s="14"/>
      <c r="B935" s="21"/>
      <c r="C935" s="16"/>
      <c r="D935" s="16"/>
      <c r="E935" s="17"/>
      <c r="F935" s="17"/>
      <c r="G935" s="17"/>
      <c r="H935" s="17"/>
      <c r="I935" s="17"/>
      <c r="J935" s="17"/>
      <c r="K935" s="17"/>
      <c r="L935" s="17"/>
      <c r="M935" s="17"/>
      <c r="N935" s="18"/>
      <c r="O935" s="18"/>
    </row>
    <row r="936">
      <c r="A936" s="14"/>
      <c r="B936" s="21"/>
      <c r="C936" s="16"/>
      <c r="D936" s="16"/>
      <c r="E936" s="17"/>
      <c r="F936" s="17"/>
      <c r="G936" s="17"/>
      <c r="H936" s="17"/>
      <c r="I936" s="17"/>
      <c r="J936" s="17"/>
      <c r="K936" s="17"/>
      <c r="L936" s="17"/>
      <c r="M936" s="17"/>
      <c r="N936" s="18"/>
      <c r="O936" s="18"/>
    </row>
    <row r="937">
      <c r="A937" s="14"/>
      <c r="B937" s="21"/>
      <c r="C937" s="16"/>
      <c r="D937" s="16"/>
      <c r="E937" s="17"/>
      <c r="F937" s="17"/>
      <c r="G937" s="17"/>
      <c r="H937" s="17"/>
      <c r="I937" s="17"/>
      <c r="J937" s="17"/>
      <c r="K937" s="17"/>
      <c r="L937" s="17"/>
      <c r="M937" s="17"/>
      <c r="N937" s="18"/>
      <c r="O937" s="18"/>
    </row>
    <row r="938">
      <c r="A938" s="14"/>
      <c r="B938" s="21"/>
      <c r="C938" s="16"/>
      <c r="D938" s="16"/>
      <c r="E938" s="17"/>
      <c r="F938" s="17"/>
      <c r="G938" s="17"/>
      <c r="H938" s="17"/>
      <c r="I938" s="17"/>
      <c r="J938" s="17"/>
      <c r="K938" s="17"/>
      <c r="L938" s="17"/>
      <c r="M938" s="17"/>
      <c r="N938" s="18"/>
      <c r="O938" s="18"/>
    </row>
    <row r="939">
      <c r="A939" s="14"/>
      <c r="B939" s="21"/>
      <c r="C939" s="16"/>
      <c r="D939" s="16"/>
      <c r="E939" s="17"/>
      <c r="F939" s="17"/>
      <c r="G939" s="17"/>
      <c r="H939" s="17"/>
      <c r="I939" s="17"/>
      <c r="J939" s="17"/>
      <c r="K939" s="17"/>
      <c r="L939" s="17"/>
      <c r="M939" s="17"/>
      <c r="N939" s="18"/>
      <c r="O939" s="18"/>
    </row>
    <row r="940">
      <c r="A940" s="14"/>
      <c r="B940" s="21"/>
      <c r="C940" s="16"/>
      <c r="D940" s="16"/>
      <c r="E940" s="17"/>
      <c r="F940" s="17"/>
      <c r="G940" s="17"/>
      <c r="H940" s="17"/>
      <c r="I940" s="17"/>
      <c r="J940" s="17"/>
      <c r="K940" s="17"/>
      <c r="L940" s="17"/>
      <c r="M940" s="17"/>
      <c r="N940" s="18"/>
      <c r="O940" s="18"/>
    </row>
    <row r="941">
      <c r="A941" s="14"/>
      <c r="B941" s="21"/>
      <c r="C941" s="16"/>
      <c r="D941" s="16"/>
      <c r="E941" s="17"/>
      <c r="F941" s="17"/>
      <c r="G941" s="17"/>
      <c r="H941" s="17"/>
      <c r="I941" s="17"/>
      <c r="J941" s="17"/>
      <c r="K941" s="17"/>
      <c r="L941" s="17"/>
      <c r="M941" s="17"/>
      <c r="N941" s="18"/>
      <c r="O941" s="18"/>
    </row>
    <row r="942">
      <c r="A942" s="14"/>
      <c r="B942" s="21"/>
      <c r="C942" s="16"/>
      <c r="D942" s="16"/>
      <c r="E942" s="17"/>
      <c r="F942" s="17"/>
      <c r="G942" s="17"/>
      <c r="H942" s="17"/>
      <c r="I942" s="17"/>
      <c r="J942" s="17"/>
      <c r="K942" s="17"/>
      <c r="L942" s="17"/>
      <c r="M942" s="17"/>
      <c r="N942" s="18"/>
      <c r="O942" s="18"/>
    </row>
    <row r="943">
      <c r="A943" s="14"/>
      <c r="B943" s="21"/>
      <c r="C943" s="16"/>
      <c r="D943" s="16"/>
      <c r="E943" s="17"/>
      <c r="F943" s="17"/>
      <c r="G943" s="17"/>
      <c r="H943" s="17"/>
      <c r="I943" s="17"/>
      <c r="J943" s="17"/>
      <c r="K943" s="17"/>
      <c r="L943" s="17"/>
      <c r="M943" s="17"/>
      <c r="N943" s="18"/>
      <c r="O943" s="18"/>
    </row>
    <row r="944">
      <c r="A944" s="14"/>
      <c r="B944" s="21"/>
      <c r="C944" s="16"/>
      <c r="D944" s="16"/>
      <c r="E944" s="17"/>
      <c r="F944" s="17"/>
      <c r="G944" s="17"/>
      <c r="H944" s="17"/>
      <c r="I944" s="17"/>
      <c r="J944" s="17"/>
      <c r="K944" s="17"/>
      <c r="L944" s="17"/>
      <c r="M944" s="17"/>
      <c r="N944" s="18"/>
      <c r="O944" s="18"/>
    </row>
    <row r="945">
      <c r="A945" s="14"/>
      <c r="B945" s="21"/>
      <c r="C945" s="16"/>
      <c r="D945" s="16"/>
      <c r="E945" s="17"/>
      <c r="F945" s="17"/>
      <c r="G945" s="17"/>
      <c r="H945" s="17"/>
      <c r="I945" s="17"/>
      <c r="J945" s="17"/>
      <c r="K945" s="17"/>
      <c r="L945" s="17"/>
      <c r="M945" s="17"/>
      <c r="N945" s="18"/>
      <c r="O945" s="18"/>
    </row>
    <row r="946">
      <c r="A946" s="14"/>
      <c r="B946" s="21"/>
      <c r="C946" s="16"/>
      <c r="D946" s="16"/>
      <c r="E946" s="17"/>
      <c r="F946" s="17"/>
      <c r="G946" s="17"/>
      <c r="H946" s="17"/>
      <c r="I946" s="17"/>
      <c r="J946" s="17"/>
      <c r="K946" s="17"/>
      <c r="L946" s="17"/>
      <c r="M946" s="17"/>
      <c r="N946" s="18"/>
      <c r="O946" s="18"/>
    </row>
    <row r="947">
      <c r="A947" s="14"/>
      <c r="B947" s="21"/>
      <c r="C947" s="16"/>
      <c r="D947" s="16"/>
      <c r="E947" s="17"/>
      <c r="F947" s="17"/>
      <c r="G947" s="17"/>
      <c r="H947" s="17"/>
      <c r="I947" s="17"/>
      <c r="J947" s="17"/>
      <c r="K947" s="17"/>
      <c r="L947" s="17"/>
      <c r="M947" s="17"/>
      <c r="N947" s="18"/>
      <c r="O947" s="18"/>
    </row>
    <row r="948">
      <c r="A948" s="14"/>
      <c r="B948" s="21"/>
      <c r="C948" s="16"/>
      <c r="D948" s="16"/>
      <c r="E948" s="17"/>
      <c r="F948" s="17"/>
      <c r="G948" s="17"/>
      <c r="H948" s="17"/>
      <c r="I948" s="17"/>
      <c r="J948" s="17"/>
      <c r="K948" s="17"/>
      <c r="L948" s="17"/>
      <c r="M948" s="17"/>
      <c r="N948" s="18"/>
      <c r="O948" s="18"/>
    </row>
    <row r="949">
      <c r="A949" s="14"/>
      <c r="B949" s="21"/>
      <c r="C949" s="16"/>
      <c r="D949" s="16"/>
      <c r="E949" s="17"/>
      <c r="F949" s="17"/>
      <c r="G949" s="17"/>
      <c r="H949" s="17"/>
      <c r="I949" s="17"/>
      <c r="J949" s="17"/>
      <c r="K949" s="17"/>
      <c r="L949" s="17"/>
      <c r="M949" s="17"/>
      <c r="N949" s="18"/>
      <c r="O949" s="18"/>
    </row>
    <row r="950">
      <c r="A950" s="14"/>
      <c r="B950" s="21"/>
      <c r="C950" s="16"/>
      <c r="D950" s="16"/>
      <c r="E950" s="17"/>
      <c r="F950" s="17"/>
      <c r="G950" s="17"/>
      <c r="H950" s="17"/>
      <c r="I950" s="17"/>
      <c r="J950" s="17"/>
      <c r="K950" s="17"/>
      <c r="L950" s="17"/>
      <c r="M950" s="17"/>
      <c r="N950" s="18"/>
      <c r="O950" s="18"/>
    </row>
    <row r="951">
      <c r="A951" s="14"/>
      <c r="B951" s="21"/>
      <c r="C951" s="16"/>
      <c r="D951" s="16"/>
      <c r="E951" s="17"/>
      <c r="F951" s="17"/>
      <c r="G951" s="17"/>
      <c r="H951" s="17"/>
      <c r="I951" s="17"/>
      <c r="J951" s="17"/>
      <c r="K951" s="17"/>
      <c r="L951" s="17"/>
      <c r="M951" s="17"/>
      <c r="N951" s="18"/>
      <c r="O951" s="18"/>
    </row>
    <row r="952">
      <c r="A952" s="14"/>
      <c r="B952" s="21"/>
      <c r="C952" s="16"/>
      <c r="D952" s="16"/>
      <c r="E952" s="17"/>
      <c r="F952" s="17"/>
      <c r="G952" s="17"/>
      <c r="H952" s="17"/>
      <c r="I952" s="17"/>
      <c r="J952" s="17"/>
      <c r="K952" s="17"/>
      <c r="L952" s="17"/>
      <c r="M952" s="17"/>
      <c r="N952" s="18"/>
      <c r="O952" s="18"/>
    </row>
    <row r="953">
      <c r="A953" s="14"/>
      <c r="B953" s="21"/>
      <c r="C953" s="16"/>
      <c r="D953" s="16"/>
      <c r="E953" s="17"/>
      <c r="F953" s="17"/>
      <c r="G953" s="17"/>
      <c r="H953" s="17"/>
      <c r="I953" s="17"/>
      <c r="J953" s="17"/>
      <c r="K953" s="17"/>
      <c r="L953" s="17"/>
      <c r="M953" s="17"/>
      <c r="N953" s="18"/>
      <c r="O953" s="18"/>
    </row>
    <row r="954">
      <c r="A954" s="14"/>
      <c r="B954" s="21"/>
      <c r="C954" s="16"/>
      <c r="D954" s="16"/>
      <c r="E954" s="17"/>
      <c r="F954" s="17"/>
      <c r="G954" s="17"/>
      <c r="H954" s="17"/>
      <c r="I954" s="17"/>
      <c r="J954" s="17"/>
      <c r="K954" s="17"/>
      <c r="L954" s="17"/>
      <c r="M954" s="17"/>
      <c r="N954" s="18"/>
      <c r="O954" s="18"/>
    </row>
    <row r="955">
      <c r="A955" s="14"/>
      <c r="B955" s="21"/>
      <c r="C955" s="16"/>
      <c r="D955" s="16"/>
      <c r="E955" s="17"/>
      <c r="F955" s="17"/>
      <c r="G955" s="17"/>
      <c r="H955" s="17"/>
      <c r="I955" s="17"/>
      <c r="J955" s="17"/>
      <c r="K955" s="17"/>
      <c r="L955" s="17"/>
      <c r="M955" s="17"/>
      <c r="N955" s="18"/>
      <c r="O955" s="18"/>
    </row>
    <row r="956">
      <c r="A956" s="14"/>
      <c r="B956" s="21"/>
      <c r="C956" s="16"/>
      <c r="D956" s="16"/>
      <c r="E956" s="17"/>
      <c r="F956" s="17"/>
      <c r="G956" s="17"/>
      <c r="H956" s="17"/>
      <c r="I956" s="17"/>
      <c r="J956" s="17"/>
      <c r="K956" s="17"/>
      <c r="L956" s="17"/>
      <c r="M956" s="17"/>
      <c r="N956" s="18"/>
      <c r="O956" s="18"/>
    </row>
    <row r="957">
      <c r="A957" s="14"/>
      <c r="B957" s="21"/>
      <c r="C957" s="16"/>
      <c r="D957" s="16"/>
      <c r="E957" s="17"/>
      <c r="F957" s="17"/>
      <c r="G957" s="17"/>
      <c r="H957" s="17"/>
      <c r="I957" s="17"/>
      <c r="J957" s="17"/>
      <c r="K957" s="17"/>
      <c r="L957" s="17"/>
      <c r="M957" s="17"/>
      <c r="N957" s="18"/>
      <c r="O957" s="18"/>
    </row>
    <row r="958">
      <c r="A958" s="14"/>
      <c r="B958" s="21"/>
      <c r="C958" s="16"/>
      <c r="D958" s="16"/>
      <c r="E958" s="17"/>
      <c r="F958" s="17"/>
      <c r="G958" s="17"/>
      <c r="H958" s="17"/>
      <c r="I958" s="17"/>
      <c r="J958" s="17"/>
      <c r="K958" s="17"/>
      <c r="L958" s="17"/>
      <c r="M958" s="17"/>
      <c r="N958" s="18"/>
      <c r="O958" s="18"/>
    </row>
    <row r="959">
      <c r="A959" s="14"/>
      <c r="B959" s="21"/>
      <c r="C959" s="16"/>
      <c r="D959" s="16"/>
      <c r="E959" s="17"/>
      <c r="F959" s="17"/>
      <c r="G959" s="17"/>
      <c r="H959" s="17"/>
      <c r="I959" s="17"/>
      <c r="J959" s="17"/>
      <c r="K959" s="17"/>
      <c r="L959" s="17"/>
      <c r="M959" s="17"/>
      <c r="N959" s="18"/>
      <c r="O959" s="18"/>
    </row>
    <row r="960">
      <c r="A960" s="14"/>
      <c r="B960" s="21"/>
      <c r="C960" s="16"/>
      <c r="D960" s="16"/>
      <c r="E960" s="17"/>
      <c r="F960" s="17"/>
      <c r="G960" s="17"/>
      <c r="H960" s="17"/>
      <c r="I960" s="17"/>
      <c r="J960" s="17"/>
      <c r="K960" s="17"/>
      <c r="L960" s="17"/>
      <c r="M960" s="17"/>
      <c r="N960" s="18"/>
      <c r="O960" s="18"/>
    </row>
    <row r="961">
      <c r="A961" s="14"/>
      <c r="B961" s="21"/>
      <c r="C961" s="16"/>
      <c r="D961" s="16"/>
      <c r="E961" s="17"/>
      <c r="F961" s="17"/>
      <c r="G961" s="17"/>
      <c r="H961" s="17"/>
      <c r="I961" s="17"/>
      <c r="J961" s="17"/>
      <c r="K961" s="17"/>
      <c r="L961" s="17"/>
      <c r="M961" s="17"/>
      <c r="N961" s="18"/>
      <c r="O961" s="18"/>
    </row>
    <row r="962">
      <c r="A962" s="14"/>
      <c r="B962" s="21"/>
      <c r="C962" s="16"/>
      <c r="D962" s="16"/>
      <c r="E962" s="17"/>
      <c r="F962" s="17"/>
      <c r="G962" s="17"/>
      <c r="H962" s="17"/>
      <c r="I962" s="17"/>
      <c r="J962" s="17"/>
      <c r="K962" s="17"/>
      <c r="L962" s="17"/>
      <c r="M962" s="17"/>
      <c r="N962" s="18"/>
      <c r="O962" s="18"/>
    </row>
    <row r="963">
      <c r="A963" s="14"/>
      <c r="B963" s="21"/>
      <c r="C963" s="16"/>
      <c r="D963" s="16"/>
      <c r="E963" s="17"/>
      <c r="F963" s="17"/>
      <c r="G963" s="17"/>
      <c r="H963" s="17"/>
      <c r="I963" s="17"/>
      <c r="J963" s="17"/>
      <c r="K963" s="17"/>
      <c r="L963" s="17"/>
      <c r="M963" s="17"/>
      <c r="N963" s="18"/>
      <c r="O963" s="18"/>
    </row>
    <row r="964">
      <c r="A964" s="14"/>
      <c r="B964" s="21"/>
      <c r="C964" s="16"/>
      <c r="D964" s="16"/>
      <c r="E964" s="17"/>
      <c r="F964" s="17"/>
      <c r="G964" s="17"/>
      <c r="H964" s="17"/>
      <c r="I964" s="17"/>
      <c r="J964" s="17"/>
      <c r="K964" s="17"/>
      <c r="L964" s="17"/>
      <c r="M964" s="17"/>
      <c r="N964" s="18"/>
      <c r="O964" s="18"/>
    </row>
    <row r="965">
      <c r="A965" s="14"/>
      <c r="B965" s="21"/>
      <c r="C965" s="16"/>
      <c r="D965" s="16"/>
      <c r="E965" s="17"/>
      <c r="F965" s="17"/>
      <c r="G965" s="17"/>
      <c r="H965" s="17"/>
      <c r="I965" s="17"/>
      <c r="J965" s="17"/>
      <c r="K965" s="17"/>
      <c r="L965" s="17"/>
      <c r="M965" s="17"/>
      <c r="N965" s="18"/>
      <c r="O965" s="18"/>
    </row>
    <row r="966">
      <c r="A966" s="14"/>
      <c r="B966" s="21"/>
      <c r="C966" s="16"/>
      <c r="D966" s="16"/>
      <c r="E966" s="17"/>
      <c r="F966" s="17"/>
      <c r="G966" s="17"/>
      <c r="H966" s="17"/>
      <c r="I966" s="17"/>
      <c r="J966" s="17"/>
      <c r="K966" s="17"/>
      <c r="L966" s="17"/>
      <c r="M966" s="17"/>
      <c r="N966" s="18"/>
      <c r="O966" s="18"/>
    </row>
    <row r="967">
      <c r="A967" s="14"/>
      <c r="B967" s="21"/>
      <c r="C967" s="16"/>
      <c r="D967" s="16"/>
      <c r="E967" s="17"/>
      <c r="F967" s="17"/>
      <c r="G967" s="17"/>
      <c r="H967" s="17"/>
      <c r="I967" s="17"/>
      <c r="J967" s="17"/>
      <c r="K967" s="17"/>
      <c r="L967" s="17"/>
      <c r="M967" s="17"/>
      <c r="N967" s="18"/>
      <c r="O967" s="18"/>
    </row>
    <row r="968">
      <c r="A968" s="14"/>
      <c r="B968" s="21"/>
      <c r="C968" s="16"/>
      <c r="D968" s="16"/>
      <c r="E968" s="17"/>
      <c r="F968" s="17"/>
      <c r="G968" s="17"/>
      <c r="H968" s="17"/>
      <c r="I968" s="17"/>
      <c r="J968" s="17"/>
      <c r="K968" s="17"/>
      <c r="L968" s="17"/>
      <c r="M968" s="17"/>
      <c r="N968" s="18"/>
      <c r="O968" s="18"/>
    </row>
    <row r="969">
      <c r="A969" s="14"/>
      <c r="B969" s="21"/>
      <c r="C969" s="16"/>
      <c r="D969" s="16"/>
      <c r="E969" s="17"/>
      <c r="F969" s="17"/>
      <c r="G969" s="17"/>
      <c r="H969" s="17"/>
      <c r="I969" s="17"/>
      <c r="J969" s="17"/>
      <c r="K969" s="17"/>
      <c r="L969" s="17"/>
      <c r="M969" s="17"/>
      <c r="N969" s="18"/>
      <c r="O969" s="18"/>
    </row>
    <row r="970">
      <c r="A970" s="14"/>
      <c r="B970" s="21"/>
      <c r="C970" s="16"/>
      <c r="D970" s="16"/>
      <c r="E970" s="17"/>
      <c r="F970" s="17"/>
      <c r="G970" s="17"/>
      <c r="H970" s="17"/>
      <c r="I970" s="17"/>
      <c r="J970" s="17"/>
      <c r="K970" s="17"/>
      <c r="L970" s="17"/>
      <c r="M970" s="17"/>
      <c r="N970" s="18"/>
      <c r="O970" s="18"/>
    </row>
    <row r="971">
      <c r="A971" s="14"/>
      <c r="B971" s="21"/>
      <c r="C971" s="16"/>
      <c r="D971" s="16"/>
      <c r="E971" s="17"/>
      <c r="F971" s="17"/>
      <c r="G971" s="17"/>
      <c r="H971" s="17"/>
      <c r="I971" s="17"/>
      <c r="J971" s="17"/>
      <c r="K971" s="17"/>
      <c r="L971" s="17"/>
      <c r="M971" s="17"/>
      <c r="N971" s="18"/>
      <c r="O971" s="18"/>
    </row>
    <row r="972">
      <c r="A972" s="14"/>
      <c r="B972" s="21"/>
      <c r="C972" s="16"/>
      <c r="D972" s="16"/>
      <c r="E972" s="17"/>
      <c r="F972" s="17"/>
      <c r="G972" s="17"/>
      <c r="H972" s="17"/>
      <c r="I972" s="17"/>
      <c r="J972" s="17"/>
      <c r="K972" s="17"/>
      <c r="L972" s="17"/>
      <c r="M972" s="17"/>
      <c r="N972" s="18"/>
      <c r="O972" s="18"/>
    </row>
    <row r="973">
      <c r="A973" s="14"/>
      <c r="B973" s="21"/>
      <c r="C973" s="16"/>
      <c r="D973" s="16"/>
      <c r="E973" s="17"/>
      <c r="F973" s="17"/>
      <c r="G973" s="17"/>
      <c r="H973" s="17"/>
      <c r="I973" s="17"/>
      <c r="J973" s="17"/>
      <c r="K973" s="17"/>
      <c r="L973" s="17"/>
      <c r="M973" s="17"/>
      <c r="N973" s="18"/>
      <c r="O973" s="18"/>
    </row>
    <row r="974">
      <c r="A974" s="14"/>
      <c r="B974" s="21"/>
      <c r="C974" s="16"/>
      <c r="D974" s="16"/>
      <c r="E974" s="17"/>
      <c r="F974" s="17"/>
      <c r="G974" s="17"/>
      <c r="H974" s="17"/>
      <c r="I974" s="17"/>
      <c r="J974" s="17"/>
      <c r="K974" s="17"/>
      <c r="L974" s="17"/>
      <c r="M974" s="17"/>
      <c r="N974" s="18"/>
      <c r="O974" s="18"/>
    </row>
    <row r="975">
      <c r="A975" s="14"/>
      <c r="B975" s="21"/>
      <c r="C975" s="16"/>
      <c r="D975" s="16"/>
      <c r="E975" s="17"/>
      <c r="F975" s="17"/>
      <c r="G975" s="17"/>
      <c r="H975" s="17"/>
      <c r="I975" s="17"/>
      <c r="J975" s="17"/>
      <c r="K975" s="17"/>
      <c r="L975" s="17"/>
      <c r="M975" s="17"/>
      <c r="N975" s="18"/>
      <c r="O975" s="18"/>
    </row>
    <row r="976">
      <c r="A976" s="14"/>
      <c r="B976" s="21"/>
      <c r="C976" s="16"/>
      <c r="D976" s="16"/>
      <c r="E976" s="17"/>
      <c r="F976" s="17"/>
      <c r="G976" s="17"/>
      <c r="H976" s="17"/>
      <c r="I976" s="17"/>
      <c r="J976" s="17"/>
      <c r="K976" s="17"/>
      <c r="L976" s="17"/>
      <c r="M976" s="17"/>
      <c r="N976" s="18"/>
      <c r="O976" s="18"/>
    </row>
    <row r="977">
      <c r="A977" s="14"/>
      <c r="B977" s="21"/>
      <c r="C977" s="16"/>
      <c r="D977" s="16"/>
      <c r="E977" s="17"/>
      <c r="F977" s="17"/>
      <c r="G977" s="17"/>
      <c r="H977" s="17"/>
      <c r="I977" s="17"/>
      <c r="J977" s="17"/>
      <c r="K977" s="17"/>
      <c r="L977" s="17"/>
      <c r="M977" s="17"/>
      <c r="N977" s="18"/>
      <c r="O977" s="18"/>
    </row>
    <row r="978">
      <c r="A978" s="14"/>
      <c r="B978" s="21"/>
      <c r="C978" s="16"/>
      <c r="D978" s="16"/>
      <c r="E978" s="17"/>
      <c r="F978" s="17"/>
      <c r="G978" s="17"/>
      <c r="H978" s="17"/>
      <c r="I978" s="17"/>
      <c r="J978" s="17"/>
      <c r="K978" s="17"/>
      <c r="L978" s="17"/>
      <c r="M978" s="17"/>
      <c r="N978" s="18"/>
      <c r="O978" s="18"/>
    </row>
    <row r="979">
      <c r="A979" s="14"/>
      <c r="B979" s="21"/>
      <c r="C979" s="16"/>
      <c r="D979" s="16"/>
      <c r="E979" s="17"/>
      <c r="F979" s="17"/>
      <c r="G979" s="17"/>
      <c r="H979" s="17"/>
      <c r="I979" s="17"/>
      <c r="J979" s="17"/>
      <c r="K979" s="17"/>
      <c r="L979" s="17"/>
      <c r="M979" s="17"/>
      <c r="N979" s="18"/>
      <c r="O979" s="18"/>
    </row>
    <row r="980">
      <c r="A980" s="14"/>
      <c r="B980" s="21"/>
      <c r="C980" s="16"/>
      <c r="D980" s="16"/>
      <c r="E980" s="17"/>
      <c r="F980" s="17"/>
      <c r="G980" s="17"/>
      <c r="H980" s="17"/>
      <c r="I980" s="17"/>
      <c r="J980" s="17"/>
      <c r="K980" s="17"/>
      <c r="L980" s="17"/>
      <c r="M980" s="17"/>
      <c r="N980" s="18"/>
      <c r="O980" s="18"/>
    </row>
    <row r="981">
      <c r="A981" s="14"/>
      <c r="B981" s="21"/>
      <c r="C981" s="16"/>
      <c r="D981" s="16"/>
      <c r="E981" s="17"/>
      <c r="F981" s="17"/>
      <c r="G981" s="17"/>
      <c r="H981" s="17"/>
      <c r="I981" s="17"/>
      <c r="J981" s="17"/>
      <c r="K981" s="17"/>
      <c r="L981" s="17"/>
      <c r="M981" s="17"/>
      <c r="N981" s="18"/>
      <c r="O981" s="18"/>
    </row>
    <row r="982">
      <c r="A982" s="14"/>
      <c r="B982" s="21"/>
      <c r="C982" s="16"/>
      <c r="D982" s="16"/>
      <c r="E982" s="17"/>
      <c r="F982" s="17"/>
      <c r="G982" s="17"/>
      <c r="H982" s="17"/>
      <c r="I982" s="17"/>
      <c r="J982" s="17"/>
      <c r="K982" s="17"/>
      <c r="L982" s="17"/>
      <c r="M982" s="17"/>
      <c r="N982" s="18"/>
      <c r="O982" s="18"/>
    </row>
    <row r="983">
      <c r="A983" s="14"/>
      <c r="B983" s="21"/>
      <c r="C983" s="16"/>
      <c r="D983" s="16"/>
      <c r="E983" s="17"/>
      <c r="F983" s="17"/>
      <c r="G983" s="17"/>
      <c r="H983" s="17"/>
      <c r="I983" s="17"/>
      <c r="J983" s="17"/>
      <c r="K983" s="17"/>
      <c r="L983" s="17"/>
      <c r="M983" s="17"/>
      <c r="N983" s="18"/>
      <c r="O983" s="18"/>
    </row>
    <row r="984">
      <c r="A984" s="14"/>
      <c r="B984" s="21"/>
      <c r="C984" s="16"/>
      <c r="D984" s="16"/>
      <c r="E984" s="17"/>
      <c r="F984" s="17"/>
      <c r="G984" s="17"/>
      <c r="H984" s="17"/>
      <c r="I984" s="17"/>
      <c r="J984" s="17"/>
      <c r="K984" s="17"/>
      <c r="L984" s="17"/>
      <c r="M984" s="17"/>
      <c r="N984" s="18"/>
      <c r="O984" s="18"/>
    </row>
    <row r="985">
      <c r="A985" s="14"/>
      <c r="B985" s="21"/>
      <c r="C985" s="16"/>
      <c r="D985" s="16"/>
      <c r="E985" s="17"/>
      <c r="F985" s="17"/>
      <c r="G985" s="17"/>
      <c r="H985" s="17"/>
      <c r="I985" s="17"/>
      <c r="J985" s="17"/>
      <c r="K985" s="17"/>
      <c r="L985" s="17"/>
      <c r="M985" s="17"/>
      <c r="N985" s="18"/>
      <c r="O985" s="18"/>
    </row>
    <row r="986">
      <c r="A986" s="14"/>
      <c r="B986" s="21"/>
      <c r="C986" s="16"/>
      <c r="D986" s="16"/>
      <c r="E986" s="17"/>
      <c r="F986" s="17"/>
      <c r="G986" s="17"/>
      <c r="H986" s="17"/>
      <c r="I986" s="17"/>
      <c r="J986" s="17"/>
      <c r="K986" s="17"/>
      <c r="L986" s="17"/>
      <c r="M986" s="17"/>
      <c r="N986" s="18"/>
      <c r="O986" s="18"/>
    </row>
    <row r="987">
      <c r="A987" s="14"/>
      <c r="B987" s="21"/>
      <c r="C987" s="16"/>
      <c r="D987" s="16"/>
      <c r="E987" s="17"/>
      <c r="F987" s="17"/>
      <c r="G987" s="17"/>
      <c r="H987" s="17"/>
      <c r="I987" s="17"/>
      <c r="J987" s="17"/>
      <c r="K987" s="17"/>
      <c r="L987" s="17"/>
      <c r="M987" s="17"/>
      <c r="N987" s="18"/>
      <c r="O987" s="18"/>
    </row>
    <row r="988">
      <c r="A988" s="14"/>
      <c r="B988" s="21"/>
      <c r="C988" s="16"/>
      <c r="D988" s="16"/>
      <c r="E988" s="17"/>
      <c r="F988" s="17"/>
      <c r="G988" s="17"/>
      <c r="H988" s="17"/>
      <c r="I988" s="17"/>
      <c r="J988" s="17"/>
      <c r="K988" s="17"/>
      <c r="L988" s="17"/>
      <c r="M988" s="17"/>
      <c r="N988" s="18"/>
      <c r="O988" s="18"/>
    </row>
    <row r="989">
      <c r="A989" s="14"/>
      <c r="B989" s="21"/>
      <c r="C989" s="16"/>
      <c r="D989" s="16"/>
      <c r="E989" s="17"/>
      <c r="F989" s="17"/>
      <c r="G989" s="17"/>
      <c r="H989" s="17"/>
      <c r="I989" s="17"/>
      <c r="J989" s="17"/>
      <c r="K989" s="17"/>
      <c r="L989" s="17"/>
      <c r="M989" s="17"/>
      <c r="N989" s="18"/>
      <c r="O989" s="18"/>
    </row>
    <row r="990">
      <c r="A990" s="14"/>
      <c r="B990" s="21"/>
      <c r="C990" s="16"/>
      <c r="D990" s="16"/>
      <c r="E990" s="17"/>
      <c r="F990" s="17"/>
      <c r="G990" s="17"/>
      <c r="H990" s="17"/>
      <c r="I990" s="17"/>
      <c r="J990" s="17"/>
      <c r="K990" s="17"/>
      <c r="L990" s="17"/>
      <c r="M990" s="17"/>
      <c r="N990" s="18"/>
      <c r="O990" s="18"/>
    </row>
    <row r="991">
      <c r="A991" s="14"/>
      <c r="B991" s="21"/>
      <c r="C991" s="16"/>
      <c r="D991" s="16"/>
      <c r="E991" s="17"/>
      <c r="F991" s="17"/>
      <c r="G991" s="17"/>
      <c r="H991" s="17"/>
      <c r="I991" s="17"/>
      <c r="J991" s="17"/>
      <c r="K991" s="17"/>
      <c r="L991" s="17"/>
      <c r="M991" s="17"/>
      <c r="N991" s="18"/>
      <c r="O991" s="18"/>
    </row>
    <row r="992">
      <c r="A992" s="14"/>
      <c r="B992" s="21"/>
      <c r="C992" s="16"/>
      <c r="D992" s="16"/>
      <c r="E992" s="17"/>
      <c r="F992" s="17"/>
      <c r="G992" s="17"/>
      <c r="H992" s="17"/>
      <c r="I992" s="17"/>
      <c r="J992" s="17"/>
      <c r="K992" s="17"/>
      <c r="L992" s="17"/>
      <c r="M992" s="17"/>
      <c r="N992" s="18"/>
      <c r="O992" s="18"/>
    </row>
    <row r="993">
      <c r="A993" s="14"/>
      <c r="B993" s="21"/>
      <c r="C993" s="16"/>
      <c r="D993" s="16"/>
      <c r="E993" s="17"/>
      <c r="F993" s="17"/>
      <c r="G993" s="17"/>
      <c r="H993" s="17"/>
      <c r="I993" s="17"/>
      <c r="J993" s="17"/>
      <c r="K993" s="17"/>
      <c r="L993" s="17"/>
      <c r="M993" s="17"/>
      <c r="N993" s="18"/>
      <c r="O993" s="18"/>
    </row>
    <row r="994">
      <c r="A994" s="14"/>
      <c r="B994" s="21"/>
      <c r="C994" s="16"/>
      <c r="D994" s="16"/>
      <c r="E994" s="17"/>
      <c r="F994" s="17"/>
      <c r="G994" s="17"/>
      <c r="H994" s="17"/>
      <c r="I994" s="17"/>
      <c r="J994" s="17"/>
      <c r="K994" s="17"/>
      <c r="L994" s="17"/>
      <c r="M994" s="17"/>
      <c r="N994" s="18"/>
      <c r="O994" s="18"/>
    </row>
    <row r="995">
      <c r="A995" s="14"/>
      <c r="B995" s="21"/>
      <c r="C995" s="16"/>
      <c r="D995" s="16"/>
      <c r="E995" s="17"/>
      <c r="F995" s="17"/>
      <c r="G995" s="17"/>
      <c r="H995" s="17"/>
      <c r="I995" s="17"/>
      <c r="J995" s="17"/>
      <c r="K995" s="17"/>
      <c r="L995" s="17"/>
      <c r="M995" s="17"/>
      <c r="N995" s="18"/>
      <c r="O995" s="18"/>
    </row>
    <row r="996">
      <c r="A996" s="14"/>
      <c r="B996" s="21"/>
      <c r="C996" s="16"/>
      <c r="D996" s="16"/>
      <c r="E996" s="17"/>
      <c r="F996" s="17"/>
      <c r="G996" s="17"/>
      <c r="H996" s="17"/>
      <c r="I996" s="17"/>
      <c r="J996" s="17"/>
      <c r="K996" s="17"/>
      <c r="L996" s="17"/>
      <c r="M996" s="17"/>
      <c r="N996" s="18"/>
      <c r="O996" s="18"/>
    </row>
    <row r="997">
      <c r="A997" s="14"/>
      <c r="B997" s="21"/>
      <c r="C997" s="16"/>
      <c r="D997" s="16"/>
      <c r="E997" s="17"/>
      <c r="F997" s="17"/>
      <c r="G997" s="17"/>
      <c r="H997" s="17"/>
      <c r="I997" s="17"/>
      <c r="J997" s="17"/>
      <c r="K997" s="17"/>
      <c r="L997" s="17"/>
      <c r="M997" s="17"/>
      <c r="N997" s="18"/>
      <c r="O997" s="18"/>
    </row>
    <row r="998">
      <c r="A998" s="14"/>
      <c r="B998" s="21"/>
      <c r="C998" s="16"/>
      <c r="D998" s="16"/>
      <c r="E998" s="17"/>
      <c r="F998" s="17"/>
      <c r="G998" s="17"/>
      <c r="H998" s="17"/>
      <c r="I998" s="17"/>
      <c r="J998" s="17"/>
      <c r="K998" s="17"/>
      <c r="L998" s="17"/>
      <c r="M998" s="17"/>
      <c r="N998" s="18"/>
      <c r="O998" s="18"/>
    </row>
    <row r="999">
      <c r="A999" s="14"/>
      <c r="B999" s="21"/>
      <c r="C999" s="16"/>
      <c r="D999" s="16"/>
      <c r="E999" s="17"/>
      <c r="F999" s="17"/>
      <c r="G999" s="17"/>
      <c r="H999" s="17"/>
      <c r="I999" s="17"/>
      <c r="J999" s="17"/>
      <c r="K999" s="17"/>
      <c r="L999" s="17"/>
      <c r="M999" s="17"/>
      <c r="N999" s="18"/>
      <c r="O999" s="18"/>
    </row>
    <row r="1000">
      <c r="A1000" s="14"/>
      <c r="B1000" s="21"/>
      <c r="C1000" s="16"/>
      <c r="D1000" s="16"/>
      <c r="E1000" s="17"/>
      <c r="F1000" s="17"/>
      <c r="G1000" s="17"/>
      <c r="H1000" s="17"/>
      <c r="I1000" s="17"/>
      <c r="J1000" s="17"/>
      <c r="K1000" s="17"/>
      <c r="L1000" s="17"/>
      <c r="M1000" s="17"/>
      <c r="N1000" s="18"/>
      <c r="O1000" s="18"/>
    </row>
  </sheetData>
  <dataValidations>
    <dataValidation type="list" allowBlank="1" showErrorMessage="1" sqref="A2:A1000">
      <formula1>DropDown!$C$2:$C$3</formula1>
    </dataValidation>
    <dataValidation type="list" allowBlank="1" sqref="C2:C1000">
      <formula1>DropDown!$E$2:$E$20</formula1>
    </dataValidation>
    <dataValidation type="list" allowBlank="1" sqref="D2:D1000">
      <formula1>DropDown!$F$2:$F$130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13"/>
    <col customWidth="1" min="5" max="5" width="34.0"/>
    <col customWidth="1" min="6" max="6" width="43.75"/>
  </cols>
  <sheetData>
    <row r="1">
      <c r="A1" s="22" t="s">
        <v>52</v>
      </c>
      <c r="B1" s="23" t="s">
        <v>53</v>
      </c>
      <c r="C1" s="24" t="s">
        <v>37</v>
      </c>
      <c r="D1" s="23" t="s">
        <v>54</v>
      </c>
      <c r="E1" s="23" t="s">
        <v>39</v>
      </c>
      <c r="F1" s="23" t="s">
        <v>40</v>
      </c>
      <c r="G1" s="23" t="s">
        <v>55</v>
      </c>
    </row>
    <row r="2">
      <c r="A2" s="23" t="s">
        <v>34</v>
      </c>
      <c r="B2" s="23" t="s">
        <v>56</v>
      </c>
      <c r="C2" s="24" t="s">
        <v>57</v>
      </c>
      <c r="D2" s="23" t="s">
        <v>58</v>
      </c>
      <c r="E2" s="23" t="s">
        <v>59</v>
      </c>
      <c r="F2" s="23" t="s">
        <v>60</v>
      </c>
      <c r="G2" s="23" t="s">
        <v>61</v>
      </c>
    </row>
    <row r="3">
      <c r="B3" s="23" t="s">
        <v>62</v>
      </c>
      <c r="C3" s="24" t="s">
        <v>63</v>
      </c>
      <c r="D3" s="25" t="s">
        <v>64</v>
      </c>
      <c r="E3" s="23" t="s">
        <v>65</v>
      </c>
      <c r="F3" s="23" t="s">
        <v>66</v>
      </c>
    </row>
    <row r="4">
      <c r="E4" s="23" t="s">
        <v>67</v>
      </c>
      <c r="F4" s="23" t="s">
        <v>68</v>
      </c>
    </row>
    <row r="5">
      <c r="E5" s="23" t="s">
        <v>69</v>
      </c>
      <c r="F5" s="23" t="s">
        <v>70</v>
      </c>
    </row>
    <row r="6">
      <c r="E6" s="23" t="s">
        <v>71</v>
      </c>
      <c r="F6" s="23" t="s">
        <v>72</v>
      </c>
    </row>
    <row r="7">
      <c r="E7" s="23" t="s">
        <v>73</v>
      </c>
      <c r="F7" s="23" t="s">
        <v>74</v>
      </c>
    </row>
    <row r="8">
      <c r="E8" s="23" t="s">
        <v>75</v>
      </c>
      <c r="F8" s="23" t="s">
        <v>76</v>
      </c>
    </row>
    <row r="9">
      <c r="E9" s="23" t="s">
        <v>77</v>
      </c>
      <c r="F9" s="23" t="s">
        <v>78</v>
      </c>
    </row>
    <row r="10">
      <c r="E10" s="23" t="s">
        <v>79</v>
      </c>
      <c r="F10" s="23" t="s">
        <v>80</v>
      </c>
    </row>
    <row r="11">
      <c r="E11" s="23" t="s">
        <v>81</v>
      </c>
      <c r="F11" s="23" t="s">
        <v>82</v>
      </c>
    </row>
    <row r="12">
      <c r="E12" s="23" t="s">
        <v>83</v>
      </c>
      <c r="F12" s="23" t="s">
        <v>84</v>
      </c>
    </row>
    <row r="13">
      <c r="E13" s="23" t="s">
        <v>85</v>
      </c>
      <c r="F13" s="23" t="s">
        <v>86</v>
      </c>
    </row>
    <row r="14">
      <c r="E14" s="23" t="s">
        <v>87</v>
      </c>
      <c r="F14" s="23" t="s">
        <v>88</v>
      </c>
    </row>
    <row r="15">
      <c r="F15" s="23" t="s">
        <v>89</v>
      </c>
    </row>
    <row r="16">
      <c r="F16" s="23" t="s">
        <v>90</v>
      </c>
    </row>
    <row r="17">
      <c r="F17" s="23" t="s">
        <v>91</v>
      </c>
    </row>
    <row r="18">
      <c r="F18" s="23" t="s">
        <v>92</v>
      </c>
    </row>
    <row r="19">
      <c r="F19" s="23" t="s">
        <v>93</v>
      </c>
    </row>
    <row r="20">
      <c r="F20" s="23" t="s">
        <v>94</v>
      </c>
    </row>
    <row r="21">
      <c r="F21" s="23" t="s">
        <v>95</v>
      </c>
    </row>
    <row r="22">
      <c r="F22" s="23" t="s">
        <v>96</v>
      </c>
    </row>
    <row r="23">
      <c r="F23" s="23" t="s">
        <v>97</v>
      </c>
    </row>
    <row r="24">
      <c r="F24" s="23" t="s">
        <v>98</v>
      </c>
    </row>
    <row r="25">
      <c r="F25" s="23" t="s">
        <v>99</v>
      </c>
    </row>
    <row r="26">
      <c r="F26" s="23" t="s">
        <v>100</v>
      </c>
    </row>
    <row r="27">
      <c r="F27" s="23" t="s">
        <v>101</v>
      </c>
    </row>
    <row r="28">
      <c r="F28" s="23" t="s">
        <v>102</v>
      </c>
    </row>
    <row r="29">
      <c r="F29" s="23" t="s">
        <v>103</v>
      </c>
    </row>
    <row r="30">
      <c r="F30" s="23" t="s">
        <v>104</v>
      </c>
    </row>
    <row r="31">
      <c r="F31" s="23" t="s">
        <v>105</v>
      </c>
    </row>
    <row r="32">
      <c r="F32" s="23" t="s">
        <v>106</v>
      </c>
    </row>
    <row r="33">
      <c r="F33" s="23" t="s">
        <v>107</v>
      </c>
    </row>
    <row r="34">
      <c r="F34" s="23" t="s">
        <v>108</v>
      </c>
    </row>
    <row r="35">
      <c r="F35" s="23" t="s">
        <v>109</v>
      </c>
    </row>
    <row r="36">
      <c r="F36" s="23" t="s">
        <v>110</v>
      </c>
    </row>
    <row r="37">
      <c r="F37" s="23" t="s">
        <v>111</v>
      </c>
    </row>
    <row r="38">
      <c r="F38" s="23" t="s">
        <v>112</v>
      </c>
    </row>
    <row r="39">
      <c r="F39" s="23" t="s">
        <v>113</v>
      </c>
    </row>
    <row r="40">
      <c r="F40" s="23" t="s">
        <v>114</v>
      </c>
    </row>
    <row r="41">
      <c r="F41" s="23" t="s">
        <v>115</v>
      </c>
    </row>
    <row r="42">
      <c r="F42" s="23" t="s">
        <v>116</v>
      </c>
    </row>
    <row r="43">
      <c r="F43" s="23" t="s">
        <v>117</v>
      </c>
    </row>
    <row r="44">
      <c r="F44" s="23" t="s">
        <v>118</v>
      </c>
    </row>
    <row r="45">
      <c r="F45" s="23" t="s">
        <v>119</v>
      </c>
    </row>
    <row r="46">
      <c r="F46" s="23" t="s">
        <v>120</v>
      </c>
    </row>
    <row r="47">
      <c r="F47" s="23" t="s">
        <v>121</v>
      </c>
    </row>
    <row r="48">
      <c r="F48" s="23" t="s">
        <v>122</v>
      </c>
    </row>
    <row r="49">
      <c r="F49" s="23" t="s">
        <v>123</v>
      </c>
    </row>
    <row r="50">
      <c r="F50" s="23" t="s">
        <v>124</v>
      </c>
    </row>
    <row r="51">
      <c r="F51" s="23" t="s">
        <v>125</v>
      </c>
    </row>
    <row r="52">
      <c r="F52" s="23" t="s">
        <v>126</v>
      </c>
    </row>
    <row r="53">
      <c r="F53" s="23" t="s">
        <v>127</v>
      </c>
    </row>
    <row r="54">
      <c r="F54" s="23" t="s">
        <v>128</v>
      </c>
    </row>
    <row r="55">
      <c r="F55" s="23" t="s">
        <v>129</v>
      </c>
    </row>
    <row r="56">
      <c r="F56" s="23" t="s">
        <v>130</v>
      </c>
    </row>
    <row r="57">
      <c r="F57" s="23" t="s">
        <v>131</v>
      </c>
    </row>
    <row r="58">
      <c r="F58" s="23" t="s">
        <v>132</v>
      </c>
    </row>
    <row r="59">
      <c r="F59" s="23" t="s">
        <v>133</v>
      </c>
    </row>
    <row r="60">
      <c r="F60" s="23" t="s">
        <v>134</v>
      </c>
    </row>
    <row r="61">
      <c r="F61" s="23" t="s">
        <v>135</v>
      </c>
    </row>
    <row r="62">
      <c r="F62" s="23" t="s">
        <v>136</v>
      </c>
    </row>
    <row r="63">
      <c r="F63" s="23" t="s">
        <v>137</v>
      </c>
    </row>
    <row r="64">
      <c r="F64" s="23" t="s">
        <v>138</v>
      </c>
    </row>
    <row r="65">
      <c r="F65" s="23" t="s">
        <v>139</v>
      </c>
    </row>
    <row r="66">
      <c r="F66" s="23" t="s">
        <v>140</v>
      </c>
    </row>
    <row r="67">
      <c r="F67" s="23" t="s">
        <v>141</v>
      </c>
    </row>
    <row r="68">
      <c r="F68" s="23" t="s">
        <v>142</v>
      </c>
    </row>
    <row r="69">
      <c r="F69" s="23" t="s">
        <v>143</v>
      </c>
    </row>
    <row r="70">
      <c r="F70" s="23" t="s">
        <v>144</v>
      </c>
    </row>
    <row r="71">
      <c r="F71" s="23" t="s">
        <v>145</v>
      </c>
    </row>
    <row r="72">
      <c r="F72" s="23" t="s">
        <v>146</v>
      </c>
    </row>
    <row r="73">
      <c r="F73" s="23" t="s">
        <v>147</v>
      </c>
    </row>
    <row r="74">
      <c r="F74" s="23" t="s">
        <v>148</v>
      </c>
    </row>
    <row r="75">
      <c r="F75" s="23" t="s">
        <v>149</v>
      </c>
    </row>
    <row r="76">
      <c r="F76" s="23" t="s">
        <v>150</v>
      </c>
    </row>
    <row r="77">
      <c r="F77" s="23" t="s">
        <v>151</v>
      </c>
    </row>
    <row r="78">
      <c r="F78" s="23" t="s">
        <v>152</v>
      </c>
    </row>
    <row r="79">
      <c r="F79" s="23" t="s">
        <v>153</v>
      </c>
    </row>
    <row r="80">
      <c r="F80" s="23" t="s">
        <v>154</v>
      </c>
    </row>
    <row r="81">
      <c r="F81" s="23" t="s">
        <v>155</v>
      </c>
    </row>
    <row r="82">
      <c r="F82" s="23" t="s">
        <v>156</v>
      </c>
    </row>
    <row r="83">
      <c r="F83" s="23" t="s">
        <v>157</v>
      </c>
    </row>
    <row r="84">
      <c r="F84" s="23" t="s">
        <v>158</v>
      </c>
    </row>
    <row r="85">
      <c r="F85" s="23" t="s">
        <v>159</v>
      </c>
    </row>
    <row r="86">
      <c r="F86" s="23" t="s">
        <v>160</v>
      </c>
    </row>
    <row r="87">
      <c r="F87" s="23" t="s">
        <v>161</v>
      </c>
    </row>
    <row r="88">
      <c r="F88" s="23" t="s">
        <v>162</v>
      </c>
    </row>
    <row r="89">
      <c r="F89" s="23" t="s">
        <v>163</v>
      </c>
    </row>
    <row r="90">
      <c r="F90" s="23" t="s">
        <v>164</v>
      </c>
    </row>
    <row r="91">
      <c r="F91" s="23" t="s">
        <v>165</v>
      </c>
    </row>
    <row r="92">
      <c r="F92" s="23" t="s">
        <v>166</v>
      </c>
    </row>
    <row r="93">
      <c r="F93" s="23" t="s">
        <v>167</v>
      </c>
    </row>
    <row r="94">
      <c r="F94" s="23" t="s">
        <v>168</v>
      </c>
    </row>
    <row r="95">
      <c r="F95" s="23" t="s">
        <v>169</v>
      </c>
    </row>
    <row r="96">
      <c r="F96" s="23" t="s">
        <v>170</v>
      </c>
    </row>
    <row r="152">
      <c r="E152" s="26"/>
      <c r="F152" s="26"/>
      <c r="G152" s="26"/>
    </row>
    <row r="153">
      <c r="E153" s="27"/>
      <c r="F153" s="27"/>
      <c r="G153" s="26"/>
    </row>
    <row r="154">
      <c r="E154" s="26"/>
      <c r="F154" s="26"/>
      <c r="G154" s="26"/>
    </row>
    <row r="155">
      <c r="E155" s="26"/>
      <c r="F155" s="26"/>
      <c r="G155" s="26"/>
    </row>
    <row r="156">
      <c r="E156" s="26"/>
      <c r="F156" s="26"/>
      <c r="G156" s="26"/>
    </row>
    <row r="157">
      <c r="E157" s="26"/>
      <c r="F157" s="26"/>
      <c r="G157" s="26"/>
    </row>
    <row r="158">
      <c r="E158" s="26"/>
      <c r="F158" s="26"/>
      <c r="G158" s="26"/>
    </row>
    <row r="159">
      <c r="E159" s="26"/>
      <c r="F159" s="26"/>
      <c r="G159" s="26"/>
    </row>
    <row r="160">
      <c r="E160" s="26"/>
      <c r="F160" s="26"/>
      <c r="G160" s="26"/>
    </row>
    <row r="161">
      <c r="E161" s="26"/>
      <c r="F161" s="26"/>
      <c r="G161" s="26"/>
    </row>
    <row r="162">
      <c r="E162" s="26"/>
      <c r="F162" s="26"/>
      <c r="G162" s="26"/>
    </row>
    <row r="163">
      <c r="E163" s="26"/>
      <c r="F163" s="26"/>
      <c r="G163" s="26"/>
    </row>
    <row r="164">
      <c r="E164" s="26"/>
      <c r="F164" s="26"/>
      <c r="G164" s="26"/>
    </row>
    <row r="165">
      <c r="E165" s="26"/>
      <c r="F165" s="26"/>
      <c r="G165" s="26"/>
    </row>
    <row r="166">
      <c r="E166" s="26"/>
      <c r="F166" s="26"/>
      <c r="G166" s="26"/>
    </row>
    <row r="167">
      <c r="E167" s="26"/>
      <c r="F167" s="26"/>
      <c r="G167" s="26"/>
    </row>
    <row r="168">
      <c r="E168" s="26"/>
      <c r="F168" s="26"/>
      <c r="G168" s="26"/>
    </row>
    <row r="169">
      <c r="E169" s="26"/>
      <c r="F169" s="26"/>
      <c r="G169" s="26"/>
    </row>
    <row r="170">
      <c r="E170" s="26"/>
      <c r="F170" s="26"/>
      <c r="G170" s="26"/>
    </row>
    <row r="171">
      <c r="E171" s="26"/>
      <c r="F171" s="26"/>
      <c r="G171" s="26"/>
    </row>
    <row r="172">
      <c r="G172" s="23"/>
    </row>
    <row r="173">
      <c r="G173" s="23"/>
    </row>
    <row r="174">
      <c r="G174" s="23"/>
    </row>
    <row r="175">
      <c r="G175" s="23"/>
    </row>
    <row r="176">
      <c r="G176" s="23"/>
    </row>
    <row r="177">
      <c r="G177" s="23"/>
    </row>
    <row r="178">
      <c r="G178" s="23"/>
    </row>
    <row r="179">
      <c r="G179" s="23"/>
    </row>
    <row r="180">
      <c r="G180" s="23"/>
    </row>
    <row r="181">
      <c r="G181" s="23"/>
    </row>
    <row r="182">
      <c r="G182" s="23"/>
    </row>
    <row r="183">
      <c r="E183" s="23"/>
      <c r="F183" s="23"/>
      <c r="G183" s="23"/>
    </row>
    <row r="184">
      <c r="E184" s="23"/>
      <c r="F184" s="23"/>
      <c r="G184" s="23"/>
    </row>
    <row r="185">
      <c r="E185" s="23"/>
      <c r="F185" s="23"/>
      <c r="G185" s="23"/>
    </row>
    <row r="186">
      <c r="E186" s="23"/>
      <c r="F186" s="23"/>
      <c r="G186" s="23"/>
    </row>
    <row r="187">
      <c r="E187" s="23"/>
      <c r="F187" s="23"/>
      <c r="G187" s="23"/>
    </row>
    <row r="188">
      <c r="E188" s="23"/>
      <c r="F188" s="23"/>
      <c r="G188" s="23"/>
    </row>
    <row r="189">
      <c r="E189" s="23"/>
      <c r="F189" s="23"/>
      <c r="G189" s="23"/>
    </row>
    <row r="190">
      <c r="E190" s="23"/>
      <c r="F190" s="23"/>
      <c r="G190" s="23"/>
    </row>
    <row r="191">
      <c r="E191" s="23"/>
      <c r="F191" s="23"/>
      <c r="G191" s="23"/>
    </row>
    <row r="192">
      <c r="E192" s="23"/>
      <c r="F192" s="23"/>
      <c r="G192" s="23"/>
    </row>
    <row r="193">
      <c r="E193" s="23"/>
      <c r="F193" s="23"/>
      <c r="G193" s="23"/>
    </row>
  </sheetData>
  <drawing r:id="rId1"/>
</worksheet>
</file>